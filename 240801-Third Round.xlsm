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netid-my.sharepoint.com/personal/hongyang_uw_edu/Documents/230925-Capstone-CSS -595-700/231006-Research-Progress- Excel/"/>
    </mc:Choice>
  </mc:AlternateContent>
  <xr:revisionPtr revIDLastSave="1217" documentId="13_ncr:1_{FC6593FF-A35B-824A-9A71-4279B9827657}" xr6:coauthVersionLast="47" xr6:coauthVersionMax="47" xr10:uidLastSave="{D6EE59AF-3577-434C-A619-2681A4623D77}"/>
  <bookViews>
    <workbookView xWindow="-23360" yWindow="560" windowWidth="23360" windowHeight="14540" activeTab="1" xr2:uid="{18342DF9-798A-DA42-BBC4-C755067F6B3B}"/>
  </bookViews>
  <sheets>
    <sheet name="Infocom Series" sheetId="11" r:id="rId1"/>
    <sheet name="NancyDrew" sheetId="1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85" i="14" l="1"/>
  <c r="V84" i="14"/>
  <c r="V83" i="14"/>
  <c r="V82" i="14"/>
  <c r="V81" i="14"/>
  <c r="V80" i="14"/>
  <c r="V79" i="14"/>
  <c r="V78" i="14"/>
  <c r="V77" i="14"/>
  <c r="V76" i="14"/>
  <c r="V75" i="14"/>
  <c r="V74" i="14"/>
  <c r="V73" i="14"/>
  <c r="V72" i="14"/>
  <c r="V71" i="14"/>
  <c r="V70" i="14"/>
  <c r="V69" i="14"/>
  <c r="V68" i="14"/>
  <c r="V67" i="14"/>
  <c r="V66" i="14"/>
  <c r="V65" i="14"/>
  <c r="V64" i="14"/>
  <c r="V63" i="14"/>
  <c r="V62" i="14"/>
  <c r="V61" i="14"/>
  <c r="V60" i="14"/>
  <c r="V59" i="14"/>
  <c r="T85" i="14"/>
  <c r="T84" i="14"/>
  <c r="T83" i="14"/>
  <c r="T82" i="14"/>
  <c r="T81" i="14"/>
  <c r="T80" i="14"/>
  <c r="T79" i="14"/>
  <c r="T78" i="14"/>
  <c r="T77" i="14"/>
  <c r="T76" i="14"/>
  <c r="T75" i="14"/>
  <c r="T74" i="14"/>
  <c r="T73" i="14"/>
  <c r="T72" i="14"/>
  <c r="T71" i="14"/>
  <c r="T70" i="14"/>
  <c r="T69" i="14"/>
  <c r="T68" i="14"/>
  <c r="T67" i="14"/>
  <c r="T66" i="14"/>
  <c r="T65" i="14"/>
  <c r="T64" i="14"/>
  <c r="T63" i="14"/>
  <c r="T62" i="14"/>
  <c r="T61" i="14"/>
  <c r="T60" i="14"/>
  <c r="T59" i="14"/>
  <c r="R85" i="14"/>
  <c r="R84" i="14"/>
  <c r="R83" i="14"/>
  <c r="R82" i="14"/>
  <c r="R81" i="14"/>
  <c r="R80" i="14"/>
  <c r="R79" i="14"/>
  <c r="R78" i="14"/>
  <c r="R77" i="14"/>
  <c r="R76" i="14"/>
  <c r="R75" i="14"/>
  <c r="R74" i="14"/>
  <c r="R73" i="14"/>
  <c r="R72" i="14"/>
  <c r="R71" i="14"/>
  <c r="R70" i="14"/>
  <c r="R69" i="14"/>
  <c r="R68" i="14"/>
  <c r="R67" i="14"/>
  <c r="R66" i="14"/>
  <c r="R65" i="14"/>
  <c r="R64" i="14"/>
  <c r="R63" i="14"/>
  <c r="R62" i="14"/>
  <c r="R61" i="14"/>
  <c r="R60" i="14"/>
  <c r="R59" i="14"/>
  <c r="O85" i="14"/>
  <c r="O84" i="14"/>
  <c r="O83" i="14"/>
  <c r="O82" i="14"/>
  <c r="O81" i="14"/>
  <c r="O80" i="14"/>
  <c r="O79" i="14"/>
  <c r="O78" i="14"/>
  <c r="O77" i="14"/>
  <c r="O76" i="14"/>
  <c r="O75" i="14"/>
  <c r="O74" i="14"/>
  <c r="O73" i="14"/>
  <c r="O72" i="14"/>
  <c r="O71" i="14"/>
  <c r="O70" i="14"/>
  <c r="O69" i="14"/>
  <c r="O68" i="14"/>
  <c r="O67" i="14"/>
  <c r="O66" i="14"/>
  <c r="O65" i="14"/>
  <c r="O64" i="14"/>
  <c r="O63" i="14"/>
  <c r="O62" i="14"/>
  <c r="O61" i="14"/>
  <c r="O60" i="14"/>
  <c r="O59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K85" i="14"/>
  <c r="K84" i="14"/>
  <c r="K83" i="14"/>
  <c r="K82" i="14"/>
  <c r="K81" i="14"/>
  <c r="K80" i="14"/>
  <c r="K79" i="14"/>
  <c r="K78" i="14"/>
  <c r="K77" i="14"/>
  <c r="K76" i="14"/>
  <c r="K75" i="14"/>
  <c r="K74" i="14"/>
  <c r="K73" i="14"/>
  <c r="K72" i="14"/>
  <c r="K71" i="14"/>
  <c r="K70" i="14"/>
  <c r="K69" i="14"/>
  <c r="K68" i="14"/>
  <c r="K67" i="14"/>
  <c r="K66" i="14"/>
  <c r="K65" i="14"/>
  <c r="K64" i="14"/>
  <c r="K63" i="14"/>
  <c r="K62" i="14"/>
  <c r="K61" i="14"/>
  <c r="K60" i="14"/>
  <c r="K59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/>
  <c r="H63" i="14"/>
  <c r="H62" i="14"/>
  <c r="H61" i="14"/>
  <c r="H60" i="14"/>
  <c r="H59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D85" i="14"/>
  <c r="D76" i="14"/>
  <c r="D67" i="14"/>
  <c r="V85" i="11"/>
  <c r="V84" i="11"/>
  <c r="V83" i="11"/>
  <c r="V82" i="11"/>
  <c r="V81" i="11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O85" i="11"/>
  <c r="O84" i="11"/>
  <c r="O83" i="11"/>
  <c r="O82" i="11"/>
  <c r="O81" i="11"/>
  <c r="O80" i="11"/>
  <c r="O79" i="11"/>
  <c r="O78" i="11"/>
  <c r="O77" i="11"/>
  <c r="O76" i="11"/>
  <c r="O75" i="11"/>
  <c r="O74" i="11"/>
  <c r="O73" i="11"/>
  <c r="O72" i="11"/>
  <c r="O71" i="11"/>
  <c r="O70" i="11"/>
  <c r="O69" i="11"/>
  <c r="O68" i="11"/>
  <c r="O67" i="11"/>
  <c r="O66" i="11"/>
  <c r="O65" i="11"/>
  <c r="O64" i="11"/>
  <c r="O63" i="11"/>
  <c r="O62" i="11"/>
  <c r="O61" i="11"/>
  <c r="O60" i="11"/>
  <c r="O59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K85" i="11"/>
  <c r="K84" i="11"/>
  <c r="K83" i="11"/>
  <c r="K82" i="11"/>
  <c r="K81" i="11"/>
  <c r="K80" i="11"/>
  <c r="K79" i="11"/>
  <c r="K78" i="11"/>
  <c r="K77" i="11"/>
  <c r="K76" i="11"/>
  <c r="K75" i="11"/>
  <c r="K74" i="11"/>
  <c r="K73" i="11"/>
  <c r="K72" i="11"/>
  <c r="K71" i="11"/>
  <c r="K70" i="11"/>
  <c r="K69" i="11"/>
  <c r="K68" i="11"/>
  <c r="K67" i="11"/>
  <c r="K66" i="11"/>
  <c r="K65" i="11"/>
  <c r="K64" i="11"/>
  <c r="K63" i="11"/>
  <c r="K62" i="11"/>
  <c r="K61" i="11"/>
  <c r="K60" i="11"/>
  <c r="K59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84" i="14"/>
  <c r="D83" i="14"/>
  <c r="D82" i="14"/>
  <c r="D81" i="14"/>
  <c r="D80" i="14"/>
  <c r="D79" i="14"/>
  <c r="D78" i="14"/>
  <c r="D77" i="14"/>
  <c r="D75" i="14"/>
  <c r="D74" i="14"/>
  <c r="D73" i="14"/>
  <c r="D72" i="14"/>
  <c r="D71" i="14"/>
  <c r="D70" i="14"/>
  <c r="D69" i="14"/>
  <c r="D68" i="14"/>
  <c r="D66" i="14"/>
  <c r="D65" i="14"/>
  <c r="D64" i="14"/>
  <c r="D63" i="14"/>
  <c r="D62" i="14"/>
  <c r="D61" i="14"/>
  <c r="D60" i="14"/>
  <c r="D59" i="14"/>
  <c r="O86" i="14" l="1"/>
  <c r="K86" i="14"/>
  <c r="M86" i="14"/>
  <c r="T86" i="14"/>
  <c r="V86" i="14"/>
  <c r="F86" i="14"/>
  <c r="R86" i="14"/>
  <c r="D86" i="14"/>
  <c r="H86" i="14"/>
  <c r="V86" i="11" l="1"/>
  <c r="T86" i="11"/>
  <c r="R86" i="11"/>
  <c r="H86" i="11"/>
  <c r="M86" i="11"/>
  <c r="K86" i="11"/>
  <c r="O86" i="11"/>
  <c r="D86" i="11"/>
  <c r="F86" i="11"/>
</calcChain>
</file>

<file path=xl/sharedStrings.xml><?xml version="1.0" encoding="utf-8"?>
<sst xmlns="http://schemas.openxmlformats.org/spreadsheetml/2006/main" count="409" uniqueCount="223">
  <si>
    <t>Game name</t>
  </si>
  <si>
    <t>x</t>
  </si>
  <si>
    <t>y</t>
  </si>
  <si>
    <t>Name</t>
  </si>
  <si>
    <t>Text input only</t>
  </si>
  <si>
    <t>Mouse click only</t>
  </si>
  <si>
    <t>Text input and mouse click</t>
  </si>
  <si>
    <t>Y</t>
  </si>
  <si>
    <t xml:space="preserve">The Lurking Horror </t>
  </si>
  <si>
    <t>Linear limited options</t>
  </si>
  <si>
    <t>Non-linear limited options</t>
  </si>
  <si>
    <t>Non-linear open options</t>
  </si>
  <si>
    <t>Single defined end</t>
  </si>
  <si>
    <t>Multiple defined end</t>
  </si>
  <si>
    <t>Multiple undefined end</t>
  </si>
  <si>
    <t>Text and pictures</t>
  </si>
  <si>
    <t>Text, pictures and animation</t>
  </si>
  <si>
    <t>Y: Publish Year</t>
  </si>
  <si>
    <t>Before 2000</t>
  </si>
  <si>
    <t>Text output only</t>
  </si>
  <si>
    <t>Limited action time</t>
  </si>
  <si>
    <t>Unlimitd action time</t>
  </si>
  <si>
    <t>Mix of limited and unlimited action time</t>
  </si>
  <si>
    <t>Story Ending</t>
  </si>
  <si>
    <t>Sum</t>
  </si>
  <si>
    <t>Support stats and support resouce management</t>
  </si>
  <si>
    <t>Support stats and don't support resource management</t>
  </si>
  <si>
    <t>Deadline</t>
  </si>
  <si>
    <t>Secrets Can Kill</t>
  </si>
  <si>
    <t>Stay Tuned for Danger</t>
  </si>
  <si>
    <t>Secrets Can Kill Remastered</t>
  </si>
  <si>
    <t>Message in a Haunted Mansion</t>
  </si>
  <si>
    <t>Treasure in the Royal Tower</t>
  </si>
  <si>
    <t>The Final Scene</t>
  </si>
  <si>
    <t>Secret of the Scarlet Hand</t>
  </si>
  <si>
    <t xml:space="preserve">	Ghost Dogs of Moon Lake</t>
  </si>
  <si>
    <t>The Haunted Carousel</t>
  </si>
  <si>
    <t>Danger on Deception Island</t>
  </si>
  <si>
    <t>The Secret of Shadow Ranch</t>
  </si>
  <si>
    <t>Curse of Blackmoor Manor</t>
  </si>
  <si>
    <t>Secret of the Old Clock</t>
  </si>
  <si>
    <t>Last Train to Blue Moon Canyon</t>
  </si>
  <si>
    <t>Danger by Design</t>
  </si>
  <si>
    <t>The Creature of Kapu Cave</t>
  </si>
  <si>
    <t>The White Wolf of Icicle Creek</t>
  </si>
  <si>
    <t>Legend of the Crystal Skull</t>
  </si>
  <si>
    <t>The Phantom of Venice</t>
  </si>
  <si>
    <t>The Haunting of Castle Malloy</t>
  </si>
  <si>
    <t>Ransom of the Seven Ships</t>
  </si>
  <si>
    <t>Warnings at Waverly Academy</t>
  </si>
  <si>
    <t>Trail of the Twister</t>
  </si>
  <si>
    <t>Shadow at the Water's Edge</t>
  </si>
  <si>
    <t>The Captive Curse</t>
  </si>
  <si>
    <t>Alibi in Ashes</t>
  </si>
  <si>
    <t>Tomb of the Lost Queen</t>
  </si>
  <si>
    <t>The Deadly Device</t>
  </si>
  <si>
    <t>Ghost of Thornton Hall</t>
  </si>
  <si>
    <t>The Silent Spy</t>
  </si>
  <si>
    <t>The Shattered Medallion</t>
  </si>
  <si>
    <t>Labyrinth of Lies</t>
  </si>
  <si>
    <t>Sea of Darkness</t>
  </si>
  <si>
    <t>Midnight in Salem</t>
  </si>
  <si>
    <t xml:space="preserve">Zork I: The Great Underground Empire </t>
  </si>
  <si>
    <t xml:space="preserve">Zork II: The Wizard of Frobozz </t>
  </si>
  <si>
    <t xml:space="preserve">Zork III: The Dungeon Master </t>
  </si>
  <si>
    <t>Enchanter</t>
  </si>
  <si>
    <t xml:space="preserve">Sorcerer </t>
  </si>
  <si>
    <t xml:space="preserve">Spellbreaker </t>
  </si>
  <si>
    <t xml:space="preserve">Mini Zork I: The Great Underground Empire </t>
  </si>
  <si>
    <t xml:space="preserve">Beyond Zork: The Coconut of Quendor </t>
  </si>
  <si>
    <t xml:space="preserve">Zork Zero: The Revenge of Megaboz </t>
  </si>
  <si>
    <t xml:space="preserve">Zork: The Undiscovered Underground </t>
  </si>
  <si>
    <t xml:space="preserve">Planetfall </t>
  </si>
  <si>
    <t xml:space="preserve">Stationfall </t>
  </si>
  <si>
    <t xml:space="preserve">Starcross </t>
  </si>
  <si>
    <t xml:space="preserve">Suspended: A Cryogenic Nightmare </t>
  </si>
  <si>
    <t>The Witness</t>
  </si>
  <si>
    <t xml:space="preserve">Infidel </t>
  </si>
  <si>
    <t>Seastalker</t>
  </si>
  <si>
    <t>Cutthroats</t>
  </si>
  <si>
    <t xml:space="preserve">The Hitchhiker's Guide to the Galaxy </t>
  </si>
  <si>
    <t xml:space="preserve">Suspect </t>
  </si>
  <si>
    <t xml:space="preserve">A Mind Forever Voyaging </t>
  </si>
  <si>
    <t xml:space="preserve">Wishbringer: The Magick Stone of Dreams </t>
  </si>
  <si>
    <t xml:space="preserve">Ballyhoo </t>
  </si>
  <si>
    <t xml:space="preserve">Hollywood Hijinx </t>
  </si>
  <si>
    <t xml:space="preserve">Leather Goddesses of Phobos </t>
  </si>
  <si>
    <t>Moonmist</t>
  </si>
  <si>
    <t xml:space="preserve">Trinity </t>
  </si>
  <si>
    <t xml:space="preserve">Border Zone </t>
  </si>
  <si>
    <t>Bureaucracy</t>
  </si>
  <si>
    <t xml:space="preserve">Nord and Bert Couldn't Make Head or Tail of It </t>
  </si>
  <si>
    <t xml:space="preserve">Plundered Hearts </t>
  </si>
  <si>
    <t xml:space="preserve">Sherlock: The Riddle of the Crown Jewels </t>
  </si>
  <si>
    <t xml:space="preserve">Arthur: The Quest for Excalibur </t>
  </si>
  <si>
    <t xml:space="preserve">James Clavell's Shogun </t>
  </si>
  <si>
    <t xml:space="preserve">Journey </t>
  </si>
  <si>
    <t>Firstly Published Year</t>
  </si>
  <si>
    <t>No support for stats and no suppoort for resource management</t>
  </si>
  <si>
    <t>Single platform on PC/Phone</t>
  </si>
  <si>
    <t>Single planform on Console</t>
  </si>
  <si>
    <t>Multiple planforms</t>
  </si>
  <si>
    <t>Single player</t>
  </si>
  <si>
    <t>Two players</t>
  </si>
  <si>
    <t>Three or more players</t>
  </si>
  <si>
    <t>Free to play</t>
  </si>
  <si>
    <t>Pay to play</t>
  </si>
  <si>
    <t>In-game ad or purchase</t>
  </si>
  <si>
    <t>Platform Compatibility</t>
  </si>
  <si>
    <t>Monetization Model</t>
  </si>
  <si>
    <t>Code</t>
  </si>
  <si>
    <t>C1: Human Computer Interaction</t>
  </si>
  <si>
    <t>C2: Visual Support</t>
  </si>
  <si>
    <t>C3: Game option</t>
  </si>
  <si>
    <t>C4: Action Time</t>
  </si>
  <si>
    <t>C5: Story ending</t>
  </si>
  <si>
    <t>C6: Stats System</t>
  </si>
  <si>
    <t>C7: Platform Compatibility</t>
  </si>
  <si>
    <t>C8: Player Count</t>
  </si>
  <si>
    <t>C9: Monetization Model</t>
  </si>
  <si>
    <t>C1 X</t>
  </si>
  <si>
    <t>C2 X</t>
  </si>
  <si>
    <t>C3 X</t>
  </si>
  <si>
    <t>C4 X</t>
  </si>
  <si>
    <t>C5 X</t>
  </si>
  <si>
    <t>C6 X</t>
  </si>
  <si>
    <t>C7 X</t>
  </si>
  <si>
    <t>C9 X</t>
  </si>
  <si>
    <t>C8 X</t>
  </si>
  <si>
    <t>2000~2002</t>
  </si>
  <si>
    <t>2003~2005</t>
  </si>
  <si>
    <t>2006~2008</t>
  </si>
  <si>
    <t>2009~2011</t>
  </si>
  <si>
    <t>2012~2014</t>
  </si>
  <si>
    <t>2015~2017</t>
  </si>
  <si>
    <t>2018~2020</t>
  </si>
  <si>
    <t>2021~2023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</si>
  <si>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</si>
  <si>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</si>
  <si>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</si>
  <si>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</si>
  <si>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</si>
  <si>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</si>
  <si>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</si>
  <si>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</si>
  <si>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</si>
  <si>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Keyboard</t>
  </si>
  <si>
    <t>Mouse</t>
  </si>
  <si>
    <t>Mouse only</t>
  </si>
  <si>
    <t>Text</t>
  </si>
  <si>
    <t>Picture</t>
  </si>
  <si>
    <t>Video</t>
  </si>
  <si>
    <t>Linear limited</t>
  </si>
  <si>
    <t>Non-linear limited</t>
  </si>
  <si>
    <t>Non-linear open</t>
  </si>
  <si>
    <t>Limited</t>
  </si>
  <si>
    <t>Mix</t>
  </si>
  <si>
    <t>Unlimited</t>
  </si>
  <si>
    <t>Single defined</t>
  </si>
  <si>
    <t>Multiple defined</t>
  </si>
  <si>
    <t>No defined</t>
  </si>
  <si>
    <t>No stats &amp; no resource</t>
  </si>
  <si>
    <t>Stats &amp; no resource</t>
  </si>
  <si>
    <t>Stats &amp; resource</t>
  </si>
  <si>
    <t>Single PC/Phone</t>
  </si>
  <si>
    <t>Single Console</t>
  </si>
  <si>
    <t>Multiple</t>
  </si>
  <si>
    <t>Single</t>
  </si>
  <si>
    <t>Two</t>
  </si>
  <si>
    <t>Three or more</t>
  </si>
  <si>
    <t>Free</t>
  </si>
  <si>
    <t>Purchase before playing</t>
  </si>
  <si>
    <t>In-game ad/purchase</t>
  </si>
  <si>
    <t>X axis</t>
  </si>
  <si>
    <t>y axis</t>
  </si>
  <si>
    <t>Category</t>
  </si>
  <si>
    <t xml:space="preserve">Story Ending </t>
  </si>
  <si>
    <t xml:space="preserve">Monetization Model </t>
  </si>
  <si>
    <t>1980-1981</t>
  </si>
  <si>
    <t>User Input</t>
  </si>
  <si>
    <t>Visual Output</t>
  </si>
  <si>
    <t>Story Option</t>
  </si>
  <si>
    <t>Time to Respond</t>
  </si>
  <si>
    <t>Stats &amp; Resouce</t>
  </si>
  <si>
    <t>Number of Players</t>
  </si>
  <si>
    <t>Stats &amp; Resource</t>
  </si>
  <si>
    <t>Platform Compatability</t>
  </si>
  <si>
    <t>Mystery of the Seven Keys</t>
  </si>
  <si>
    <t>https://www.herinteractive.com/shop-games/nancy-drew-secrets-can-kill/</t>
  </si>
  <si>
    <t>https://www.herinteractive.com/shop-games/nancy-drew-secrets-can-kill-remastered/</t>
  </si>
  <si>
    <t>https://www.herinteractive.com/shop-games/nancy-drew-stay-tuned-for-danger/</t>
  </si>
  <si>
    <t>https://www.herinteractive.com/shop-games/nancy-drew-message-in-a-haunted-mansion/</t>
  </si>
  <si>
    <t>https://www.herinteractive.com/shop-games/nancy-drew-treasure-in-the-royal-tower/</t>
  </si>
  <si>
    <t>https://www.herinteractive.com/shop-games/nancy-drew-the-final-scene/</t>
  </si>
  <si>
    <t>https://www.herinteractive.com/shop-games/nancy-drew-secret-of-the-scarlet-hand/</t>
  </si>
  <si>
    <t>https://www.herinteractive.com/shop-games/nancy-drew-ghost-dogs-of-moon-lake/</t>
  </si>
  <si>
    <t>https://www.herinteractive.com/shop-games/nancy-drew-the-haunted-carousel/</t>
  </si>
  <si>
    <t>https://www.herinteractive.com/shop-games/nancy-drew-danger-on-deception-island/</t>
  </si>
  <si>
    <t>https://www.herinteractive.com/shop-games/nancy-drew-the-secret-of-shadow-ranch/</t>
  </si>
  <si>
    <t>https://www.herinteractive.com/shop-games/nancy-drew-curse-of-blackmoor-manor/</t>
  </si>
  <si>
    <t>https://www.herinteractive.com/shop-games/nancy-drew-secret-of-the-old-clock/</t>
  </si>
  <si>
    <t>https://www.herinteractive.com/shop-games/nancy-drew-last-train-to-blue-moon-canyon/</t>
  </si>
  <si>
    <t>https://www.herinteractive.com/shop-games/nancy-drew-danger-by-design/</t>
  </si>
  <si>
    <t>https://www.herinteractive.com/shop-games/nancy-drew-the-creature-of-kapu-cave/</t>
  </si>
  <si>
    <t>https://www.herinteractive.com/shop-games/nancy-drew-the-white-wolf-of-icicle-creek/</t>
  </si>
  <si>
    <t>https://www.herinteractive.com/shop-games/nancy-drew-legend-of-the-crystal-skull/</t>
  </si>
  <si>
    <t>https://www.herinteractive.com/shop-games/nancy-drew-the-phantom-of-venice/</t>
  </si>
  <si>
    <t>https://www.herinteractive.com/shop-games/nancy-drew-the-haunting-of-castle-malloy/</t>
  </si>
  <si>
    <t>https://www.herinteractive.com/shop-games/nancy-drew-ransom-of-the-seven-ships/</t>
  </si>
  <si>
    <t>https://www.herinteractive.com/shop-games/nancy-drew-warnings-at-waverly-academy/</t>
  </si>
  <si>
    <t>https://www.herinteractive.com/shop-games/nancy-drew-trail-of-the-twister/</t>
  </si>
  <si>
    <t>https://www.herinteractive.com/shop-games/nancy-drew-shadow-at-the-waters-edge/</t>
  </si>
  <si>
    <t>https://www.herinteractive.com/shop-games/nancy-drew-the-captive-curse/</t>
  </si>
  <si>
    <t>https://www.herinteractive.com/shop-games/nancy-drew-alibi-in-ashes/</t>
  </si>
  <si>
    <t>https://www.herinteractive.com/shop-games/nancy-drew-tomb-of-the-lost-queen/</t>
  </si>
  <si>
    <t>https://www.herinteractive.com/shop-games/nancy-drew-the-deadly-device/</t>
  </si>
  <si>
    <t>https://www.herinteractive.com/shop-games/nancy-drew-ghost-of-thornton-hall/</t>
  </si>
  <si>
    <t>https://www.herinteractive.com/shop-games/nancy-drew-the-silent-spy/</t>
  </si>
  <si>
    <t>https://www.herinteractive.com/shop-games/nancy-drew-the-shattered-medallion/</t>
  </si>
  <si>
    <t>https://www.herinteractive.com/shop-games/nancy-drew-labyrinth-of-lies/</t>
  </si>
  <si>
    <t>https://www.herinteractive.com/shop-games/nancy-drew-sea-of-darkness/</t>
  </si>
  <si>
    <t>https://www.herinteractive.com/shop-games/33-nancy-drew-midnight-in-salem/</t>
  </si>
  <si>
    <t>https://www.herinteractive.com/shop-games/34-nancy-drew-mystery-of-the-seven-keys/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</si>
</sst>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5"/>
      <color theme="1"/>
      <name val="Times New Roman"/>
      <family val="1"/>
    </font>
    <font>
      <b/>
      <sz val="15"/>
      <color theme="1"/>
      <name val="Times New Roman"/>
      <family val="1"/>
    </font>
    <font>
      <b/>
      <sz val="15"/>
      <color rgb="FFFF0000"/>
      <name val="Times New Roman"/>
      <family val="1"/>
    </font>
    <font>
      <sz val="15"/>
      <name val="Times New Roman"/>
      <family val="1"/>
    </font>
    <font>
      <b/>
      <sz val="15"/>
      <color rgb="FF000000"/>
      <name val="Times New Roman"/>
      <family val="1"/>
    </font>
    <font>
      <sz val="15"/>
      <color rgb="FF000000"/>
      <name val="Times New Roman"/>
      <family val="1"/>
    </font>
    <font>
      <u/>
      <sz val="12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EDED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0" fontId="1" fillId="0" borderId="0" xfId="0" applyFont="1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1" fontId="1" fillId="4" borderId="1" xfId="0" applyNumberFormat="1" applyFont="1" applyFill="1" applyBorder="1" applyAlignment="1">
      <alignment wrapText="1"/>
    </xf>
    <xf numFmtId="1" fontId="1" fillId="2" borderId="1" xfId="0" applyNumberFormat="1" applyFont="1" applyFill="1" applyBorder="1" applyAlignment="1">
      <alignment wrapText="1"/>
    </xf>
    <xf numFmtId="1" fontId="1" fillId="3" borderId="1" xfId="0" applyNumberFormat="1" applyFont="1" applyFill="1" applyBorder="1" applyAlignment="1">
      <alignment wrapText="1"/>
    </xf>
    <xf numFmtId="0" fontId="3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wrapText="1"/>
    </xf>
    <xf numFmtId="0" fontId="4" fillId="4" borderId="1" xfId="0" applyFont="1" applyFill="1" applyBorder="1" applyAlignment="1">
      <alignment wrapText="1"/>
    </xf>
    <xf numFmtId="0" fontId="1" fillId="0" borderId="0" xfId="0" applyFont="1" applyAlignment="1">
      <alignment horizontal="left" wrapText="1"/>
    </xf>
    <xf numFmtId="0" fontId="1" fillId="0" borderId="1" xfId="0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2" fillId="3" borderId="0" xfId="0" applyFont="1" applyFill="1" applyAlignment="1">
      <alignment horizontal="left" vertical="top" wrapText="1"/>
    </xf>
    <xf numFmtId="0" fontId="3" fillId="3" borderId="1" xfId="0" applyFont="1" applyFill="1" applyBorder="1" applyAlignment="1">
      <alignment horizontal="center" vertical="top" wrapText="1"/>
    </xf>
    <xf numFmtId="0" fontId="1" fillId="4" borderId="0" xfId="0" applyFont="1" applyFill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3" borderId="0" xfId="0" applyFont="1" applyFill="1" applyAlignment="1">
      <alignment wrapText="1"/>
    </xf>
    <xf numFmtId="0" fontId="2" fillId="4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  <xf numFmtId="0" fontId="1" fillId="4" borderId="2" xfId="0" applyFont="1" applyFill="1" applyBorder="1" applyAlignment="1">
      <alignment wrapText="1"/>
    </xf>
    <xf numFmtId="0" fontId="2" fillId="4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4" borderId="3" xfId="0" applyFont="1" applyFill="1" applyBorder="1" applyAlignment="1">
      <alignment wrapText="1"/>
    </xf>
    <xf numFmtId="0" fontId="6" fillId="6" borderId="6" xfId="0" applyFont="1" applyFill="1" applyBorder="1" applyAlignment="1">
      <alignment wrapText="1"/>
    </xf>
    <xf numFmtId="0" fontId="6" fillId="6" borderId="7" xfId="0" applyFont="1" applyFill="1" applyBorder="1" applyAlignment="1">
      <alignment wrapText="1"/>
    </xf>
    <xf numFmtId="0" fontId="6" fillId="7" borderId="6" xfId="0" applyFont="1" applyFill="1" applyBorder="1" applyAlignment="1">
      <alignment wrapText="1"/>
    </xf>
    <xf numFmtId="0" fontId="6" fillId="7" borderId="7" xfId="0" applyFont="1" applyFill="1" applyBorder="1" applyAlignment="1">
      <alignment wrapText="1"/>
    </xf>
    <xf numFmtId="0" fontId="6" fillId="5" borderId="6" xfId="0" applyFont="1" applyFill="1" applyBorder="1" applyAlignment="1">
      <alignment wrapText="1"/>
    </xf>
    <xf numFmtId="0" fontId="6" fillId="5" borderId="7" xfId="0" applyFont="1" applyFill="1" applyBorder="1" applyAlignment="1">
      <alignment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0" borderId="0" xfId="1" applyAlignment="1">
      <alignment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left" vertical="top" wrapText="1"/>
    </xf>
    <xf numFmtId="0" fontId="2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2" fillId="4" borderId="1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Infocom - Categories - Publish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81379070220159"/>
          <c:y val="0.10060520377561902"/>
          <c:w val="0.85712950976289881"/>
          <c:h val="0.732390239389833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'Infocom Series'!$D$58</c:f>
              <c:strCache>
                <c:ptCount val="1"/>
                <c:pt idx="0">
                  <c:v>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843D-E440-9482-5C59D5D5591E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843D-E440-9482-5C59D5D5591E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843D-E440-9482-5C59D5D5591E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843D-E440-9482-5C59D5D5591E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843D-E440-9482-5C59D5D5591E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843D-E440-9482-5C59D5D5591E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843D-E440-9482-5C59D5D5591E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843D-E440-9482-5C59D5D5591E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843D-E440-9482-5C59D5D5591E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843D-E440-9482-5C59D5D5591E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843D-E440-9482-5C59D5D5591E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843D-E440-9482-5C59D5D5591E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843D-E440-9482-5C59D5D5591E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843D-E440-9482-5C59D5D5591E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843D-E440-9482-5C59D5D5591E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843D-E440-9482-5C59D5D5591E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843D-E440-9482-5C59D5D5591E}"/>
              </c:ext>
            </c:extLst>
          </c:dPt>
          <c:dPt>
            <c:idx val="1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843D-E440-9482-5C59D5D5591E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843D-E440-9482-5C59D5D5591E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843D-E440-9482-5C59D5D5591E}"/>
              </c:ext>
            </c:extLst>
          </c:dPt>
          <c:dPt>
            <c:idx val="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843D-E440-9482-5C59D5D5591E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843D-E440-9482-5C59D5D5591E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843D-E440-9482-5C59D5D5591E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843D-E440-9482-5C59D5D5591E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843D-E440-9482-5C59D5D5591E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9-843D-E440-9482-5C59D5D5591E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A-843D-E440-9482-5C59D5D5591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6492289F-7340-AB48-885B-A6B16507B8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3D-E440-9482-5C59D5D559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CD0157-5CBF-2445-957B-928B06A91A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3D-E440-9482-5C59D5D559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E176A0-3E67-1048-88AC-4C63789368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3D-E440-9482-5C59D5D559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1C99CA-6486-7C48-97A6-4CAB31A30F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3D-E440-9482-5C59D5D559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EFF483-F96C-8D44-9F25-7851DEFCEA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3D-E440-9482-5C59D5D559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C9BB2EE-0A83-F14B-AC2B-5216F6A0A4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3D-E440-9482-5C59D5D559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99CCA77-F29F-4741-B4C4-7A61D6985A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3D-E440-9482-5C59D5D559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5230023-F0EC-CC43-98FB-977DFD4DDC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3D-E440-9482-5C59D5D559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28F195-5BB6-0E48-A56F-2F54E26EF5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3D-E440-9482-5C59D5D559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F1147A4-9535-2940-8DDA-E98F7BB148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3D-E440-9482-5C59D5D559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C708F69-299F-F64E-A64F-827FA6BB79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3D-E440-9482-5C59D5D559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9FB3634-51DC-2F40-B9CF-ED2D17C9F4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3D-E440-9482-5C59D5D559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6558924-46C7-6345-922C-B1AFAF0763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3D-E440-9482-5C59D5D559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E07EE37-BDBA-564B-866C-76563992FA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3D-E440-9482-5C59D5D559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66349B-EB93-0C44-A5D2-47F94E908B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3D-E440-9482-5C59D5D559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77138F-9987-3C42-8D15-61A6256236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3D-E440-9482-5C59D5D559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4FE40A9-6644-584F-8D17-9A7CB7A19E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3D-E440-9482-5C59D5D559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28930B-6039-814F-8D42-CC45F22EBE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3D-E440-9482-5C59D5D559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D65A4BA-8A29-FE4F-B4E0-EEDFA75272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3D-E440-9482-5C59D5D559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FE9E48A-4C05-254F-9DAB-29DFBBC51D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3D-E440-9482-5C59D5D559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A347B4D-D771-D447-92D9-F15A81F802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3D-E440-9482-5C59D5D559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0A67CDA-EA0A-E14E-84E6-35D2997C7C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3D-E440-9482-5C59D5D559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033EB2-CF68-CD44-B29D-AD8E256C1C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3D-E440-9482-5C59D5D559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D2E37F8-CC03-7F45-B1F1-4ED8DCB10D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3D-E440-9482-5C59D5D559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8B9732-62FE-D44D-8009-45A70A7E28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3D-E440-9482-5C59D5D559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6432504-92D3-B847-90BF-6A489DB224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3D-E440-9482-5C59D5D559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3803908-6009-F943-8A4F-3E809C077E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3D-E440-9482-5C59D5D559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Series'!$C$59:$C$85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Series'!$D$59:$D$85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5</c:v>
                  </c:pt>
                  <c:pt idx="3">
                    <c:v>5</c:v>
                  </c:pt>
                  <c:pt idx="4">
                    <c:v>3</c:v>
                  </c:pt>
                  <c:pt idx="5">
                    <c:v>5</c:v>
                  </c:pt>
                  <c:pt idx="6">
                    <c:v>8</c:v>
                  </c:pt>
                  <c:pt idx="7">
                    <c:v>2</c:v>
                  </c:pt>
                  <c:pt idx="8">
                    <c:v>3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843D-E440-9482-5C59D5D5591E}"/>
            </c:ext>
          </c:extLst>
        </c:ser>
        <c:ser>
          <c:idx val="1"/>
          <c:order val="1"/>
          <c:tx>
            <c:strRef>
              <c:f>'Infocom Series'!$A$46</c:f>
              <c:strCache>
                <c:ptCount val="1"/>
                <c:pt idx="0">
                  <c:v>Y: Publish Year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8CFF6D6-F76F-6947-8C82-F35B4FF21F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3D-E440-9482-5C59D5D559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9AAD66-B2D1-7D4E-9A01-714EBCCF7D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3D-E440-9482-5C59D5D559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652C7C-6F3A-6547-A109-E115A27E55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3D-E440-9482-5C59D5D559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84A481-030B-9048-96EC-01A68DACB9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3D-E440-9482-5C59D5D559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53C02B-FF0A-EA45-94E3-43D3344F5D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3D-E440-9482-5C59D5D559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E3325F-0582-0C4E-A68C-B5F6D68712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3D-E440-9482-5C59D5D559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3396A1-12D0-784D-B9AE-E2EB4A0DBF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3D-E440-9482-5C59D5D559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136A51-0B58-4843-BD02-A6305566B7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3D-E440-9482-5C59D5D559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67E9150-A47F-714A-AFD4-1762AD6911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3D-E440-9482-5C59D5D559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Series'!$B$48:$B$56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'Infocom Series'!$C$48:$C$56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Series'!$A$48:$A$56</c15:f>
                <c15:dlblRangeCache>
                  <c:ptCount val="9"/>
                  <c:pt idx="0">
                    <c:v>1980-1981</c:v>
                  </c:pt>
                  <c:pt idx="1">
                    <c:v>1982</c:v>
                  </c:pt>
                  <c:pt idx="2">
                    <c:v>1983</c:v>
                  </c:pt>
                  <c:pt idx="3">
                    <c:v>1984</c:v>
                  </c:pt>
                  <c:pt idx="4">
                    <c:v>1985</c:v>
                  </c:pt>
                  <c:pt idx="5">
                    <c:v>1986</c:v>
                  </c:pt>
                  <c:pt idx="6">
                    <c:v>1987</c:v>
                  </c:pt>
                  <c:pt idx="7">
                    <c:v>1988</c:v>
                  </c:pt>
                  <c:pt idx="8">
                    <c:v>1989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5-843D-E440-9482-5C59D5D5591E}"/>
            </c:ext>
          </c:extLst>
        </c:ser>
        <c:ser>
          <c:idx val="2"/>
          <c:order val="2"/>
          <c:tx>
            <c:strRef>
              <c:f>'Infocom Series'!$F$1</c:f>
              <c:strCache>
                <c:ptCount val="1"/>
                <c:pt idx="0">
                  <c:v>C1: Human Computer Interaction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8B24D8E-8528-F34D-9469-23596FA3E2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3D-E440-9482-5C59D5D5591E}"/>
                </c:ext>
              </c:extLst>
            </c:dLbl>
            <c:dLbl>
              <c:idx val="1"/>
              <c:layout>
                <c:manualLayout>
                  <c:x val="-2.1216361229661057E-2"/>
                  <c:y val="9.217150197138306E-2"/>
                </c:manualLayout>
              </c:layout>
              <c:tx>
                <c:rich>
                  <a:bodyPr/>
                  <a:lstStyle/>
                  <a:p>
                    <a:fld id="{A870F671-9BC5-6342-91FD-8FA63410D3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843D-E440-9482-5C59D5D5591E}"/>
                </c:ext>
              </c:extLst>
            </c:dLbl>
            <c:dLbl>
              <c:idx val="2"/>
              <c:layout>
                <c:manualLayout>
                  <c:x val="-2.7487264532024464E-2"/>
                  <c:y val="0.13788577945812727"/>
                </c:manualLayout>
              </c:layout>
              <c:tx>
                <c:rich>
                  <a:bodyPr/>
                  <a:lstStyle/>
                  <a:p>
                    <a:fld id="{B040B2F4-F87C-2941-9550-11F54FF2C9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843D-E440-9482-5C59D5D559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Series'!$I$3:$I$5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'Infocom Series'!$K$3:$K$5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Series'!$H$3:$H$5</c15:f>
                <c15:dlblRangeCache>
                  <c:ptCount val="3"/>
                  <c:pt idx="0">
                    <c:v>Keyboard</c:v>
                  </c:pt>
                  <c:pt idx="1">
                    <c:v>Mouse</c:v>
                  </c:pt>
                  <c:pt idx="2">
                    <c:v>Mouse only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9-843D-E440-9482-5C59D5D5591E}"/>
            </c:ext>
          </c:extLst>
        </c:ser>
        <c:ser>
          <c:idx val="3"/>
          <c:order val="3"/>
          <c:tx>
            <c:strRef>
              <c:f>'Infocom Series'!$F$6:$I$6</c:f>
              <c:strCache>
                <c:ptCount val="1"/>
                <c:pt idx="0">
                  <c:v>C2: Visual Support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045FF83-B704-CA4A-A72F-6A36C065F2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740-5148-A2F6-DAD9E134559F}"/>
                </c:ext>
              </c:extLst>
            </c:dLbl>
            <c:dLbl>
              <c:idx val="1"/>
              <c:layout>
                <c:manualLayout>
                  <c:x val="-2.0727964606596615E-2"/>
                  <c:y val="0.10588578521740649"/>
                </c:manualLayout>
              </c:layout>
              <c:tx>
                <c:rich>
                  <a:bodyPr/>
                  <a:lstStyle/>
                  <a:p>
                    <a:fld id="{46DB19E2-9064-684E-8F71-1A8C9B4801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D740-5148-A2F6-DAD9E134559F}"/>
                </c:ext>
              </c:extLst>
            </c:dLbl>
            <c:dLbl>
              <c:idx val="2"/>
              <c:layout>
                <c:manualLayout>
                  <c:x val="-2.2269945198250062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0F1CE008-9344-B241-933B-330BAE0E3E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Series'!$I$8:$I$10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xVal>
          <c:yVal>
            <c:numRef>
              <c:f>'Infocom Series'!$K$8:$K$10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Series'!$H$8:$H$10</c15:f>
                <c15:dlblRangeCache>
                  <c:ptCount val="3"/>
                  <c:pt idx="0">
                    <c:v>Text</c:v>
                  </c:pt>
                  <c:pt idx="1">
                    <c:v>Picture</c:v>
                  </c:pt>
                  <c:pt idx="2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D740-5148-A2F6-DAD9E134559F}"/>
            </c:ext>
          </c:extLst>
        </c:ser>
        <c:ser>
          <c:idx val="4"/>
          <c:order val="4"/>
          <c:tx>
            <c:strRef>
              <c:f>'Infocom Series'!$F$11:$I$11</c:f>
              <c:strCache>
                <c:ptCount val="1"/>
                <c:pt idx="0">
                  <c:v>C3: Game option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CD34416-CDC8-D84B-AC57-4DAECD5EDA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740-5148-A2F6-DAD9E134559F}"/>
                </c:ext>
              </c:extLst>
            </c:dLbl>
            <c:dLbl>
              <c:idx val="1"/>
              <c:layout>
                <c:manualLayout>
                  <c:x val="-4.17808277086354E-2"/>
                  <c:y val="7.8457218725359962E-2"/>
                </c:manualLayout>
              </c:layout>
              <c:tx>
                <c:rich>
                  <a:bodyPr/>
                  <a:lstStyle/>
                  <a:p>
                    <a:fld id="{6833EE28-65C3-0D41-9FE7-5DDD0A4646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D740-5148-A2F6-DAD9E134559F}"/>
                </c:ext>
              </c:extLst>
            </c:dLbl>
            <c:dLbl>
              <c:idx val="2"/>
              <c:layout>
                <c:manualLayout>
                  <c:x val="-4.1334767692490282E-2"/>
                  <c:y val="0.14017149333246465"/>
                </c:manualLayout>
              </c:layout>
              <c:tx>
                <c:rich>
                  <a:bodyPr/>
                  <a:lstStyle/>
                  <a:p>
                    <a:fld id="{29CDC49B-55D3-F046-B838-66B13B661A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Series'!$I$13:$I$15</c:f>
              <c:numCache>
                <c:formatCode>General</c:formatCode>
                <c:ptCount val="3"/>
                <c:pt idx="0">
                  <c:v>8</c:v>
                </c:pt>
                <c:pt idx="1">
                  <c:v>9</c:v>
                </c:pt>
                <c:pt idx="2">
                  <c:v>10</c:v>
                </c:pt>
              </c:numCache>
            </c:numRef>
          </c:xVal>
          <c:yVal>
            <c:numRef>
              <c:f>'Infocom Series'!$K$13:$K$15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Series'!$H$13:$H$15</c15:f>
                <c15:dlblRangeCache>
                  <c:ptCount val="3"/>
                  <c:pt idx="0">
                    <c:v>Linear limited</c:v>
                  </c:pt>
                  <c:pt idx="1">
                    <c:v>Non-linear limited</c:v>
                  </c:pt>
                  <c:pt idx="2">
                    <c:v>Non-linear open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C-D740-5148-A2F6-DAD9E134559F}"/>
            </c:ext>
          </c:extLst>
        </c:ser>
        <c:ser>
          <c:idx val="5"/>
          <c:order val="5"/>
          <c:tx>
            <c:strRef>
              <c:f>'Infocom Series'!$F$16:$I$16</c:f>
              <c:strCache>
                <c:ptCount val="1"/>
                <c:pt idx="0">
                  <c:v>C4: Action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1B7E9A5-88D8-3848-A405-41BFAC8026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740-5148-A2F6-DAD9E134559F}"/>
                </c:ext>
              </c:extLst>
            </c:dLbl>
            <c:dLbl>
              <c:idx val="1"/>
              <c:layout>
                <c:manualLayout>
                  <c:x val="-1.4212894776940491E-2"/>
                  <c:y val="8.9885788097046018E-2"/>
                </c:manualLayout>
              </c:layout>
              <c:tx>
                <c:rich>
                  <a:bodyPr/>
                  <a:lstStyle/>
                  <a:p>
                    <a:fld id="{BB788668-E920-7843-BA48-A3B7D5ECCB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D740-5148-A2F6-DAD9E134559F}"/>
                </c:ext>
              </c:extLst>
            </c:dLbl>
            <c:dLbl>
              <c:idx val="2"/>
              <c:layout>
                <c:manualLayout>
                  <c:x val="-2.6245962845368339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53DE128E-E000-804F-84B4-BD5C7077E7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Series'!$I$18:$I$20</c:f>
              <c:numCache>
                <c:formatCode>General</c:formatCode>
                <c:ptCount val="3"/>
                <c:pt idx="0">
                  <c:v>12</c:v>
                </c:pt>
                <c:pt idx="1">
                  <c:v>13</c:v>
                </c:pt>
                <c:pt idx="2">
                  <c:v>14</c:v>
                </c:pt>
              </c:numCache>
            </c:numRef>
          </c:xVal>
          <c:yVal>
            <c:numRef>
              <c:f>'Infocom Series'!$K$18:$K$20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Series'!$H$18:$H$20</c15:f>
                <c15:dlblRangeCache>
                  <c:ptCount val="3"/>
                  <c:pt idx="0">
                    <c:v>Limited</c:v>
                  </c:pt>
                  <c:pt idx="1">
                    <c:v>Mix</c:v>
                  </c:pt>
                  <c:pt idx="2">
                    <c:v>Unlimited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D-D740-5148-A2F6-DAD9E134559F}"/>
            </c:ext>
          </c:extLst>
        </c:ser>
        <c:ser>
          <c:idx val="6"/>
          <c:order val="6"/>
          <c:tx>
            <c:strRef>
              <c:f>'Infocom Series'!$F$21:$I$21</c:f>
              <c:strCache>
                <c:ptCount val="1"/>
                <c:pt idx="0">
                  <c:v>C5: Story ending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242CB38-FFBA-5943-96C4-16414F4F5C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740-5148-A2F6-DAD9E134559F}"/>
                </c:ext>
              </c:extLst>
            </c:dLbl>
            <c:dLbl>
              <c:idx val="1"/>
              <c:layout>
                <c:manualLayout>
                  <c:x val="-3.7946059221539138E-2"/>
                  <c:y val="9.217150197138306E-2"/>
                </c:manualLayout>
              </c:layout>
              <c:tx>
                <c:rich>
                  <a:bodyPr/>
                  <a:lstStyle/>
                  <a:p>
                    <a:fld id="{46BB9678-D9EC-794C-882E-1AD797FFC0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D740-5148-A2F6-DAD9E134559F}"/>
                </c:ext>
              </c:extLst>
            </c:dLbl>
            <c:dLbl>
              <c:idx val="2"/>
              <c:layout>
                <c:manualLayout>
                  <c:x val="-2.7027092313573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2840FAFF-FEF8-0C4A-80E7-4470773685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Series'!$I$23:$I$25</c:f>
              <c:numCache>
                <c:formatCode>General</c:formatCode>
                <c:ptCount val="3"/>
                <c:pt idx="0">
                  <c:v>16</c:v>
                </c:pt>
                <c:pt idx="1">
                  <c:v>17</c:v>
                </c:pt>
                <c:pt idx="2">
                  <c:v>18</c:v>
                </c:pt>
              </c:numCache>
            </c:numRef>
          </c:xVal>
          <c:yVal>
            <c:numRef>
              <c:f>'Infocom Series'!$K$23:$K$25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Series'!$H$23:$H$25</c15:f>
                <c15:dlblRangeCache>
                  <c:ptCount val="3"/>
                  <c:pt idx="0">
                    <c:v>Single defined</c:v>
                  </c:pt>
                  <c:pt idx="1">
                    <c:v>Multiple defined</c:v>
                  </c:pt>
                  <c:pt idx="2">
                    <c:v>No defined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E-D740-5148-A2F6-DAD9E134559F}"/>
            </c:ext>
          </c:extLst>
        </c:ser>
        <c:ser>
          <c:idx val="7"/>
          <c:order val="7"/>
          <c:tx>
            <c:strRef>
              <c:f>'Infocom Series'!$F$26:$I$26</c:f>
              <c:strCache>
                <c:ptCount val="1"/>
                <c:pt idx="0">
                  <c:v>C6: Stats System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C358D81-F17B-8849-86B9-97FDE9B7DD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740-5148-A2F6-DAD9E134559F}"/>
                </c:ext>
              </c:extLst>
            </c:dLbl>
            <c:dLbl>
              <c:idx val="1"/>
              <c:layout>
                <c:manualLayout>
                  <c:x val="-4.5246263333567904E-2"/>
                  <c:y val="8.3028646474034212E-2"/>
                </c:manualLayout>
              </c:layout>
              <c:tx>
                <c:rich>
                  <a:bodyPr/>
                  <a:lstStyle/>
                  <a:p>
                    <a:fld id="{81CC41D4-7633-FF4B-8B1B-7FCE55E890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D740-5148-A2F6-DAD9E134559F}"/>
                </c:ext>
              </c:extLst>
            </c:dLbl>
            <c:dLbl>
              <c:idx val="2"/>
              <c:layout>
                <c:manualLayout>
                  <c:x val="-3.9050052993862515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49212700-FA60-E840-AC90-2B20D2EE9F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Series'!$I$28:$I$30</c:f>
              <c:numCache>
                <c:formatCode>General</c:formatCode>
                <c:ptCount val="3"/>
                <c:pt idx="0">
                  <c:v>20</c:v>
                </c:pt>
                <c:pt idx="1">
                  <c:v>21</c:v>
                </c:pt>
                <c:pt idx="2">
                  <c:v>22</c:v>
                </c:pt>
              </c:numCache>
            </c:numRef>
          </c:xVal>
          <c:yVal>
            <c:numRef>
              <c:f>'Infocom Series'!$K$28:$K$30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Series'!$H$28:$H$30</c15:f>
                <c15:dlblRangeCache>
                  <c:ptCount val="3"/>
                  <c:pt idx="0">
                    <c:v>No stats &amp; no resource</c:v>
                  </c:pt>
                  <c:pt idx="1">
                    <c:v>Stats &amp; no resource</c:v>
                  </c:pt>
                  <c:pt idx="2">
                    <c:v>Stats &amp; resource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D740-5148-A2F6-DAD9E134559F}"/>
            </c:ext>
          </c:extLst>
        </c:ser>
        <c:ser>
          <c:idx val="8"/>
          <c:order val="8"/>
          <c:tx>
            <c:strRef>
              <c:f>'Infocom Series'!$F$31:$I$31</c:f>
              <c:strCache>
                <c:ptCount val="1"/>
                <c:pt idx="0">
                  <c:v>C7: Platform Compatibility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56D451A-9B7E-3E49-8B20-861C05ACC3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740-5148-A2F6-DAD9E134559F}"/>
                </c:ext>
              </c:extLst>
            </c:dLbl>
            <c:dLbl>
              <c:idx val="1"/>
              <c:layout>
                <c:manualLayout>
                  <c:x val="-3.4492765176068474E-2"/>
                  <c:y val="9.4457215845720435E-2"/>
                </c:manualLayout>
              </c:layout>
              <c:tx>
                <c:rich>
                  <a:bodyPr/>
                  <a:lstStyle/>
                  <a:p>
                    <a:fld id="{5A80B7A0-9173-1248-83D0-4D870D7503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D740-5148-A2F6-DAD9E134559F}"/>
                </c:ext>
              </c:extLst>
            </c:dLbl>
            <c:dLbl>
              <c:idx val="2"/>
              <c:layout>
                <c:manualLayout>
                  <c:x val="-2.1040785091055808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075D43BB-A575-BC48-AFE7-9B8E651893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Series'!$I$33:$I$35</c:f>
              <c:numCache>
                <c:formatCode>General</c:formatCode>
                <c:ptCount val="3"/>
                <c:pt idx="0">
                  <c:v>24</c:v>
                </c:pt>
                <c:pt idx="1">
                  <c:v>25</c:v>
                </c:pt>
                <c:pt idx="2">
                  <c:v>26</c:v>
                </c:pt>
              </c:numCache>
            </c:numRef>
          </c:xVal>
          <c:yVal>
            <c:numRef>
              <c:f>'Infocom Series'!$K$33:$K$35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Series'!$H$33:$H$35</c15:f>
                <c15:dlblRangeCache>
                  <c:ptCount val="3"/>
                  <c:pt idx="0">
                    <c:v>Single PC/Phone</c:v>
                  </c:pt>
                  <c:pt idx="1">
                    <c:v>Single Console</c:v>
                  </c:pt>
                  <c:pt idx="2">
                    <c:v>Multiple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D740-5148-A2F6-DAD9E134559F}"/>
            </c:ext>
          </c:extLst>
        </c:ser>
        <c:ser>
          <c:idx val="9"/>
          <c:order val="9"/>
          <c:tx>
            <c:strRef>
              <c:f>'Infocom Series'!$F$36:$I$36</c:f>
              <c:strCache>
                <c:ptCount val="1"/>
                <c:pt idx="0">
                  <c:v>C8: Player Count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F7E7888-D25E-D842-9911-BF06FA065F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740-5148-A2F6-DAD9E134559F}"/>
                </c:ext>
              </c:extLst>
            </c:dLbl>
            <c:dLbl>
              <c:idx val="1"/>
              <c:layout>
                <c:manualLayout>
                  <c:x val="-1.0957362269196361E-2"/>
                  <c:y val="8.5314360348371587E-2"/>
                </c:manualLayout>
              </c:layout>
              <c:tx>
                <c:rich>
                  <a:bodyPr/>
                  <a:lstStyle/>
                  <a:p>
                    <a:fld id="{D5C84ECC-0245-774B-B394-8FE1187FEF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D740-5148-A2F6-DAD9E134559F}"/>
                </c:ext>
              </c:extLst>
            </c:dLbl>
            <c:dLbl>
              <c:idx val="2"/>
              <c:layout>
                <c:manualLayout>
                  <c:x val="-4.1566919777279054E-2"/>
                  <c:y val="0.1447429210811389"/>
                </c:manualLayout>
              </c:layout>
              <c:tx>
                <c:rich>
                  <a:bodyPr/>
                  <a:lstStyle/>
                  <a:p>
                    <a:fld id="{F66EFDF4-60B7-574A-9C31-11A55A94B6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Series'!$I$38:$I$40</c:f>
              <c:numCache>
                <c:formatCode>General</c:formatCode>
                <c:ptCount val="3"/>
                <c:pt idx="0">
                  <c:v>28</c:v>
                </c:pt>
                <c:pt idx="1">
                  <c:v>29</c:v>
                </c:pt>
                <c:pt idx="2">
                  <c:v>30</c:v>
                </c:pt>
              </c:numCache>
            </c:numRef>
          </c:xVal>
          <c:yVal>
            <c:numRef>
              <c:f>'Infocom Series'!$K$38:$K$40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Series'!$H$38:$H$40</c15:f>
                <c15:dlblRangeCache>
                  <c:ptCount val="3"/>
                  <c:pt idx="0">
                    <c:v>Single</c:v>
                  </c:pt>
                  <c:pt idx="1">
                    <c:v>Two</c:v>
                  </c:pt>
                  <c:pt idx="2">
                    <c:v>Three or more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D740-5148-A2F6-DAD9E134559F}"/>
            </c:ext>
          </c:extLst>
        </c:ser>
        <c:ser>
          <c:idx val="10"/>
          <c:order val="10"/>
          <c:tx>
            <c:strRef>
              <c:f>'Infocom Series'!$F$41:$I$41</c:f>
              <c:strCache>
                <c:ptCount val="1"/>
                <c:pt idx="0">
                  <c:v>C9: Monetization Model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20B31F8-9644-7340-88DC-7AB7290E49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740-5148-A2F6-DAD9E134559F}"/>
                </c:ext>
              </c:extLst>
            </c:dLbl>
            <c:dLbl>
              <c:idx val="1"/>
              <c:layout>
                <c:manualLayout>
                  <c:x val="-3.0632378591993704E-3"/>
                  <c:y val="0.1447429210811389"/>
                </c:manualLayout>
              </c:layout>
              <c:tx>
                <c:rich>
                  <a:bodyPr/>
                  <a:lstStyle/>
                  <a:p>
                    <a:fld id="{4598CB69-EAA9-EF42-8526-69351BFCC8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D740-5148-A2F6-DAD9E134559F}"/>
                </c:ext>
              </c:extLst>
            </c:dLbl>
            <c:dLbl>
              <c:idx val="2"/>
              <c:layout>
                <c:manualLayout>
                  <c:x val="0"/>
                  <c:y val="9.4457215845720435E-2"/>
                </c:manualLayout>
              </c:layout>
              <c:tx>
                <c:rich>
                  <a:bodyPr/>
                  <a:lstStyle/>
                  <a:p>
                    <a:fld id="{71D6133A-CF32-C44E-9C56-525E985614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'Infocom Series'!$I$43:$I$45</c:f>
              <c:numCache>
                <c:formatCode>General</c:formatCode>
                <c:ptCount val="3"/>
                <c:pt idx="0">
                  <c:v>32</c:v>
                </c:pt>
                <c:pt idx="1">
                  <c:v>33</c:v>
                </c:pt>
                <c:pt idx="2">
                  <c:v>34</c:v>
                </c:pt>
              </c:numCache>
            </c:numRef>
          </c:xVal>
          <c:yVal>
            <c:numRef>
              <c:f>'Infocom Series'!$K$43:$K$45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Series'!$H$43:$H$45</c15:f>
                <c15:dlblRangeCache>
                  <c:ptCount val="3"/>
                  <c:pt idx="0">
                    <c:v>Free</c:v>
                  </c:pt>
                  <c:pt idx="1">
                    <c:v>Purchase before playing</c:v>
                  </c:pt>
                  <c:pt idx="2">
                    <c:v>In-game ad/purchase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2-D740-5148-A2F6-DAD9E134559F}"/>
            </c:ext>
          </c:extLst>
        </c:ser>
        <c:ser>
          <c:idx val="11"/>
          <c:order val="11"/>
          <c:tx>
            <c:strRef>
              <c:f>'Infocom Series'!$F$58</c:f>
              <c:strCache>
                <c:ptCount val="1"/>
                <c:pt idx="0">
                  <c:v>C2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62D9EC-607B-6F4E-8DE1-09407F7BA1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C259DC-C952-4741-98A7-9D6BA2DD70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19130C-9781-ED4B-95EC-352AB950B4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9222EF-6249-5349-8B0B-4045263948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0AD0A86-16D0-4045-A3CE-6126379313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20803C-4615-724A-9AA6-B480ED5FA2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CF9804-73C0-DE42-9665-63DD68C0EC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E1A768-D9AF-1344-BD50-FB01B4C696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D5924C3-A13E-E04C-AC78-C8854AACD4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842C2C-8E2F-2642-93DB-D37494858E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E625042-D523-A647-9335-6B308EA850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DB52B1D-2938-D642-B538-8CEE5F50E4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39F3C2-5727-6543-8A01-95312284C1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64B87C2-3BB1-7745-A07B-BB372E3BC2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2BF8A4-3819-CF44-8403-9502A5FA91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E2DBC8-41B7-FA4B-AA68-1E1A9FDDC5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D49549-3A58-0547-A83D-F7C930225D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F66DC1F-A694-C04E-AF37-E6F25E7BD3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8AECA0C-731E-1E4E-B6B1-2343B3B373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C2DDBB-3729-C844-B464-A5C991A2D7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560415-A38D-1B44-9D8D-4D3D8A1079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E2BCFFF-2C47-874C-8A8A-50C2D9368C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6140D7-7BF9-8F4D-B9AA-581547999D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84759B-E827-9847-95D3-4646B6D55C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F4EFBB-E9CD-9A46-9D65-C622F7E49C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7E177CB-A524-4E44-AB19-1FF9029803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D2279E3-5133-FF46-9D4B-56727EBC81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Series'!$E$59:$E$85</c:f>
              <c:numCache>
                <c:formatCode>General</c:formatCode>
                <c:ptCount val="27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Series'!$F$59:$F$85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5</c:v>
                  </c:pt>
                  <c:pt idx="3">
                    <c:v>5</c:v>
                  </c:pt>
                  <c:pt idx="4">
                    <c:v>3</c:v>
                  </c:pt>
                  <c:pt idx="5">
                    <c:v>5</c:v>
                  </c:pt>
                  <c:pt idx="6">
                    <c:v>8</c:v>
                  </c:pt>
                  <c:pt idx="7">
                    <c:v>1</c:v>
                  </c:pt>
                  <c:pt idx="8">
                    <c:v>3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1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C-D740-5148-A2F6-DAD9E134559F}"/>
            </c:ext>
          </c:extLst>
        </c:ser>
        <c:ser>
          <c:idx val="12"/>
          <c:order val="12"/>
          <c:tx>
            <c:strRef>
              <c:f>'Infocom Series'!$H$58</c:f>
              <c:strCache>
                <c:ptCount val="1"/>
                <c:pt idx="0">
                  <c:v>C3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2C40C91-1197-A74E-A64C-30C374730F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DB6D80-4B0F-4646-884D-B1F294EA8E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449883-531D-5E4C-8759-5A80FCDC8A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10CA72-FDFB-564E-A14B-19573E322C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17F12A-145C-3543-8F38-BE2B040084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5E51BE0-8107-D34D-A7ED-CFA2234FD3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A31AEE-E78D-9347-B9B6-B8A775918C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3EDB2D-79CF-C04E-B4FD-5075242088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4AA1BB-1C4E-554D-AA32-DCFF85D149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4E66DEE-BA7D-E844-A9A3-9E64A6778E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9E581F-A6C8-8844-A254-91AC5D3C0C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13769E-7A8E-8A4C-9AF3-2571653B45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B685FF-D946-5B48-9252-7B3818D524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5F4C53-AC6C-B349-8004-6CE1FA72AB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DD5CE0-185C-5D46-9BF3-BA8DEE7649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F20F7CC-47B8-9041-90B4-61C5DA1B9A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543B46A-38FF-4E44-8003-A7D7969724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51E6EA-9DA2-1B4A-A91B-DBCCAC2375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C6DE51-7697-3842-9EB0-8978CAA1DD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EAF4720-EE73-6047-8064-9428F51D31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25A1B4-1A31-9344-BCAC-A86E86B5F8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1EFBDFD-70F8-4D42-91FA-9AAAC2BAB5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42596C-850C-4D4E-AE2D-A0D3E2A9D8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8AE440-D68B-CE41-92B4-49F94467A9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0784DF8-CFDA-5644-AF98-52EA2EA68F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D88650-C9ED-7643-A8FA-E768B9E0CA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9DAF713-52EA-1F49-8CDF-E65E1043E6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Series'!$G$59:$G$85</c:f>
              <c:numCache>
                <c:formatCode>General</c:formatCode>
                <c:ptCount val="27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Series'!$H$59:$H$85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3</c:v>
                  </c:pt>
                  <c:pt idx="11">
                    <c:v>5</c:v>
                  </c:pt>
                  <c:pt idx="12">
                    <c:v>5</c:v>
                  </c:pt>
                  <c:pt idx="13">
                    <c:v>2</c:v>
                  </c:pt>
                  <c:pt idx="14">
                    <c:v>5</c:v>
                  </c:pt>
                  <c:pt idx="15">
                    <c:v>7</c:v>
                  </c:pt>
                  <c:pt idx="16">
                    <c:v>2</c:v>
                  </c:pt>
                  <c:pt idx="17">
                    <c:v>2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1</c:v>
                  </c:pt>
                  <c:pt idx="23">
                    <c:v>0</c:v>
                  </c:pt>
                  <c:pt idx="24">
                    <c:v>1</c:v>
                  </c:pt>
                  <c:pt idx="25">
                    <c:v>0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D-D740-5148-A2F6-DAD9E134559F}"/>
            </c:ext>
          </c:extLst>
        </c:ser>
        <c:ser>
          <c:idx val="13"/>
          <c:order val="13"/>
          <c:tx>
            <c:strRef>
              <c:f>'Infocom Series'!$K$58</c:f>
              <c:strCache>
                <c:ptCount val="1"/>
                <c:pt idx="0">
                  <c:v>C4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2A928D4-58AF-B247-BBAF-8FAE289036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BC9B59-BDC8-4C49-A750-65FD1DCBB1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326C22-4940-2148-8FAE-F27C38F6F2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184384-D8E9-4F47-92B8-EB2918CF23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2FD2E2-136E-DB4C-9C8A-0ECBAAE138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C75944-3BB4-D343-80D9-EAA5F1B3AD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FE8EF4-7382-E24C-8DF6-36170A25D1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38FCDFD-D35A-ED41-A40C-733AC8EF2F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22CC66-1ACA-974F-BAEF-38BF9DBB07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DFDAD5-8354-BC4C-9629-8746B5BB62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F1D5EB-AB7C-944D-91F9-12480171C5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665D90-96AD-5C4F-9AF4-2141D311C7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BECF7E1-52DE-E346-BE8E-2CB67CF11B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B0121A3-67D5-A74C-B0FB-E6D3E7E5DB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5AF3590-6971-7446-97A1-8741294B34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F0110D0-1A21-AB41-B6F0-2047EDB9D2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C3AFAD-F3B7-ED49-B70A-C178207DD1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EC410C1-4E5D-B045-BF82-F16E5BD6AD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ABF1278-A2EA-464F-AB61-F88BA7E993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72339C1-97C5-B547-A6A3-CEC3987C13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A033B9-26C1-094E-BB6D-4B9885007C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6505A9-51EE-3048-A987-BA3BFC7717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86E510F-35DC-BD43-A045-308F606539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225FB64-FFF5-094B-8AA1-60AFEE7ED1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BC2E72-6632-B74D-B0CB-1D7DD65AD8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ECB8C6-3BD5-6548-B797-6F2AFA8845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5732BD-4AEB-3A45-AC9E-8B6779CE14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Series'!$J$59:$J$85</c:f>
              <c:numCache>
                <c:formatCode>General</c:formatCode>
                <c:ptCount val="27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Series'!$K$59:$K$85</c15:f>
                <c15:dlblRangeCache>
                  <c:ptCount val="27"/>
                  <c:pt idx="0">
                    <c:v>2</c:v>
                  </c:pt>
                  <c:pt idx="1">
                    <c:v>2</c:v>
                  </c:pt>
                  <c:pt idx="2">
                    <c:v>3</c:v>
                  </c:pt>
                  <c:pt idx="3">
                    <c:v>2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1</c:v>
                  </c:pt>
                  <c:pt idx="8">
                    <c:v>0</c:v>
                  </c:pt>
                  <c:pt idx="9">
                    <c:v>0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  <c:pt idx="13">
                    <c:v>2</c:v>
                  </c:pt>
                  <c:pt idx="14">
                    <c:v>4</c:v>
                  </c:pt>
                  <c:pt idx="15">
                    <c:v>6</c:v>
                  </c:pt>
                  <c:pt idx="16">
                    <c:v>1</c:v>
                  </c:pt>
                  <c:pt idx="17">
                    <c:v>2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E-D740-5148-A2F6-DAD9E134559F}"/>
            </c:ext>
          </c:extLst>
        </c:ser>
        <c:ser>
          <c:idx val="14"/>
          <c:order val="14"/>
          <c:tx>
            <c:strRef>
              <c:f>'Infocom Series'!$M$58</c:f>
              <c:strCache>
                <c:ptCount val="1"/>
                <c:pt idx="0">
                  <c:v>C5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0F5060-1897-E74C-A1AF-8D69036402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0A3F8E-5B26-6247-ADD8-D36A052536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810265-7BED-3148-9FB4-E779C06D8C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F12EDE-CDFD-A742-A367-38A3479857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0D921A-CF12-ED40-AB36-1D8A03279B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70FB3E-8ED7-BE48-88C6-1218A7289A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31D271-E758-7449-AC8C-CC1AD9AEB0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E62C0C-B9FA-4845-A97D-E862B550A1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314B2B-91C4-1145-B0C3-F25D771A80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EB24ED-7930-4D45-90F9-C1A24A11DB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5CA74EA-2453-9247-8F2F-D113518308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798F283-140A-A64A-8CF7-89DE92259D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A1CEF4-A8D8-D842-88CD-57E5E38B33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05E142-7C97-2043-831D-9998108D20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30AD96-CE0D-9540-B8DB-88ECD4D95F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F01753F-8AB6-984E-818C-8967C1DA8A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4E7F656-7AF4-BB44-8DEE-D99FBDEAE8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29FF30E-9B1F-3A4D-B94C-ECA6DD9346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CE4C539-566F-F548-A7B4-80375BF169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6AB259B-544E-7546-BA01-F4D3590203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CCE451-0EA8-E946-B8E3-A60111C4D9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C13E6C-BE72-E24F-9146-792E761AB9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65AC43C-079F-BE4A-BEAA-AABE1D93DB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4BD9E9-1E97-FE4E-9754-CF3A3A2766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A53ED42-0122-2543-9D6D-62030D4F48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79B7364-ACB4-7E42-8AAD-AFE746A721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D437FB8-17BC-1C40-8161-C2E41F805D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Series'!$L$59:$L$85</c:f>
              <c:numCache>
                <c:formatCode>General</c:formatCode>
                <c:ptCount val="2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Series'!$M$59:$M$85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1</c:v>
                  </c:pt>
                  <c:pt idx="11">
                    <c:v>3</c:v>
                  </c:pt>
                  <c:pt idx="12">
                    <c:v>2</c:v>
                  </c:pt>
                  <c:pt idx="13">
                    <c:v>0</c:v>
                  </c:pt>
                  <c:pt idx="14">
                    <c:v>0</c:v>
                  </c:pt>
                  <c:pt idx="15">
                    <c:v>2</c:v>
                  </c:pt>
                  <c:pt idx="16">
                    <c:v>0</c:v>
                  </c:pt>
                  <c:pt idx="17">
                    <c:v>0</c:v>
                  </c:pt>
                  <c:pt idx="18">
                    <c:v>2</c:v>
                  </c:pt>
                  <c:pt idx="19">
                    <c:v>2</c:v>
                  </c:pt>
                  <c:pt idx="20">
                    <c:v>2</c:v>
                  </c:pt>
                  <c:pt idx="21">
                    <c:v>3</c:v>
                  </c:pt>
                  <c:pt idx="22">
                    <c:v>3</c:v>
                  </c:pt>
                  <c:pt idx="23">
                    <c:v>5</c:v>
                  </c:pt>
                  <c:pt idx="24">
                    <c:v>6</c:v>
                  </c:pt>
                  <c:pt idx="25">
                    <c:v>2</c:v>
                  </c:pt>
                  <c:pt idx="26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F-D740-5148-A2F6-DAD9E134559F}"/>
            </c:ext>
          </c:extLst>
        </c:ser>
        <c:ser>
          <c:idx val="15"/>
          <c:order val="15"/>
          <c:tx>
            <c:strRef>
              <c:f>'Infocom Series'!$O$58</c:f>
              <c:strCache>
                <c:ptCount val="1"/>
                <c:pt idx="0">
                  <c:v>C6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8B6E7CD-A3F5-7648-8C88-60657ACCCC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8BC3E4-77D0-444B-AB10-B95F108636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6A6B7D-66D1-464B-A5F1-1FAEC00181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B69DE4-ED19-CA40-924A-BE8A05A234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B0488C-B3FA-584D-9ECF-107623B045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3E6E2C-4F5B-784B-BC28-9D6E8B7DB9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EBC2E14-E7F1-ED41-A43B-7CA1999D72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F26106-74EB-A843-8764-1BB7EC2EEB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EEF705-F7F3-0144-814A-9AD931277F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92C2BA3-8C2C-7942-B32E-3D9DB61E26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6D4DDE-FFB4-8E42-9A54-48DF3F17AA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0976DE0-7AC6-9144-80FF-65058DAC99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3A4D32-AEBF-C246-A086-72F8F28638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3E0486-0CDB-C245-B67A-2F9BA0B755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FEB2BA7-88A6-2547-B038-AC89F6771F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2FB2598-8D54-2C4D-B615-16529B172D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FEECD6-B682-ED4E-9C76-105B330D7F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55AB30-481D-1040-807D-7D494FDDAF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CFB16C-D7A6-EA4B-B1C0-E46BE8DEA3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92CC23C-65FC-4748-B2C0-944FD436F4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7C273DD-E1F6-7744-8359-6721E75738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862043D-2000-5148-A2AE-78A910ECAC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66436B3-4DFB-B641-B62B-8E1E2EC08E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2AC72E4-6DA8-0447-8F96-491B84B6C1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770EBA-9224-D649-AAC7-18F2E6EC16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8732555-550E-DF43-AC8E-3257547B34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5DDB3E-4A71-8C46-B914-F0A2490344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Series'!$N$59:$N$85</c:f>
              <c:numCache>
                <c:formatCode>General</c:formatCode>
                <c:ptCount val="2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Series'!$O$59:$O$85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5</c:v>
                  </c:pt>
                  <c:pt idx="3">
                    <c:v>5</c:v>
                  </c:pt>
                  <c:pt idx="4">
                    <c:v>3</c:v>
                  </c:pt>
                  <c:pt idx="5">
                    <c:v>5</c:v>
                  </c:pt>
                  <c:pt idx="6">
                    <c:v>7</c:v>
                  </c:pt>
                  <c:pt idx="7">
                    <c:v>2</c:v>
                  </c:pt>
                  <c:pt idx="8">
                    <c:v>3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1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0-D740-5148-A2F6-DAD9E134559F}"/>
            </c:ext>
          </c:extLst>
        </c:ser>
        <c:ser>
          <c:idx val="16"/>
          <c:order val="16"/>
          <c:tx>
            <c:strRef>
              <c:f>'Infocom Series'!$R$58</c:f>
              <c:strCache>
                <c:ptCount val="1"/>
                <c:pt idx="0">
                  <c:v>C7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2CD5CC7-B9B0-0C41-8432-1EE4D3E3A4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228964-0C37-FA4A-A7A4-B11F5B737B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3CBC41-8141-C347-9728-985FBAD568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CA03B2-9F09-F44F-952B-8F17BAC832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9875FA-5F28-814D-B804-2117426E64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5D8C33-EEB9-B848-84A8-C449A26CD4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E386C5-E719-EB48-8713-6C111EDCBC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37AB1D-C87D-344E-BDC6-BCCB831F44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13988BE-D0E6-DF44-83F6-5D17F85007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37BD98D-0CB7-9744-8C6E-5C9443C8D6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D92AB6-8D71-3848-8F18-6F25DCBA0D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9C2107-FD21-0B43-A4FD-0159D2FC29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30A05C-6FEC-8643-909A-45A3CD046B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CD27C8C-4107-804E-B7D1-76A9A47F3C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C89F9D-5606-9742-90F6-BBAC48B271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DF2103-1BD8-A041-A806-13C672DD8F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287D35-365C-B644-A693-27B3B47C8C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2869C2A-985E-8D41-86C2-C1E7252E7C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AAD005-91C4-6741-B96F-60705C0A3D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412077-1CE8-CD46-BF00-A0C69536A0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5FB9945-7B56-AF42-9EF7-60F57983C9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7719A1-1443-6A43-ABCE-D9A0F4252E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3CAD414-EE15-7D47-AA41-6E85940EDB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79D1EC-6C4E-4147-B03E-BB97727864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28E36BC-0755-8148-B3D2-29CD48B1EC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6F2A8D-A034-0D4A-8254-21C1243AD2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C446370-57F5-394E-B1AA-73AA6B78FC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Series'!$Q$59:$Q$85</c:f>
              <c:numCache>
                <c:formatCode>General</c:formatCode>
                <c:ptCount val="27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Series'!$R$59:$R$85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5</c:v>
                  </c:pt>
                  <c:pt idx="3">
                    <c:v>5</c:v>
                  </c:pt>
                  <c:pt idx="4">
                    <c:v>3</c:v>
                  </c:pt>
                  <c:pt idx="5">
                    <c:v>5</c:v>
                  </c:pt>
                  <c:pt idx="6">
                    <c:v>8</c:v>
                  </c:pt>
                  <c:pt idx="7">
                    <c:v>2</c:v>
                  </c:pt>
                  <c:pt idx="8">
                    <c:v>3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1-D740-5148-A2F6-DAD9E134559F}"/>
            </c:ext>
          </c:extLst>
        </c:ser>
        <c:ser>
          <c:idx val="17"/>
          <c:order val="17"/>
          <c:tx>
            <c:strRef>
              <c:f>'Infocom Series'!$T$58</c:f>
              <c:strCache>
                <c:ptCount val="1"/>
                <c:pt idx="0">
                  <c:v>C8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8C2284F-E41F-9543-BB2E-EF9E9D01F4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E8FF22-13C2-334C-8EC2-52E91C0929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7BF048-BEFF-9E43-A350-166B4F34E0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03591F-6503-4D4A-981A-60DC6F3061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33E913-97DF-8044-A210-42D379B3B2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5E03427-2949-1D48-841F-916DA42189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317445-7989-B742-B32A-2B05DF9D30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504710D-C6BF-B84E-8B9D-0FBBEC14C5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8CEE58-FF74-1147-A295-4AAE175AB6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642A97-A351-2A42-B202-52D032C0B0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73CC532-B3A1-7845-B984-FBE7D4F6C0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28F7B3-5BD5-1346-942E-54FD2E4121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62E834-8286-E84D-8014-AEF77D6F1B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5505A1D-8593-E243-BE23-2F73F649E5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ECB4DBF-7A08-5A48-96C7-209F271C2A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279ED2D-5A92-CE43-8B94-193DE5DC58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7B1110D-75FD-5948-81AC-9F4DF6AE2B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6878B6-7D16-6345-94EC-32FE611D0C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353DF99-F7D2-B04E-9BF2-24F1866CF9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B65422-F285-4E43-A7EB-70B14EAAE2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64B1AB-3323-3148-A97F-7D9AED94D2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0485C14-D604-3849-B250-2A0CBADFBE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AD34A9-9E30-854D-8769-6134EED31E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25A9534-F827-A14F-9FEF-7203C1F38F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93D3202-4EBC-D34F-B6AB-1A6A3618C3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8AAF9DF-5E36-4A49-B93C-46BFBBF281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BD8269-CD0F-804A-9519-43A2B70C9E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Series'!$S$59:$S$85</c:f>
              <c:numCache>
                <c:formatCode>General</c:formatCode>
                <c:ptCount val="27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Series'!$T$59:$T$85</c15:f>
                <c15:dlblRangeCache>
                  <c:ptCount val="27"/>
                  <c:pt idx="0">
                    <c:v>2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0</c:v>
                  </c:pt>
                  <c:pt idx="6">
                    <c:v>2</c:v>
                  </c:pt>
                  <c:pt idx="7">
                    <c:v>1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2</c:v>
                  </c:pt>
                  <c:pt idx="20">
                    <c:v>4</c:v>
                  </c:pt>
                  <c:pt idx="21">
                    <c:v>4</c:v>
                  </c:pt>
                  <c:pt idx="22">
                    <c:v>2</c:v>
                  </c:pt>
                  <c:pt idx="23">
                    <c:v>5</c:v>
                  </c:pt>
                  <c:pt idx="24">
                    <c:v>6</c:v>
                  </c:pt>
                  <c:pt idx="25">
                    <c:v>1</c:v>
                  </c:pt>
                  <c:pt idx="26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2-D740-5148-A2F6-DAD9E134559F}"/>
            </c:ext>
          </c:extLst>
        </c:ser>
        <c:ser>
          <c:idx val="18"/>
          <c:order val="18"/>
          <c:tx>
            <c:strRef>
              <c:f>'Infocom Series'!$V$58</c:f>
              <c:strCache>
                <c:ptCount val="1"/>
                <c:pt idx="0">
                  <c:v>C9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8243943-CBD1-7142-9932-2D0301D2E9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740-5148-A2F6-DAD9E13455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209A76-5283-494A-8D63-01BB369DD6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740-5148-A2F6-DAD9E13455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F2F88F-B57D-2C42-BAAB-5443AC1F4F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740-5148-A2F6-DAD9E13455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733ADB-88BA-7B4B-99C9-297EA2B288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740-5148-A2F6-DAD9E13455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D402EC-CE57-6A4B-8A22-4EE75FB093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740-5148-A2F6-DAD9E13455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D6EC3E-06F4-A94A-9515-BB53201296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740-5148-A2F6-DAD9E13455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DA1881-EBAB-4745-8D6A-F1BD6DEE31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740-5148-A2F6-DAD9E13455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3D12C1-270D-9D4D-90BE-F8544286E6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740-5148-A2F6-DAD9E13455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C1AF39-A7D9-1F44-8466-DA335025A1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740-5148-A2F6-DAD9E13455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5E9DD8-AF29-EC46-9E92-7271BEABD3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740-5148-A2F6-DAD9E13455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CD742E-EB94-E14E-AC85-DF82B92F12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740-5148-A2F6-DAD9E13455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3E7582-BB7C-C747-81DF-9074A497BF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740-5148-A2F6-DAD9E13455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18263FB-F13B-4C43-9F57-79E01213E3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740-5148-A2F6-DAD9E13455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C86156-1119-FD4C-8ED1-712039AD54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740-5148-A2F6-DAD9E13455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A82402-D53D-B74D-B706-F63F9887F1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740-5148-A2F6-DAD9E13455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6C6C30-8B04-D44E-8391-D8D3C42E11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740-5148-A2F6-DAD9E13455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21A2FEE-275C-4245-891B-6F29BF0527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740-5148-A2F6-DAD9E13455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F57B229-A636-0842-85D1-9B7C5831F0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740-5148-A2F6-DAD9E13455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4336C2-CC4A-2743-AC3E-07595E135D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740-5148-A2F6-DAD9E13455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36BA1F4-F15E-C445-BB29-159F9DC82F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740-5148-A2F6-DAD9E13455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BFC9BAA-CF66-1143-A0D4-ADAFF0B845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740-5148-A2F6-DAD9E13455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4923EAB-C3B9-1649-8436-5C0C8D927D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740-5148-A2F6-DAD9E13455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B4FBF1-C4E5-A24D-BE52-06764B7A28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740-5148-A2F6-DAD9E13455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E60AC7-D906-4046-944E-C4E3A567DA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740-5148-A2F6-DAD9E13455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37D63DA-39CB-0443-98C2-7302F2D14E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740-5148-A2F6-DAD9E13455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55F2635-AB6A-7F41-92AA-2565D1700A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740-5148-A2F6-DAD9E13455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8B2948-1F55-104A-A93E-3C8336D550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740-5148-A2F6-DAD9E1345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Series'!$U$59:$U$85</c:f>
              <c:numCache>
                <c:formatCode>General</c:formatCode>
                <c:ptCount val="27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</c:numCache>
            </c:numRef>
          </c:xVal>
          <c:yVal>
            <c:numRef>
              <c:f>'Infocom Series'!$A$59:$A$85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Series'!$V$59:$V$85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1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3</c:v>
                  </c:pt>
                  <c:pt idx="11">
                    <c:v>5</c:v>
                  </c:pt>
                  <c:pt idx="12">
                    <c:v>5</c:v>
                  </c:pt>
                  <c:pt idx="13">
                    <c:v>3</c:v>
                  </c:pt>
                  <c:pt idx="14">
                    <c:v>5</c:v>
                  </c:pt>
                  <c:pt idx="15">
                    <c:v>7</c:v>
                  </c:pt>
                  <c:pt idx="16">
                    <c:v>2</c:v>
                  </c:pt>
                  <c:pt idx="17">
                    <c:v>3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3-D740-5148-A2F6-DAD9E134559F}"/>
            </c:ext>
          </c:extLst>
        </c:ser>
        <c:ser>
          <c:idx val="19"/>
          <c:order val="19"/>
          <c:tx>
            <c:strRef>
              <c:f>'Infocom Series'!$P$1</c:f>
              <c:strCache>
                <c:ptCount val="1"/>
                <c:pt idx="0">
                  <c:v>Category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E8D6D4C-1C17-134A-A3CC-A3A683CB0C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78-2E42-A75B-C30A9EC0EE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A7AFA7-DD2E-1E47-AFCE-CEB577FE5B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78-2E42-A75B-C30A9EC0EE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857067-635C-5F47-A86E-D364EA7099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78-2E42-A75B-C30A9EC0EE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6C54B8-D0B6-8942-A95D-FCE5E28C27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78-2E42-A75B-C30A9EC0EE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32B96B-AB27-DA4A-94B6-3E26DB8821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78-2E42-A75B-C30A9EC0EE21}"/>
                </c:ext>
              </c:extLst>
            </c:dLbl>
            <c:dLbl>
              <c:idx val="5"/>
              <c:layout>
                <c:manualLayout>
                  <c:x val="-6.0209901845818849E-2"/>
                  <c:y val="-4.5713377599392209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CCB30E1-A569-FA4B-A012-1171BE0B0E9A}" type="CELLRANGE">
                      <a:rPr lang="en-US"/>
                      <a:pPr>
                        <a:defRPr sz="1200"/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3928719520424"/>
                      <c:h val="8.1485699620121546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1F78-2E42-A75B-C30A9EC0EE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A1E907-A87B-FF4B-85D3-CFE478CFCF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78-2E42-A75B-C30A9EC0EE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A628C8-02B7-FD44-A045-1E5331A216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78-2E42-A75B-C30A9EC0EE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2ECA67-84CF-A94E-A44D-6070D95C72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78-2E42-A75B-C30A9EC0EE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'Infocom Series'!$N$2:$N$10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</c:numCache>
            </c:numRef>
          </c:xVal>
          <c:yVal>
            <c:numRef>
              <c:f>'Infocom Series'!$O$2:$O$10</c:f>
              <c:numCache>
                <c:formatCode>General</c:formatCode>
                <c:ptCount val="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'Infocom Series'!$P$2:$P$10</c15:f>
                <c15:dlblRangeCache>
                  <c:ptCount val="9"/>
                  <c:pt idx="0">
                    <c:v>User Input</c:v>
                  </c:pt>
                  <c:pt idx="1">
                    <c:v>Visual Output</c:v>
                  </c:pt>
                  <c:pt idx="2">
                    <c:v>Story Option</c:v>
                  </c:pt>
                  <c:pt idx="3">
                    <c:v>Story Ending </c:v>
                  </c:pt>
                  <c:pt idx="4">
                    <c:v>Time to Respond</c:v>
                  </c:pt>
                  <c:pt idx="5">
                    <c:v>Stats &amp; Resource</c:v>
                  </c:pt>
                  <c:pt idx="6">
                    <c:v>Number of Players</c:v>
                  </c:pt>
                  <c:pt idx="7">
                    <c:v>Platform Compatability</c:v>
                  </c:pt>
                  <c:pt idx="8">
                    <c:v>Monetization Model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1F78-2E42-A75B-C30A9EC0E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45376"/>
        <c:axId val="1881219584"/>
      </c:scatterChart>
      <c:valAx>
        <c:axId val="670945376"/>
        <c:scaling>
          <c:orientation val="minMax"/>
          <c:max val="3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219584"/>
        <c:crosses val="autoZero"/>
        <c:crossBetween val="midCat"/>
      </c:valAx>
      <c:valAx>
        <c:axId val="1881219584"/>
        <c:scaling>
          <c:orientation val="minMax"/>
          <c:max val="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4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Nancy Drew - Categories - Publish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80444509202704"/>
          <c:y val="9.4806352630971341E-2"/>
          <c:w val="0.8671428606345768"/>
          <c:h val="0.75478149855891008"/>
        </c:manualLayout>
      </c:layout>
      <c:scatterChart>
        <c:scatterStyle val="lineMarker"/>
        <c:varyColors val="0"/>
        <c:ser>
          <c:idx val="0"/>
          <c:order val="0"/>
          <c:tx>
            <c:strRef>
              <c:f>NancyDrew!$D$58</c:f>
              <c:strCache>
                <c:ptCount val="1"/>
                <c:pt idx="0">
                  <c:v>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BF7C-CB4E-BC9E-65C616442CA4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BF7C-CB4E-BC9E-65C616442CA4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BF7C-CB4E-BC9E-65C616442CA4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BF7C-CB4E-BC9E-65C616442CA4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BF7C-CB4E-BC9E-65C616442CA4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BF7C-CB4E-BC9E-65C616442CA4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BF7C-CB4E-BC9E-65C616442CA4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BF7C-CB4E-BC9E-65C616442CA4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BF7C-CB4E-BC9E-65C616442CA4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BF7C-CB4E-BC9E-65C616442CA4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BF7C-CB4E-BC9E-65C616442CA4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BF7C-CB4E-BC9E-65C616442CA4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BF7C-CB4E-BC9E-65C616442CA4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BF7C-CB4E-BC9E-65C616442CA4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BF7C-CB4E-BC9E-65C616442CA4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BF7C-CB4E-BC9E-65C616442CA4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BF7C-CB4E-BC9E-65C616442CA4}"/>
              </c:ext>
            </c:extLst>
          </c:dPt>
          <c:dPt>
            <c:idx val="1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BF7C-CB4E-BC9E-65C616442CA4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BF7C-CB4E-BC9E-65C616442CA4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BF7C-CB4E-BC9E-65C616442CA4}"/>
              </c:ext>
            </c:extLst>
          </c:dPt>
          <c:dPt>
            <c:idx val="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BF7C-CB4E-BC9E-65C616442CA4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BF7C-CB4E-BC9E-65C616442CA4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BF7C-CB4E-BC9E-65C616442CA4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BF7C-CB4E-BC9E-65C616442CA4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BF7C-CB4E-BC9E-65C616442CA4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9-BF7C-CB4E-BC9E-65C616442CA4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A-BF7C-CB4E-BC9E-65C616442CA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1C0F582-DD0F-1347-898B-10B800953C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0E4B67-2F3C-374D-A228-6947F5C978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63AC11-3A1B-174B-8E93-BA5F0E9944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AF1ABB7-C426-6744-9BEB-38DDCFCCFB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3DC538-1BDD-6F4C-B8F4-F9CE69D1F3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054605-E662-A942-BFE7-7D6FD72B81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F3D452-F94D-C04C-B4FA-CF0B7FE40A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24037D-CC58-3A46-92DD-807300C9D2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9BF67F-37C8-6745-9D92-B548D3C159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85ECF1-4FC2-2E49-8EFF-9040054495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00896C-9013-F547-AB01-F1403CF0CC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F65DD99-48F5-F84B-A7BC-CF89670FB9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7DEE2E-6369-C146-84F7-0C3AF3A12A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66FB41A-A6C3-A84D-8A6B-19E30E1345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A714AB5-1916-6342-B685-465E1A0527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98154A1-C415-074A-9D1E-6F2D15C7EF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4868B59-C588-3947-BE7E-94E4F797ED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24B8D1-6C65-B94E-AD11-FA3A8852C4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CA0207-1E0D-EF49-9D09-615233ADB9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B801872-B7AE-9642-BB2E-8CC9F5F47B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B44ECCE-65AA-3E4F-A0A7-3D3F653A86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6B8C4ED-9879-604C-914B-1D809BE949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311360B-B224-924E-B9A5-F2A7852F26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DE2104-BEF0-A941-BBB6-08FE22D41F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1F2843-AF48-1641-9EE9-78E82B43FA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90F64B6-239F-C54C-97D8-A8B1C98F42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5DBB949-DB53-E843-8914-6FD1AC799B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NancyDrew!$C$59:$C$85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NancyDrew!$D$59:$D$85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2</c:v>
                  </c:pt>
                  <c:pt idx="19">
                    <c:v>5</c:v>
                  </c:pt>
                  <c:pt idx="20">
                    <c:v>6</c:v>
                  </c:pt>
                  <c:pt idx="21">
                    <c:v>6</c:v>
                  </c:pt>
                  <c:pt idx="22">
                    <c:v>7</c:v>
                  </c:pt>
                  <c:pt idx="23">
                    <c:v>6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BF7C-CB4E-BC9E-65C616442CA4}"/>
            </c:ext>
          </c:extLst>
        </c:ser>
        <c:ser>
          <c:idx val="1"/>
          <c:order val="1"/>
          <c:tx>
            <c:strRef>
              <c:f>NancyDrew!$A$46</c:f>
              <c:strCache>
                <c:ptCount val="1"/>
                <c:pt idx="0">
                  <c:v>Y: Publish Year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C036CB7-6D39-FF49-8345-C1ADBB5878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FB8D25-A50F-4B4C-88B3-E6A91E8F0E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F77522-B97F-2143-8903-9A3F194E22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4D4F41-880D-E242-A9B0-84BDA83119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02418C-DE87-3E40-B3C4-18B8EB46E7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1EE344-3211-C044-A120-41CC61DC6D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F641CA-8908-7C44-9748-0499E9991A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447B64-2EF5-1E47-A962-6A50839FEA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BC18F7-016A-D446-A87C-D3FDA5D14F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NancyDrew!$B$48:$B$56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NancyDrew!$C$48:$C$56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NancyDrew!$A$48:$A$56</c15:f>
                <c15:dlblRangeCache>
                  <c:ptCount val="9"/>
                  <c:pt idx="0">
                    <c:v>Before 2000</c:v>
                  </c:pt>
                  <c:pt idx="1">
                    <c:v>2000~2002</c:v>
                  </c:pt>
                  <c:pt idx="2">
                    <c:v>2003~2005</c:v>
                  </c:pt>
                  <c:pt idx="3">
                    <c:v>2006~2008</c:v>
                  </c:pt>
                  <c:pt idx="4">
                    <c:v>2009~2011</c:v>
                  </c:pt>
                  <c:pt idx="5">
                    <c:v>2012~2014</c:v>
                  </c:pt>
                  <c:pt idx="6">
                    <c:v>2015~2017</c:v>
                  </c:pt>
                  <c:pt idx="7">
                    <c:v>2018~2020</c:v>
                  </c:pt>
                  <c:pt idx="8">
                    <c:v>2021~2023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5-BF7C-CB4E-BC9E-65C616442CA4}"/>
            </c:ext>
          </c:extLst>
        </c:ser>
        <c:ser>
          <c:idx val="2"/>
          <c:order val="2"/>
          <c:tx>
            <c:strRef>
              <c:f>NancyDrew!$F$1</c:f>
              <c:strCache>
                <c:ptCount val="1"/>
                <c:pt idx="0">
                  <c:v>C1: Human Computer Interaction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EEE86B7-EF67-DF4E-A20D-5216E6E560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7C-CB4E-BC9E-65C616442CA4}"/>
                </c:ext>
              </c:extLst>
            </c:dLbl>
            <c:dLbl>
              <c:idx val="1"/>
              <c:layout>
                <c:manualLayout>
                  <c:x val="-2.0409041548167077E-2"/>
                  <c:y val="8.9507254924976978E-2"/>
                </c:manualLayout>
              </c:layout>
              <c:tx>
                <c:rich>
                  <a:bodyPr/>
                  <a:lstStyle/>
                  <a:p>
                    <a:fld id="{E0C0F320-EFEB-3C42-934D-4B5AC51E0F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BF7C-CB4E-BC9E-65C616442CA4}"/>
                </c:ext>
              </c:extLst>
            </c:dLbl>
            <c:dLbl>
              <c:idx val="2"/>
              <c:layout>
                <c:manualLayout>
                  <c:x val="-2.9909223576506286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51E416A5-EF6D-FA47-8183-8764920ED7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NancyDrew!$I$3:$I$5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NancyDrew!$K$3:$K$5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NancyDrew!$H$3:$H$5</c15:f>
                <c15:dlblRangeCache>
                  <c:ptCount val="3"/>
                  <c:pt idx="0">
                    <c:v>Keyboard</c:v>
                  </c:pt>
                  <c:pt idx="1">
                    <c:v>Mouse</c:v>
                  </c:pt>
                  <c:pt idx="2">
                    <c:v>Mouse only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9-BF7C-CB4E-BC9E-65C616442CA4}"/>
            </c:ext>
          </c:extLst>
        </c:ser>
        <c:ser>
          <c:idx val="3"/>
          <c:order val="3"/>
          <c:tx>
            <c:strRef>
              <c:f>NancyDrew!$F$6:$I$6</c:f>
              <c:strCache>
                <c:ptCount val="1"/>
                <c:pt idx="0">
                  <c:v>C2: Visual Support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903A544-DB77-AE4A-89BD-9B0900A84E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7C-CB4E-BC9E-65C616442CA4}"/>
                </c:ext>
              </c:extLst>
            </c:dLbl>
            <c:dLbl>
              <c:idx val="1"/>
              <c:layout>
                <c:manualLayout>
                  <c:x val="-2.0727964606596646E-2"/>
                  <c:y val="9.4435384748214279E-2"/>
                </c:manualLayout>
              </c:layout>
              <c:tx>
                <c:rich>
                  <a:bodyPr/>
                  <a:lstStyle/>
                  <a:p>
                    <a:fld id="{4AC51DD2-F392-144A-850F-849CF4FA40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BF7C-CB4E-BC9E-65C616442CA4}"/>
                </c:ext>
              </c:extLst>
            </c:dLbl>
            <c:dLbl>
              <c:idx val="2"/>
              <c:layout>
                <c:manualLayout>
                  <c:x val="-1.4196748383310554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A2A80FFF-BA4D-F144-8DA8-DA509FB273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NancyDrew!$I$8:$I$10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xVal>
          <c:yVal>
            <c:numRef>
              <c:f>NancyDrew!$K$8:$K$10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NancyDrew!$H$8:$H$10</c15:f>
                <c15:dlblRangeCache>
                  <c:ptCount val="3"/>
                  <c:pt idx="0">
                    <c:v>Text</c:v>
                  </c:pt>
                  <c:pt idx="1">
                    <c:v>Picture</c:v>
                  </c:pt>
                  <c:pt idx="2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BF7C-CB4E-BC9E-65C616442CA4}"/>
            </c:ext>
          </c:extLst>
        </c:ser>
        <c:ser>
          <c:idx val="4"/>
          <c:order val="4"/>
          <c:tx>
            <c:strRef>
              <c:f>NancyDrew!$F$11:$I$11</c:f>
              <c:strCache>
                <c:ptCount val="1"/>
                <c:pt idx="0">
                  <c:v>C3: Game option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5192BFC-5811-2348-ACD0-FB4832C921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7C-CB4E-BC9E-65C616442CA4}"/>
                </c:ext>
              </c:extLst>
            </c:dLbl>
            <c:dLbl>
              <c:idx val="1"/>
              <c:layout>
                <c:manualLayout>
                  <c:x val="-4.2588147390129352E-2"/>
                  <c:y val="7.2258800543646445E-2"/>
                </c:manualLayout>
              </c:layout>
              <c:tx>
                <c:rich>
                  <a:bodyPr/>
                  <a:lstStyle/>
                  <a:p>
                    <a:fld id="{B790F641-2742-A041-8E79-B8EB6446FC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BF7C-CB4E-BC9E-65C616442CA4}"/>
                </c:ext>
              </c:extLst>
            </c:dLbl>
            <c:dLbl>
              <c:idx val="2"/>
              <c:layout>
                <c:manualLayout>
                  <c:x val="-3.8912808648008425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EABC04F5-2DA6-874E-AE38-3FF7DB2AD6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NancyDrew!$I$13:$I$15</c:f>
              <c:numCache>
                <c:formatCode>General</c:formatCode>
                <c:ptCount val="3"/>
                <c:pt idx="0">
                  <c:v>8</c:v>
                </c:pt>
                <c:pt idx="1">
                  <c:v>9</c:v>
                </c:pt>
                <c:pt idx="2">
                  <c:v>10</c:v>
                </c:pt>
              </c:numCache>
            </c:numRef>
          </c:xVal>
          <c:yVal>
            <c:numRef>
              <c:f>NancyDrew!$K$13:$K$15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NancyDrew!$H$13:$H$15</c15:f>
                <c15:dlblRangeCache>
                  <c:ptCount val="3"/>
                  <c:pt idx="0">
                    <c:v>Linear limited</c:v>
                  </c:pt>
                  <c:pt idx="1">
                    <c:v>Non-linear limited</c:v>
                  </c:pt>
                  <c:pt idx="2">
                    <c:v>Non-linear open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BF7C-CB4E-BC9E-65C616442CA4}"/>
            </c:ext>
          </c:extLst>
        </c:ser>
        <c:ser>
          <c:idx val="5"/>
          <c:order val="5"/>
          <c:tx>
            <c:strRef>
              <c:f>NancyDrew!$F$16:$I$16</c:f>
              <c:strCache>
                <c:ptCount val="1"/>
                <c:pt idx="0">
                  <c:v>C4: Action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D3D9674-2E4F-5640-8B55-C7A98170BE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7C-CB4E-BC9E-65C616442CA4}"/>
                </c:ext>
              </c:extLst>
            </c:dLbl>
            <c:dLbl>
              <c:idx val="1"/>
              <c:layout>
                <c:manualLayout>
                  <c:x val="-1.4212894776940491E-2"/>
                  <c:y val="9.9363514571451581E-2"/>
                </c:manualLayout>
              </c:layout>
              <c:tx>
                <c:rich>
                  <a:bodyPr/>
                  <a:lstStyle/>
                  <a:p>
                    <a:fld id="{27A2D049-0903-5E4D-9579-91879FA7E9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BF7C-CB4E-BC9E-65C616442CA4}"/>
                </c:ext>
              </c:extLst>
            </c:dLbl>
            <c:dLbl>
              <c:idx val="2"/>
              <c:layout>
                <c:manualLayout>
                  <c:x val="-2.4631323482380497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3107C38B-EA87-704A-B536-67B2E2D160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NancyDrew!$I$18:$I$20</c:f>
              <c:numCache>
                <c:formatCode>General</c:formatCode>
                <c:ptCount val="3"/>
                <c:pt idx="0">
                  <c:v>12</c:v>
                </c:pt>
                <c:pt idx="1">
                  <c:v>13</c:v>
                </c:pt>
                <c:pt idx="2">
                  <c:v>14</c:v>
                </c:pt>
              </c:numCache>
            </c:numRef>
          </c:xVal>
          <c:yVal>
            <c:numRef>
              <c:f>NancyDrew!$K$18:$K$20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NancyDrew!$H$18:$H$20</c15:f>
                <c15:dlblRangeCache>
                  <c:ptCount val="3"/>
                  <c:pt idx="0">
                    <c:v>Limited</c:v>
                  </c:pt>
                  <c:pt idx="1">
                    <c:v>Mix</c:v>
                  </c:pt>
                  <c:pt idx="2">
                    <c:v>Unlimited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5-BF7C-CB4E-BC9E-65C616442CA4}"/>
            </c:ext>
          </c:extLst>
        </c:ser>
        <c:ser>
          <c:idx val="6"/>
          <c:order val="6"/>
          <c:tx>
            <c:strRef>
              <c:f>NancyDrew!$F$21:$I$21</c:f>
              <c:strCache>
                <c:ptCount val="1"/>
                <c:pt idx="0">
                  <c:v>C5: Story ending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C6C64EE-3C6D-A64B-AB69-AADBED78BB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7C-CB4E-BC9E-65C616442CA4}"/>
                </c:ext>
              </c:extLst>
            </c:dLbl>
            <c:dLbl>
              <c:idx val="1"/>
              <c:layout>
                <c:manualLayout>
                  <c:x val="-3.9560698584526981E-2"/>
                  <c:y val="7.4722865455265089E-2"/>
                </c:manualLayout>
              </c:layout>
              <c:tx>
                <c:rich>
                  <a:bodyPr/>
                  <a:lstStyle/>
                  <a:p>
                    <a:fld id="{3F042932-4242-3E42-93AA-03BE406761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BF7C-CB4E-BC9E-65C616442CA4}"/>
                </c:ext>
              </c:extLst>
            </c:dLbl>
            <c:dLbl>
              <c:idx val="2"/>
              <c:layout>
                <c:manualLayout>
                  <c:x val="-2.7834411995066831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9F82BAB8-56AB-1643-81FB-DE4FE2F13F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NancyDrew!$I$23:$I$25</c:f>
              <c:numCache>
                <c:formatCode>General</c:formatCode>
                <c:ptCount val="3"/>
                <c:pt idx="0">
                  <c:v>16</c:v>
                </c:pt>
                <c:pt idx="1">
                  <c:v>17</c:v>
                </c:pt>
                <c:pt idx="2">
                  <c:v>18</c:v>
                </c:pt>
              </c:numCache>
            </c:numRef>
          </c:xVal>
          <c:yVal>
            <c:numRef>
              <c:f>NancyDrew!$K$23:$K$25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NancyDrew!$H$23:$H$25</c15:f>
                <c15:dlblRangeCache>
                  <c:ptCount val="3"/>
                  <c:pt idx="0">
                    <c:v>Single defined</c:v>
                  </c:pt>
                  <c:pt idx="1">
                    <c:v>Multiple defined</c:v>
                  </c:pt>
                  <c:pt idx="2">
                    <c:v>No defined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9-BF7C-CB4E-BC9E-65C616442CA4}"/>
            </c:ext>
          </c:extLst>
        </c:ser>
        <c:ser>
          <c:idx val="7"/>
          <c:order val="7"/>
          <c:tx>
            <c:strRef>
              <c:f>NancyDrew!$F$26:$I$26</c:f>
              <c:strCache>
                <c:ptCount val="1"/>
                <c:pt idx="0">
                  <c:v>C6: Stats System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0B7A111-F0C9-1742-B72D-04603192CC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7C-CB4E-BC9E-65C616442CA4}"/>
                </c:ext>
              </c:extLst>
            </c:dLbl>
            <c:dLbl>
              <c:idx val="1"/>
              <c:layout>
                <c:manualLayout>
                  <c:x val="-4.4438943652073952E-2"/>
                  <c:y val="8.9507254924976978E-2"/>
                </c:manualLayout>
              </c:layout>
              <c:tx>
                <c:rich>
                  <a:bodyPr/>
                  <a:lstStyle/>
                  <a:p>
                    <a:fld id="{FEDF50B4-9713-8D42-BBCB-CDD0E35E24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BF7C-CB4E-BC9E-65C616442CA4}"/>
                </c:ext>
              </c:extLst>
            </c:dLbl>
            <c:dLbl>
              <c:idx val="2"/>
              <c:layout>
                <c:manualLayout>
                  <c:x val="-3.3398815223404744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B13BFCB8-636C-8346-AA06-F3336D4A5F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NancyDrew!$I$28:$I$30</c:f>
              <c:numCache>
                <c:formatCode>General</c:formatCode>
                <c:ptCount val="3"/>
                <c:pt idx="0">
                  <c:v>20</c:v>
                </c:pt>
                <c:pt idx="1">
                  <c:v>21</c:v>
                </c:pt>
                <c:pt idx="2">
                  <c:v>22</c:v>
                </c:pt>
              </c:numCache>
            </c:numRef>
          </c:xVal>
          <c:yVal>
            <c:numRef>
              <c:f>NancyDrew!$K$28:$K$30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NancyDrew!$H$28:$H$30</c15:f>
                <c15:dlblRangeCache>
                  <c:ptCount val="3"/>
                  <c:pt idx="0">
                    <c:v>No stats &amp; no resource</c:v>
                  </c:pt>
                  <c:pt idx="1">
                    <c:v>Stats &amp; no resource</c:v>
                  </c:pt>
                  <c:pt idx="2">
                    <c:v>Stats &amp; resource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D-BF7C-CB4E-BC9E-65C616442CA4}"/>
            </c:ext>
          </c:extLst>
        </c:ser>
        <c:ser>
          <c:idx val="8"/>
          <c:order val="8"/>
          <c:tx>
            <c:strRef>
              <c:f>NancyDrew!$F$31:$I$31</c:f>
              <c:strCache>
                <c:ptCount val="1"/>
                <c:pt idx="0">
                  <c:v>C7: Platform Compatibility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F01CC34-992A-1740-A5BE-7CFB269153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7C-CB4E-BC9E-65C616442CA4}"/>
                </c:ext>
              </c:extLst>
            </c:dLbl>
            <c:dLbl>
              <c:idx val="1"/>
              <c:layout>
                <c:manualLayout>
                  <c:x val="-3.5300084857562426E-2"/>
                  <c:y val="8.7043190013358335E-2"/>
                </c:manualLayout>
              </c:layout>
              <c:tx>
                <c:rich>
                  <a:bodyPr/>
                  <a:lstStyle/>
                  <a:p>
                    <a:fld id="{54569E22-83A0-E64A-83F2-89AB52BC95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BF7C-CB4E-BC9E-65C616442CA4}"/>
                </c:ext>
              </c:extLst>
            </c:dLbl>
            <c:dLbl>
              <c:idx val="2"/>
              <c:layout>
                <c:manualLayout>
                  <c:x val="-1.9426145728067907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3FEC37A3-2A12-3E42-A86D-E1654D315A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NancyDrew!$I$33:$I$35</c:f>
              <c:numCache>
                <c:formatCode>General</c:formatCode>
                <c:ptCount val="3"/>
                <c:pt idx="0">
                  <c:v>24</c:v>
                </c:pt>
                <c:pt idx="1">
                  <c:v>25</c:v>
                </c:pt>
                <c:pt idx="2">
                  <c:v>26</c:v>
                </c:pt>
              </c:numCache>
            </c:numRef>
          </c:xVal>
          <c:yVal>
            <c:numRef>
              <c:f>NancyDrew!$K$33:$K$35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NancyDrew!$H$33:$H$35</c15:f>
                <c15:dlblRangeCache>
                  <c:ptCount val="3"/>
                  <c:pt idx="0">
                    <c:v>Single PC/Phone</c:v>
                  </c:pt>
                  <c:pt idx="1">
                    <c:v>Single Console</c:v>
                  </c:pt>
                  <c:pt idx="2">
                    <c:v>Multiple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1-BF7C-CB4E-BC9E-65C616442CA4}"/>
            </c:ext>
          </c:extLst>
        </c:ser>
        <c:ser>
          <c:idx val="9"/>
          <c:order val="9"/>
          <c:tx>
            <c:strRef>
              <c:f>NancyDrew!$F$36:$I$36</c:f>
              <c:strCache>
                <c:ptCount val="1"/>
                <c:pt idx="0">
                  <c:v>C8: Player Count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67E3762-300B-D341-8B82-71718C3F48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7C-CB4E-BC9E-65C616442CA4}"/>
                </c:ext>
              </c:extLst>
            </c:dLbl>
            <c:dLbl>
              <c:idx val="1"/>
              <c:layout>
                <c:manualLayout>
                  <c:x val="-1.4993960676666234E-2"/>
                  <c:y val="8.9507254924976978E-2"/>
                </c:manualLayout>
              </c:layout>
              <c:tx>
                <c:rich>
                  <a:bodyPr/>
                  <a:lstStyle/>
                  <a:p>
                    <a:fld id="{94AE4367-33F1-4B4B-B811-2227F0B9AC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3-BF7C-CB4E-BC9E-65C616442CA4}"/>
                </c:ext>
              </c:extLst>
            </c:dLbl>
            <c:dLbl>
              <c:idx val="2"/>
              <c:layout>
                <c:manualLayout>
                  <c:x val="-3.5108362325327332E-2"/>
                  <c:y val="0.12646822859925672"/>
                </c:manualLayout>
              </c:layout>
              <c:tx>
                <c:rich>
                  <a:bodyPr/>
                  <a:lstStyle/>
                  <a:p>
                    <a:fld id="{4B3D7745-04EE-A744-BC25-6869EE43B2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4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NancyDrew!$I$38:$I$40</c:f>
              <c:numCache>
                <c:formatCode>General</c:formatCode>
                <c:ptCount val="3"/>
                <c:pt idx="0">
                  <c:v>28</c:v>
                </c:pt>
                <c:pt idx="1">
                  <c:v>29</c:v>
                </c:pt>
                <c:pt idx="2">
                  <c:v>30</c:v>
                </c:pt>
              </c:numCache>
            </c:numRef>
          </c:xVal>
          <c:yVal>
            <c:numRef>
              <c:f>NancyDrew!$K$38:$K$40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NancyDrew!$H$38:$H$40</c15:f>
                <c15:dlblRangeCache>
                  <c:ptCount val="3"/>
                  <c:pt idx="0">
                    <c:v>Single</c:v>
                  </c:pt>
                  <c:pt idx="1">
                    <c:v>Two</c:v>
                  </c:pt>
                  <c:pt idx="2">
                    <c:v>Three or more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5-BF7C-CB4E-BC9E-65C616442CA4}"/>
            </c:ext>
          </c:extLst>
        </c:ser>
        <c:ser>
          <c:idx val="10"/>
          <c:order val="10"/>
          <c:tx>
            <c:strRef>
              <c:f>NancyDrew!$F$41:$I$41</c:f>
              <c:strCache>
                <c:ptCount val="1"/>
                <c:pt idx="0">
                  <c:v>C9: Monetization Model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E8F4DE1-9049-DE46-B533-AAC213014A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7C-CB4E-BC9E-65C616442CA4}"/>
                </c:ext>
              </c:extLst>
            </c:dLbl>
            <c:dLbl>
              <c:idx val="1"/>
              <c:layout>
                <c:manualLayout>
                  <c:x val="-1.1610782663376783E-3"/>
                  <c:y val="8.4579125101739691E-2"/>
                </c:manualLayout>
              </c:layout>
              <c:tx>
                <c:rich>
                  <a:bodyPr/>
                  <a:lstStyle/>
                  <a:p>
                    <a:fld id="{A7D2BF8E-D144-7541-9CAF-096F80B5EB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BF7C-CB4E-BC9E-65C616442CA4}"/>
                </c:ext>
              </c:extLst>
            </c:dLbl>
            <c:dLbl>
              <c:idx val="2"/>
              <c:layout>
                <c:manualLayout>
                  <c:x val="0"/>
                  <c:y val="0.12646822859925672"/>
                </c:manualLayout>
              </c:layout>
              <c:tx>
                <c:rich>
                  <a:bodyPr/>
                  <a:lstStyle/>
                  <a:p>
                    <a:fld id="{5A1F19A7-7C5A-C44D-BB93-7C98AA7100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8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NancyDrew!$I$43:$I$45</c:f>
              <c:numCache>
                <c:formatCode>General</c:formatCode>
                <c:ptCount val="3"/>
                <c:pt idx="0">
                  <c:v>32</c:v>
                </c:pt>
                <c:pt idx="1">
                  <c:v>33</c:v>
                </c:pt>
                <c:pt idx="2">
                  <c:v>34</c:v>
                </c:pt>
              </c:numCache>
            </c:numRef>
          </c:xVal>
          <c:yVal>
            <c:numRef>
              <c:f>NancyDrew!$K$43:$K$45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NancyDrew!$H$43:$H$45</c15:f>
                <c15:dlblRangeCache>
                  <c:ptCount val="3"/>
                  <c:pt idx="0">
                    <c:v>Free</c:v>
                  </c:pt>
                  <c:pt idx="1">
                    <c:v>Purchase before playing</c:v>
                  </c:pt>
                  <c:pt idx="2">
                    <c:v>In-game ad/purchase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9-BF7C-CB4E-BC9E-65C616442CA4}"/>
            </c:ext>
          </c:extLst>
        </c:ser>
        <c:ser>
          <c:idx val="11"/>
          <c:order val="11"/>
          <c:tx>
            <c:strRef>
              <c:f>NancyDrew!$F$58</c:f>
              <c:strCache>
                <c:ptCount val="1"/>
                <c:pt idx="0">
                  <c:v>C2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94F66A-3C4A-1C44-8293-8DD3D9E015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C3FDBC-3D63-7A41-8EE5-5FD295F175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94DD88-04EB-804B-B509-32924F0D16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9B6179-C101-3448-8B12-5523F89E4E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4CE49E-CB78-D44C-AD88-8B04B069CE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D3D195-B434-2645-8C78-7EFE94E6EC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6E851B-6D59-F043-9232-CD5F9BAC62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015F4A-2413-0047-BD88-9CEDEF7BED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5BA94A-7585-FA46-8BF7-D22CA5F174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97D957-F6AB-0649-8271-D668920A02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F35318-3F04-E846-ACE4-CE028B5270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DE650A0-F5F1-064E-8C76-E893C4A01F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E8AC43-1C95-534E-9EA3-5AB7C202C4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01223B-71C5-BF42-9A70-A37A81CF35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9C3302-B45F-6C43-AD33-7C958A3336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74D487-EBC8-A44F-96F5-6C7B352D10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305FD8-B96A-C246-98A4-5239508213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3D1D5F-B89F-E243-BCA5-BB96F5668C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4076C03-2756-CD43-8F79-260E05B5D8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7D2E7D-201F-0E4A-8D00-9FC29A5C82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7FE899-1592-DC4F-98D0-379C626E95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860FBA-520E-C443-8DE3-8FD444D5C6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628610-28AE-1742-8CD2-60C4CA6CE1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9DAE41-C1DA-BD4C-BA73-61E09F7EF4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B458005-3F3F-654B-A621-B0427B38AB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C690F4-6BD7-1C4B-9D27-A8C5CBDBD0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E2526D5-D9EB-CF44-8229-CE5F315D01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NancyDrew!$E$59:$E$85</c:f>
              <c:numCache>
                <c:formatCode>General</c:formatCode>
                <c:ptCount val="27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NancyDrew!$F$59:$F$85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1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1</c:v>
                  </c:pt>
                  <c:pt idx="19">
                    <c:v>5</c:v>
                  </c:pt>
                  <c:pt idx="20">
                    <c:v>6</c:v>
                  </c:pt>
                  <c:pt idx="21">
                    <c:v>6</c:v>
                  </c:pt>
                  <c:pt idx="22">
                    <c:v>7</c:v>
                  </c:pt>
                  <c:pt idx="23">
                    <c:v>6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5-BF7C-CB4E-BC9E-65C616442CA4}"/>
            </c:ext>
          </c:extLst>
        </c:ser>
        <c:ser>
          <c:idx val="12"/>
          <c:order val="12"/>
          <c:tx>
            <c:strRef>
              <c:f>NancyDrew!$H$58</c:f>
              <c:strCache>
                <c:ptCount val="1"/>
                <c:pt idx="0">
                  <c:v>C3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967734-87C8-6944-9239-C40C8765B3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72FFB9-9847-8B46-82C4-7FDC2B5CB5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B9E240-F924-C34F-A8CB-C93ADD83C3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289F17-EA69-844E-ADC1-F5F747FE27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40100C-F213-A844-BB15-37E8E59D2E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C3BE70-70E1-8141-8876-D02B701D61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E3D0C9-57B5-C940-A9D7-A957881E49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3F61CE-F943-0942-9813-A464618991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3DB127-8F21-6A4D-B176-427617E674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6C340F-9BC5-9D40-8BD7-7C0A4CA762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8FA730-28FC-4345-A7FC-A477F335B3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889807-83AB-9C4A-B635-D76F3A61EA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7AF3340-7132-F345-8C89-B9BE8125A9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D09889F-CDAC-1841-A6CA-3A9EF8D564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ECFC30-D9F2-5343-B1C7-B3E93B6B67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CBD643-93D3-3142-961F-923786CDBD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5E2CBEE-FC80-D142-B20A-E25F3D1C70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3A8F3A8-08E4-5A4F-9802-FF1843571B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CE9ACC-8828-3244-A5AC-933E20379B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88BD6A-171A-054D-98E3-FD81FDFC82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510052-42E1-8243-98F5-886F921974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760D591-4F32-4B46-A58D-7FB9E2DAEF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F55B0CE-6531-4144-A338-27B2182648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3C61AB6-3649-8941-B71E-34FCBF2ED0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1E41777-D343-BF45-A667-532259FF10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AB9A747-07B0-5F46-82AD-4627B5C24E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9D3D70C-97E9-FB40-A39D-165D1E9B20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NancyDrew!$G$59:$G$85</c:f>
              <c:numCache>
                <c:formatCode>General</c:formatCode>
                <c:ptCount val="27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NancyDrew!$H$59:$H$85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5</c:v>
                  </c:pt>
                  <c:pt idx="11">
                    <c:v>6</c:v>
                  </c:pt>
                  <c:pt idx="12">
                    <c:v>6</c:v>
                  </c:pt>
                  <c:pt idx="13">
                    <c:v>7</c:v>
                  </c:pt>
                  <c:pt idx="14">
                    <c:v>6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1-BF7C-CB4E-BC9E-65C616442CA4}"/>
            </c:ext>
          </c:extLst>
        </c:ser>
        <c:ser>
          <c:idx val="13"/>
          <c:order val="13"/>
          <c:tx>
            <c:strRef>
              <c:f>NancyDrew!$K$58</c:f>
              <c:strCache>
                <c:ptCount val="1"/>
                <c:pt idx="0">
                  <c:v>C4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8F69853-514B-2447-8B48-DD115C0685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3F1059-833D-4E44-BBD8-A1EC4BEA42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F66190-CD91-9048-A781-F0E50E3EF4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EE2CF3-ABC8-504F-8D2D-21B00B2681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1F87B2-8A65-6643-85CD-B4DAFA8A66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EA20F3-5C61-B74A-8CFF-F9C6765F06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C4A004E-76A2-FC4A-82C4-107D30B4F0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769D88-C0BE-474E-9F9B-E183422E85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BA642E-9235-9C43-8BFA-C4E66F050A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8672AF4-BA9F-2749-ADB1-A1280FA9FC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5FD1974-FACD-0741-8026-35B2694B38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FCD4E0-1C3E-A243-ABF2-AA0566ACA0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0B388DD-9F78-1A45-B8D0-26DA89DDC4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D3B2C8-9A35-6C4F-B47E-BD40DE0801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B1CAA2-0095-B94B-98D4-EAAD223D39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A832C2-0600-8543-87B0-BA004815E2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FFE2AC-EB6F-F44B-94CF-DBC13089E2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58CAEED-B7B1-134F-ADAA-55697846CA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20B9EA-4EE5-CE41-A812-3BC7AED7BE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E0AA750-B2CF-0343-8A25-0ABD6D892B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703D0E-DA25-7348-9F88-F9A6772541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2707CF-3E01-3D4D-93BC-5D9B766AB6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CF7B6F-16E7-9C4F-9200-F26CA93A15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5AD8ADC-536B-1F45-B460-5135310A51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12EB9F5-9CD6-AF41-872B-D588817E91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F2830A-E6FB-DC43-AA30-84889DEA48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C56D9C1-72CE-E142-9006-DFC2BC67B7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NancyDrew!$J$59:$J$85</c:f>
              <c:numCache>
                <c:formatCode>General</c:formatCode>
                <c:ptCount val="27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NancyDrew!$K$59:$K$85</c15:f>
                <c15:dlblRangeCache>
                  <c:ptCount val="27"/>
                  <c:pt idx="0">
                    <c:v>2</c:v>
                  </c:pt>
                  <c:pt idx="1">
                    <c:v>5</c:v>
                  </c:pt>
                  <c:pt idx="2">
                    <c:v>6</c:v>
                  </c:pt>
                  <c:pt idx="3">
                    <c:v>6</c:v>
                  </c:pt>
                  <c:pt idx="4">
                    <c:v>7</c:v>
                  </c:pt>
                  <c:pt idx="5">
                    <c:v>6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D-BF7C-CB4E-BC9E-65C616442CA4}"/>
            </c:ext>
          </c:extLst>
        </c:ser>
        <c:ser>
          <c:idx val="14"/>
          <c:order val="14"/>
          <c:tx>
            <c:strRef>
              <c:f>NancyDrew!$M$58</c:f>
              <c:strCache>
                <c:ptCount val="1"/>
                <c:pt idx="0">
                  <c:v>C5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2AD6BD-BFDF-B344-ABAC-AFF6334CA5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25C9EE-6A11-1C44-A6E6-B7E3D79342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D49DB5-9522-4E43-9B60-D8CBFE858A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B33E50-D4A5-D547-944D-B1E9729E87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355CA3-0CCE-954C-BC2A-2CC988A9E5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E8D535-9ADE-7B46-8A69-1ECB4672D8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C290076-CBFE-7C40-93C1-D413D4AFA3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BDD205-31DC-324E-A45B-E46FECBF78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CE2814-BAF3-974E-900B-D0A80994F8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3AE4237-4EAF-5346-A969-4E7C3D100B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FD3167-C11D-754C-849A-A194C3828E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A7967D-991D-6D45-A5E6-2DD83293C1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B71493-D365-3E4B-A74C-815248A5B6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99D84B7-A885-2245-87A5-EB8E456DC1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78BF20-71B1-1E4E-B554-24D0F3E433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EC7436B-062E-5840-89A4-B1A6C9AFA5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DE3FEB9-785C-F944-B773-7B8F22BDD1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088E062-53AF-A944-AD4C-662218B31C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7EEF52-B8AE-6B4E-8060-56B6111B5D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31446A-7627-6848-9A3E-050A7CDCE8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0E4C6CB-1869-1246-819A-3E8363282E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F751A6-DB5D-DF41-9291-E01CD5259F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0912F3-B247-794B-99F9-3E6113DC1C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C904D34-F602-0D48-99BF-BDA05E04F9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8B1AD5A-49B4-4844-9FAC-AB5912F103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D86E9DE-6C63-364A-AF9D-95C16CE49F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2F63925-0D2E-1449-BB9B-2B0C4162BC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NancyDrew!$L$59:$L$85</c:f>
              <c:numCache>
                <c:formatCode>General</c:formatCode>
                <c:ptCount val="2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NancyDrew!$M$59:$M$85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1</c:v>
                  </c:pt>
                  <c:pt idx="12">
                    <c:v>0</c:v>
                  </c:pt>
                  <c:pt idx="13">
                    <c:v>1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2</c:v>
                  </c:pt>
                  <c:pt idx="19">
                    <c:v>5</c:v>
                  </c:pt>
                  <c:pt idx="20">
                    <c:v>5</c:v>
                  </c:pt>
                  <c:pt idx="21">
                    <c:v>6</c:v>
                  </c:pt>
                  <c:pt idx="22">
                    <c:v>6</c:v>
                  </c:pt>
                  <c:pt idx="23">
                    <c:v>6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B9-BF7C-CB4E-BC9E-65C616442CA4}"/>
            </c:ext>
          </c:extLst>
        </c:ser>
        <c:ser>
          <c:idx val="15"/>
          <c:order val="15"/>
          <c:tx>
            <c:strRef>
              <c:f>NancyDrew!$O$58</c:f>
              <c:strCache>
                <c:ptCount val="1"/>
                <c:pt idx="0">
                  <c:v>C6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13DA5AD-7F68-1B44-A900-0C85D1A3E6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8DAD93-0F3D-6C49-9270-F4B71014D2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4CCF11-70A9-6947-9C64-AF56ACFAEF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F7E568-C338-484F-846F-DBB590CE22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BD843E-18A5-594E-B794-F67A120B7F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FAC37A-61F9-E340-850B-BBB5087F7E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6434A9-06A2-2F4C-A1B3-F3DC2E5D98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7DAAB5-1F79-0943-8B63-22127EB2E4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177BEF-777E-5446-802E-8C0BAEFAE5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D58BB6-9643-D340-9E77-6BE50AB626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8AD24A-E74D-2042-880E-D7F3EAEA11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3FD780-4631-CF4D-A5A4-B8D74B1AFC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AB18232-6F95-0C49-81EC-4F20820123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0AAC4EB-CD62-B145-B096-BD29F62943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BDD3D56-02F7-2842-B91A-EAE80D7CD1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812B91-90E2-B749-9485-F7A0BF02D1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A2EA90B-672F-7741-878E-1C8100D27D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D8DF56-48FA-8842-BAF2-44F47B681B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55FAB0-B18D-304B-B76F-BC2E70E45F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DFA4E90-6B17-364E-8C6E-AE6029A855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5D77368-FB07-5844-8B50-0FF91B8F87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EFC48A4-895D-B94E-9B38-B5658C91DC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A6A35D-0620-3140-B7A9-BCBEF3F0E4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B1CC72D-EE30-CA45-BF56-1C9B7D6B8E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20A9AF6-ACD3-3C43-BA8E-D2843212AB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012269B-79E4-3648-AF61-8B73DD5C6C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6839E46-22F1-EB49-BA02-4B597FE746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NancyDrew!$N$59:$N$85</c:f>
              <c:numCache>
                <c:formatCode>General</c:formatCode>
                <c:ptCount val="2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NancyDrew!$O$59:$O$85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5</c:v>
                  </c:pt>
                  <c:pt idx="11">
                    <c:v>6</c:v>
                  </c:pt>
                  <c:pt idx="12">
                    <c:v>6</c:v>
                  </c:pt>
                  <c:pt idx="13">
                    <c:v>7</c:v>
                  </c:pt>
                  <c:pt idx="14">
                    <c:v>6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5-BF7C-CB4E-BC9E-65C616442CA4}"/>
            </c:ext>
          </c:extLst>
        </c:ser>
        <c:ser>
          <c:idx val="16"/>
          <c:order val="16"/>
          <c:tx>
            <c:strRef>
              <c:f>NancyDrew!$R$58</c:f>
              <c:strCache>
                <c:ptCount val="1"/>
                <c:pt idx="0">
                  <c:v>C7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4E7FC6-3D96-3746-9055-38323430BA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F655EC-28DD-A743-A36A-2A11166E52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2F0386-F9F5-1E4E-8943-6DF32C1F3C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A1C332-D024-D046-8020-8FEFDDED24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13AC16-66E6-6840-BDF8-9389204556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2E527A-A5FF-F649-919D-0E72070D23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9ED2217-EE6E-A14E-B059-25C72B998E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1449CF6-8C2B-AC48-9CD8-D79DFFF642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65B90A-DC8D-5146-9C4C-833FBB790C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2726FF5-57B0-4C4C-BFBD-8C1B576D9B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3C47741-78A3-6341-B2A5-DA5F4FE3FD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BF28D1E-ED2B-674E-AE04-FA760EC1E9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0A0F74-8560-B642-B8A5-DDA55FC3CD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C796D5-E5BF-BF47-8F74-72805E77C7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4C7E21-F775-6C46-BA57-F8A15B1986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3A1765-FCF9-9441-BFEF-76107B8271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ECA2D0-7E6D-5B4E-BB27-1F58FBCBC5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62BC0E-FF1C-1343-BE44-1D755B997F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BCB8C9-79CF-A640-B8FF-4E0CECDAB6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1AB06C-3140-F84D-8FE2-0B50E73545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6DC727-366E-7244-A010-133CEB76C6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1BC74BD-9EA7-4048-91C2-8CE4D492AE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BD0CBC-C43E-9D47-8CCB-C3B8A8943C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0ADC023-FBE5-8548-8050-B5FF66D3B1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7F209F-DAF0-F645-AB35-7DCB72D174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C7F70F2-97D5-C94B-9079-CF064E5198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5B36C4-D2F7-E847-B65C-8D6AD7D4D8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NancyDrew!$Q$59:$Q$85</c:f>
              <c:numCache>
                <c:formatCode>General</c:formatCode>
                <c:ptCount val="27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NancyDrew!$R$59:$R$85</c15:f>
                <c15:dlblRangeCache>
                  <c:ptCount val="27"/>
                  <c:pt idx="0">
                    <c:v>2</c:v>
                  </c:pt>
                  <c:pt idx="1">
                    <c:v>5</c:v>
                  </c:pt>
                  <c:pt idx="2">
                    <c:v>6</c:v>
                  </c:pt>
                  <c:pt idx="3">
                    <c:v>6</c:v>
                  </c:pt>
                  <c:pt idx="4">
                    <c:v>7</c:v>
                  </c:pt>
                  <c:pt idx="5">
                    <c:v>6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F1-BF7C-CB4E-BC9E-65C616442CA4}"/>
            </c:ext>
          </c:extLst>
        </c:ser>
        <c:ser>
          <c:idx val="17"/>
          <c:order val="17"/>
          <c:tx>
            <c:strRef>
              <c:f>NancyDrew!$T$58</c:f>
              <c:strCache>
                <c:ptCount val="1"/>
                <c:pt idx="0">
                  <c:v>C8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9131F20-4FC2-C246-8D5D-3DBC12D816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11FBBD-A9AD-3343-992B-72988EF699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898DE5-6C88-4A49-860B-421EDC7A80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6A43DC-C196-8D4C-A1B0-20F5B73AC9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9EA6AB-37DD-1B42-88AB-EFF2C312BF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9D8EE6-1341-3C41-9A54-6E9B850881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89D840-4066-5B40-88CC-2FC2413C4C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D5F007-3915-7C4D-A103-8EAF0B2D6D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9598C3-96AF-E14F-A3D3-8B996AB299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C66767-D53A-1A49-929C-0F691D8B18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1966E5-BA53-564E-BD66-698B5F0F8B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B55902-27C4-EA40-9C0F-BE430C04F3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885A72-821D-6D4C-91E2-F68CC1DA21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5168854-7E32-C748-92DB-6074D66D21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C89B546-B32F-0A46-B373-F4B820BBB0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8ECC84B-2836-284D-A52C-CCDC28370B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9E96028-BBA6-F24F-9752-EB48BD7206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8B52009-157F-8F4B-A5F9-9410F94905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CE52DA-4A1A-F347-B530-31F86E9577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2EE3FF-C9DE-2D4B-B416-99793CBA49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B35590-8FF9-6F41-A4B5-25B74A1135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FA181B-E26A-E349-B47B-86BEE347FC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6A876C0-8CB4-A643-935A-5365B4A4F6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F8F3D1C-BFE7-C54A-AA8F-14264C9A1D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2CB717-0124-8B46-8E00-7EF0988EB6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D230D9E-6693-4749-8C51-BA478666B8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E5F260-C056-FF40-B39C-96617CF830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NancyDrew!$S$59:$S$85</c:f>
              <c:numCache>
                <c:formatCode>General</c:formatCode>
                <c:ptCount val="27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NancyDrew!$T$59:$T$85</c15:f>
                <c15:dlblRangeCache>
                  <c:ptCount val="27"/>
                  <c:pt idx="0">
                    <c:v>2</c:v>
                  </c:pt>
                  <c:pt idx="1">
                    <c:v>5</c:v>
                  </c:pt>
                  <c:pt idx="2">
                    <c:v>6</c:v>
                  </c:pt>
                  <c:pt idx="3">
                    <c:v>6</c:v>
                  </c:pt>
                  <c:pt idx="4">
                    <c:v>3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4</c:v>
                  </c:pt>
                  <c:pt idx="23">
                    <c:v>6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0D-BF7C-CB4E-BC9E-65C616442CA4}"/>
            </c:ext>
          </c:extLst>
        </c:ser>
        <c:ser>
          <c:idx val="18"/>
          <c:order val="18"/>
          <c:tx>
            <c:strRef>
              <c:f>NancyDrew!$V$58</c:f>
              <c:strCache>
                <c:ptCount val="1"/>
                <c:pt idx="0">
                  <c:v>C9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109916-56C2-DB4A-ABEA-BB1FA07ABD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7C-CB4E-BC9E-65C616442C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D0FCFF-5F44-D240-85AA-6A80CF2772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7C-CB4E-BC9E-65C616442C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8FD2E4-AF83-E64E-829D-401C88989B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7C-CB4E-BC9E-65C616442C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5C1E00-12F9-8C46-81B3-A93FAD50FA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7C-CB4E-BC9E-65C616442C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DC4079-40F1-3B41-AF8F-5FF1B8A01A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7C-CB4E-BC9E-65C616442C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87C571-175E-5A4B-B18A-9203A0A37D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7C-CB4E-BC9E-65C616442C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5DF00E-23FF-3046-93FF-40FBEEE773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7C-CB4E-BC9E-65C616442C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25BB6C-5502-C744-8365-6A6A61C02D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7C-CB4E-BC9E-65C616442C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441DA6-964C-2D44-B041-DEB66D0613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7C-CB4E-BC9E-65C616442C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9EF990-A3AC-8D48-8E41-E076B0F6D7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7C-CB4E-BC9E-65C616442C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0A6F293-E248-3341-A941-C2417A986E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7C-CB4E-BC9E-65C616442C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CC111BA-9369-F041-A0C0-D74D3FD458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7C-CB4E-BC9E-65C616442C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6987DEB-DF1A-A248-96BE-9089E3C3E2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7C-CB4E-BC9E-65C616442C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5D1809A-6C56-B94C-90D1-D5EC5C682D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7C-CB4E-BC9E-65C616442C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DF947A7-0621-2B4B-AA3B-1139412563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7C-CB4E-BC9E-65C616442C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A633E92-0089-4D42-957D-CA18028910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7C-CB4E-BC9E-65C616442C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8420A0-45AD-BE49-B888-22E268282C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7C-CB4E-BC9E-65C616442C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DC35CD2-990E-A641-98F8-C6489EB339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7C-CB4E-BC9E-65C616442C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AE6025-D8D1-894C-AC23-CB6152A252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7C-CB4E-BC9E-65C616442C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BB3D091-C9A7-9344-BDEA-B2FD648801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7C-CB4E-BC9E-65C616442C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16D5669-0108-3642-A7E6-81F7E19456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7C-CB4E-BC9E-65C616442C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C4540E-34EF-004F-B144-537E42D2CC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7C-CB4E-BC9E-65C616442C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785263C-860D-8C41-A881-CF75E5787C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7C-CB4E-BC9E-65C616442C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55D9F9-7B31-054D-93CD-3DAE0A6526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7C-CB4E-BC9E-65C616442C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F8C247E-146A-DE42-ACA5-1E828A9CFA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7C-CB4E-BC9E-65C616442C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1EC29F-8847-AF4D-B486-31A90C7ABE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7C-CB4E-BC9E-65C616442C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5F5741-44DA-DA4A-A6B5-61894A91FE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7C-CB4E-BC9E-65C616442C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NancyDrew!$U$59:$U$85</c:f>
              <c:numCache>
                <c:formatCode>General</c:formatCode>
                <c:ptCount val="27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</c:numCache>
            </c:numRef>
          </c:xVal>
          <c:yVal>
            <c:numRef>
              <c:f>NancyDrew!$A$59:$A$85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NancyDrew!$V$59:$V$85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2</c:v>
                  </c:pt>
                  <c:pt idx="10">
                    <c:v>5</c:v>
                  </c:pt>
                  <c:pt idx="11">
                    <c:v>6</c:v>
                  </c:pt>
                  <c:pt idx="12">
                    <c:v>6</c:v>
                  </c:pt>
                  <c:pt idx="13">
                    <c:v>7</c:v>
                  </c:pt>
                  <c:pt idx="14">
                    <c:v>6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29-BF7C-CB4E-BC9E-65C616442CA4}"/>
            </c:ext>
          </c:extLst>
        </c:ser>
        <c:ser>
          <c:idx val="19"/>
          <c:order val="19"/>
          <c:tx>
            <c:strRef>
              <c:f>NancyDrew!$O$1</c:f>
              <c:strCache>
                <c:ptCount val="1"/>
                <c:pt idx="0">
                  <c:v>Category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166392-8B01-D341-B31E-804562B121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132-B74A-A8E0-A229196B24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7FC89F-FC62-BD40-AD8C-5FDD6693AB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132-B74A-A8E0-A229196B24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3AF42D-0B48-B64D-B679-A765CA13AD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132-B74A-A8E0-A229196B24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99940A-AA55-E940-BD49-B4282D4DC2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132-B74A-A8E0-A229196B24C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D3A097-5007-D049-A613-28139BFBB9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132-B74A-A8E0-A229196B24C3}"/>
                </c:ext>
              </c:extLst>
            </c:dLbl>
            <c:dLbl>
              <c:idx val="5"/>
              <c:layout>
                <c:manualLayout>
                  <c:x val="-5.4962323916108287E-2"/>
                  <c:y val="1.971251929294917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D2D3849-A4D0-4C47-8F27-1DE06E77FE29}" type="CELLRANGE">
                      <a:rPr lang="en-US"/>
                      <a:pPr>
                        <a:defRPr sz="1200"/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911732815072239"/>
                      <c:h val="0.107556433392154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D132-B74A-A8E0-A229196B24C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223F5A-CD87-4E46-A62A-E21FD00859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132-B74A-A8E0-A229196B24C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E6DB2A-40FA-FF42-B7E9-D5EAC38049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132-B74A-A8E0-A229196B24C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7E6F75-3474-7748-BF23-449769E639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132-B74A-A8E0-A229196B24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NancyDrew!$M$2:$M$10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</c:numCache>
            </c:numRef>
          </c:xVal>
          <c:yVal>
            <c:numRef>
              <c:f>NancyDrew!$N$2:$N$10</c:f>
              <c:numCache>
                <c:formatCode>General</c:formatCode>
                <c:ptCount val="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NancyDrew!$O$2:$O$10</c15:f>
                <c15:dlblRangeCache>
                  <c:ptCount val="9"/>
                  <c:pt idx="0">
                    <c:v>User Input</c:v>
                  </c:pt>
                  <c:pt idx="1">
                    <c:v>Visual Output</c:v>
                  </c:pt>
                  <c:pt idx="2">
                    <c:v>Story Option</c:v>
                  </c:pt>
                  <c:pt idx="3">
                    <c:v>Story Ending </c:v>
                  </c:pt>
                  <c:pt idx="4">
                    <c:v>Time to Respond</c:v>
                  </c:pt>
                  <c:pt idx="5">
                    <c:v>Stats &amp; Resource</c:v>
                  </c:pt>
                  <c:pt idx="6">
                    <c:v>Number of Players</c:v>
                  </c:pt>
                  <c:pt idx="7">
                    <c:v>Platform Compatability</c:v>
                  </c:pt>
                  <c:pt idx="8">
                    <c:v>Monetization Model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D132-B74A-A8E0-A229196B2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45376"/>
        <c:axId val="1881219584"/>
      </c:scatterChart>
      <c:valAx>
        <c:axId val="670945376"/>
        <c:scaling>
          <c:orientation val="minMax"/>
          <c:max val="3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219584"/>
        <c:crosses val="autoZero"/>
        <c:crossBetween val="midCat"/>
      </c:valAx>
      <c:valAx>
        <c:axId val="1881219584"/>
        <c:scaling>
          <c:orientation val="minMax"/>
          <c:max val="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4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821267</xdr:colOff>
      <xdr:row>45</xdr:row>
      <xdr:rowOff>8466</xdr:rowOff>
    </xdr:from>
    <xdr:to>
      <xdr:col>17</xdr:col>
      <xdr:colOff>423334</xdr:colOff>
      <xdr:row>56</xdr:row>
      <xdr:rowOff>1024467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5C7FF8-D5ED-8D40-A2D9-B39C62FD5C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821267</xdr:colOff>
      <xdr:row>45</xdr:row>
      <xdr:rowOff>8466</xdr:rowOff>
    </xdr:from>
    <xdr:to>
      <xdr:col>17</xdr:col>
      <xdr:colOff>423334</xdr:colOff>
      <xdr:row>56</xdr:row>
      <xdr:rowOff>1024467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9AF295-E8BC-804D-B1BC-3C6EC43F9A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herinteractive.com/shop-games/nancy-drew-secret-of-the-old-clock/" TargetMode="External"/><Relationship Id="rId18" Type="http://schemas.openxmlformats.org/officeDocument/2006/relationships/hyperlink" Target="https://www.herinteractive.com/shop-games/nancy-drew-legend-of-the-crystal-skull/" TargetMode="External"/><Relationship Id="rId26" Type="http://schemas.openxmlformats.org/officeDocument/2006/relationships/hyperlink" Target="https://www.herinteractive.com/shop-games/nancy-drew-alibi-in-ashes/" TargetMode="External"/><Relationship Id="rId3" Type="http://schemas.openxmlformats.org/officeDocument/2006/relationships/hyperlink" Target="https://www.herinteractive.com/shop-games/nancy-drew-stay-tuned-for-danger/" TargetMode="External"/><Relationship Id="rId21" Type="http://schemas.openxmlformats.org/officeDocument/2006/relationships/hyperlink" Target="https://www.herinteractive.com/shop-games/nancy-drew-ransom-of-the-seven-ships/" TargetMode="External"/><Relationship Id="rId34" Type="http://schemas.openxmlformats.org/officeDocument/2006/relationships/hyperlink" Target="https://www.herinteractive.com/shop-games/33-nancy-drew-midnight-in-salem/" TargetMode="External"/><Relationship Id="rId7" Type="http://schemas.openxmlformats.org/officeDocument/2006/relationships/hyperlink" Target="https://www.herinteractive.com/shop-games/nancy-drew-secret-of-the-scarlet-hand/" TargetMode="External"/><Relationship Id="rId12" Type="http://schemas.openxmlformats.org/officeDocument/2006/relationships/hyperlink" Target="https://www.herinteractive.com/shop-games/nancy-drew-curse-of-blackmoor-manor/" TargetMode="External"/><Relationship Id="rId17" Type="http://schemas.openxmlformats.org/officeDocument/2006/relationships/hyperlink" Target="https://www.herinteractive.com/shop-games/nancy-drew-the-white-wolf-of-icicle-creek/" TargetMode="External"/><Relationship Id="rId25" Type="http://schemas.openxmlformats.org/officeDocument/2006/relationships/hyperlink" Target="https://www.herinteractive.com/shop-games/nancy-drew-the-captive-curse/" TargetMode="External"/><Relationship Id="rId33" Type="http://schemas.openxmlformats.org/officeDocument/2006/relationships/hyperlink" Target="https://www.herinteractive.com/shop-games/nancy-drew-sea-of-darkness/" TargetMode="External"/><Relationship Id="rId2" Type="http://schemas.openxmlformats.org/officeDocument/2006/relationships/hyperlink" Target="https://www.herinteractive.com/shop-games/nancy-drew-secrets-can-kill-remastered/" TargetMode="External"/><Relationship Id="rId16" Type="http://schemas.openxmlformats.org/officeDocument/2006/relationships/hyperlink" Target="https://www.herinteractive.com/shop-games/nancy-drew-the-creature-of-kapu-cave/" TargetMode="External"/><Relationship Id="rId20" Type="http://schemas.openxmlformats.org/officeDocument/2006/relationships/hyperlink" Target="https://www.herinteractive.com/shop-games/nancy-drew-the-haunting-of-castle-malloy/" TargetMode="External"/><Relationship Id="rId29" Type="http://schemas.openxmlformats.org/officeDocument/2006/relationships/hyperlink" Target="https://www.herinteractive.com/shop-games/nancy-drew-ghost-of-thornton-hall/" TargetMode="External"/><Relationship Id="rId1" Type="http://schemas.openxmlformats.org/officeDocument/2006/relationships/hyperlink" Target="https://www.herinteractive.com/shop-games/nancy-drew-secrets-can-kill/" TargetMode="External"/><Relationship Id="rId6" Type="http://schemas.openxmlformats.org/officeDocument/2006/relationships/hyperlink" Target="https://www.herinteractive.com/shop-games/nancy-drew-the-final-scene/" TargetMode="External"/><Relationship Id="rId11" Type="http://schemas.openxmlformats.org/officeDocument/2006/relationships/hyperlink" Target="https://www.herinteractive.com/shop-games/nancy-drew-the-secret-of-shadow-ranch/" TargetMode="External"/><Relationship Id="rId24" Type="http://schemas.openxmlformats.org/officeDocument/2006/relationships/hyperlink" Target="https://www.herinteractive.com/shop-games/nancy-drew-shadow-at-the-waters-edge/" TargetMode="External"/><Relationship Id="rId32" Type="http://schemas.openxmlformats.org/officeDocument/2006/relationships/hyperlink" Target="https://www.herinteractive.com/shop-games/nancy-drew-labyrinth-of-lies/" TargetMode="External"/><Relationship Id="rId5" Type="http://schemas.openxmlformats.org/officeDocument/2006/relationships/hyperlink" Target="https://www.herinteractive.com/shop-games/nancy-drew-treasure-in-the-royal-tower/" TargetMode="External"/><Relationship Id="rId15" Type="http://schemas.openxmlformats.org/officeDocument/2006/relationships/hyperlink" Target="https://www.herinteractive.com/shop-games/nancy-drew-danger-by-design/" TargetMode="External"/><Relationship Id="rId23" Type="http://schemas.openxmlformats.org/officeDocument/2006/relationships/hyperlink" Target="https://www.herinteractive.com/shop-games/nancy-drew-trail-of-the-twister/" TargetMode="External"/><Relationship Id="rId28" Type="http://schemas.openxmlformats.org/officeDocument/2006/relationships/hyperlink" Target="https://www.herinteractive.com/shop-games/nancy-drew-the-deadly-device/" TargetMode="External"/><Relationship Id="rId36" Type="http://schemas.openxmlformats.org/officeDocument/2006/relationships/drawing" Target="../drawings/drawing2.xml"/><Relationship Id="rId10" Type="http://schemas.openxmlformats.org/officeDocument/2006/relationships/hyperlink" Target="https://www.herinteractive.com/shop-games/nancy-drew-danger-on-deception-island/" TargetMode="External"/><Relationship Id="rId19" Type="http://schemas.openxmlformats.org/officeDocument/2006/relationships/hyperlink" Target="https://www.herinteractive.com/shop-games/nancy-drew-the-phantom-of-venice/" TargetMode="External"/><Relationship Id="rId31" Type="http://schemas.openxmlformats.org/officeDocument/2006/relationships/hyperlink" Target="https://www.herinteractive.com/shop-games/nancy-drew-the-shattered-medallion/" TargetMode="External"/><Relationship Id="rId4" Type="http://schemas.openxmlformats.org/officeDocument/2006/relationships/hyperlink" Target="https://www.herinteractive.com/shop-games/nancy-drew-message-in-a-haunted-mansion/" TargetMode="External"/><Relationship Id="rId9" Type="http://schemas.openxmlformats.org/officeDocument/2006/relationships/hyperlink" Target="https://www.herinteractive.com/shop-games/nancy-drew-the-haunted-carousel/" TargetMode="External"/><Relationship Id="rId14" Type="http://schemas.openxmlformats.org/officeDocument/2006/relationships/hyperlink" Target="https://www.herinteractive.com/shop-games/nancy-drew-last-train-to-blue-moon-canyon/" TargetMode="External"/><Relationship Id="rId22" Type="http://schemas.openxmlformats.org/officeDocument/2006/relationships/hyperlink" Target="https://www.herinteractive.com/shop-games/nancy-drew-warnings-at-waverly-academy/" TargetMode="External"/><Relationship Id="rId27" Type="http://schemas.openxmlformats.org/officeDocument/2006/relationships/hyperlink" Target="https://www.herinteractive.com/shop-games/nancy-drew-tomb-of-the-lost-queen/" TargetMode="External"/><Relationship Id="rId30" Type="http://schemas.openxmlformats.org/officeDocument/2006/relationships/hyperlink" Target="https://www.herinteractive.com/shop-games/nancy-drew-the-silent-spy/" TargetMode="External"/><Relationship Id="rId35" Type="http://schemas.openxmlformats.org/officeDocument/2006/relationships/hyperlink" Target="https://www.herinteractive.com/shop-games/34-nancy-drew-mystery-of-the-seven-keys/" TargetMode="External"/><Relationship Id="rId8" Type="http://schemas.openxmlformats.org/officeDocument/2006/relationships/hyperlink" Target="https://www.herinteractive.com/shop-games/nancy-drew-ghost-dogs-of-moon-lak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006A4-7DBD-FD4D-BCC4-A3173EEA5411}">
  <sheetPr codeName="Sheet5"/>
  <dimension ref="A1:V189"/>
  <sheetViews>
    <sheetView topLeftCell="M1" zoomScale="120" zoomScaleNormal="120" workbookViewId="0">
      <selection activeCell="P2" sqref="P2:P10"/>
    </sheetView>
  </sheetViews>
  <sheetFormatPr baseColWidth="10" defaultRowHeight="19" x14ac:dyDescent="0.2"/>
  <cols>
    <col min="1" max="1" width="30.83203125" style="1" customWidth="1"/>
    <col min="2" max="5" width="10.83203125" style="1" customWidth="1"/>
    <col min="6" max="6" width="30.83203125" style="1" customWidth="1"/>
    <col min="7" max="7" width="10.83203125" style="1" customWidth="1"/>
    <col min="8" max="8" width="30.83203125" style="1" customWidth="1"/>
    <col min="9" max="15" width="10.83203125" style="1" customWidth="1"/>
    <col min="16" max="16" width="30.83203125" style="1" customWidth="1"/>
    <col min="17" max="22" width="10.83203125" style="1" customWidth="1"/>
    <col min="23" max="36" width="30.83203125" style="1" customWidth="1"/>
    <col min="37" max="37" width="10.83203125" style="1"/>
    <col min="38" max="40" width="30.83203125" style="1" customWidth="1"/>
    <col min="41" max="41" width="10.83203125" style="1"/>
    <col min="42" max="44" width="30.83203125" style="1" customWidth="1"/>
    <col min="45" max="45" width="10.83203125" style="1"/>
    <col min="46" max="48" width="30.83203125" style="1" customWidth="1"/>
    <col min="49" max="16384" width="10.83203125" style="1"/>
  </cols>
  <sheetData>
    <row r="1" spans="6:16" ht="20" customHeight="1" x14ac:dyDescent="0.2">
      <c r="F1" s="42" t="s">
        <v>111</v>
      </c>
      <c r="G1" s="43"/>
      <c r="H1" s="43"/>
      <c r="I1" s="43"/>
      <c r="J1" s="43"/>
      <c r="K1" s="44"/>
      <c r="L1" s="22"/>
      <c r="N1" s="40" t="s">
        <v>173</v>
      </c>
      <c r="O1" s="39" t="s">
        <v>174</v>
      </c>
      <c r="P1" s="39" t="s">
        <v>175</v>
      </c>
    </row>
    <row r="2" spans="6:16" ht="20" x14ac:dyDescent="0.2">
      <c r="F2" s="4" t="s">
        <v>3</v>
      </c>
      <c r="G2" s="4"/>
      <c r="H2" s="4" t="s">
        <v>110</v>
      </c>
      <c r="I2" s="4" t="s">
        <v>1</v>
      </c>
      <c r="J2" s="4"/>
      <c r="K2" s="4" t="s">
        <v>2</v>
      </c>
      <c r="L2" s="23"/>
      <c r="N2" s="33">
        <v>1</v>
      </c>
      <c r="O2" s="34">
        <v>9</v>
      </c>
      <c r="P2" s="34" t="s">
        <v>179</v>
      </c>
    </row>
    <row r="3" spans="6:16" ht="20" x14ac:dyDescent="0.2">
      <c r="F3" s="4" t="s">
        <v>4</v>
      </c>
      <c r="G3" s="4"/>
      <c r="H3" s="33" t="s">
        <v>146</v>
      </c>
      <c r="I3" s="4">
        <v>0</v>
      </c>
      <c r="J3" s="4"/>
      <c r="K3" s="4">
        <v>0</v>
      </c>
      <c r="L3" s="23"/>
      <c r="N3" s="33">
        <v>5</v>
      </c>
      <c r="O3" s="34">
        <v>9</v>
      </c>
      <c r="P3" s="34" t="s">
        <v>180</v>
      </c>
    </row>
    <row r="4" spans="6:16" ht="20" x14ac:dyDescent="0.2">
      <c r="F4" s="4" t="s">
        <v>6</v>
      </c>
      <c r="G4" s="4"/>
      <c r="H4" s="33" t="s">
        <v>147</v>
      </c>
      <c r="I4" s="4">
        <v>1</v>
      </c>
      <c r="J4" s="4"/>
      <c r="K4" s="4">
        <v>0</v>
      </c>
      <c r="L4" s="23"/>
      <c r="N4" s="33">
        <v>9</v>
      </c>
      <c r="O4" s="34">
        <v>9</v>
      </c>
      <c r="P4" s="34" t="s">
        <v>181</v>
      </c>
    </row>
    <row r="5" spans="6:16" ht="20" x14ac:dyDescent="0.2">
      <c r="F5" s="4" t="s">
        <v>5</v>
      </c>
      <c r="G5" s="4"/>
      <c r="H5" s="33" t="s">
        <v>148</v>
      </c>
      <c r="I5" s="4">
        <v>2</v>
      </c>
      <c r="J5" s="4"/>
      <c r="K5" s="4">
        <v>0</v>
      </c>
      <c r="L5" s="23"/>
      <c r="N5" s="35">
        <v>13</v>
      </c>
      <c r="O5" s="36">
        <v>9</v>
      </c>
      <c r="P5" s="36" t="s">
        <v>176</v>
      </c>
    </row>
    <row r="6" spans="6:16" ht="19" customHeight="1" x14ac:dyDescent="0.2">
      <c r="F6" s="45" t="s">
        <v>112</v>
      </c>
      <c r="G6" s="46"/>
      <c r="H6" s="46"/>
      <c r="I6" s="47"/>
      <c r="J6" s="6"/>
      <c r="K6" s="5"/>
      <c r="L6" s="24"/>
      <c r="N6" s="35">
        <v>17</v>
      </c>
      <c r="O6" s="36">
        <v>9</v>
      </c>
      <c r="P6" s="36" t="s">
        <v>182</v>
      </c>
    </row>
    <row r="7" spans="6:16" ht="20" x14ac:dyDescent="0.2">
      <c r="F7" s="5" t="s">
        <v>3</v>
      </c>
      <c r="G7" s="5"/>
      <c r="H7" s="5" t="s">
        <v>110</v>
      </c>
      <c r="I7" s="5" t="s">
        <v>1</v>
      </c>
      <c r="J7" s="5"/>
      <c r="K7" s="5" t="s">
        <v>2</v>
      </c>
      <c r="L7" s="24"/>
      <c r="N7" s="35">
        <v>21</v>
      </c>
      <c r="O7" s="36">
        <v>9</v>
      </c>
      <c r="P7" s="36" t="s">
        <v>185</v>
      </c>
    </row>
    <row r="8" spans="6:16" ht="20" x14ac:dyDescent="0.2">
      <c r="F8" s="5" t="s">
        <v>19</v>
      </c>
      <c r="G8" s="5"/>
      <c r="H8" s="35" t="s">
        <v>149</v>
      </c>
      <c r="I8" s="5">
        <v>4</v>
      </c>
      <c r="J8" s="5"/>
      <c r="K8" s="5">
        <v>0</v>
      </c>
      <c r="L8" s="24"/>
      <c r="N8" s="37">
        <v>25</v>
      </c>
      <c r="O8" s="38">
        <v>9</v>
      </c>
      <c r="P8" s="38" t="s">
        <v>184</v>
      </c>
    </row>
    <row r="9" spans="6:16" ht="20" x14ac:dyDescent="0.2">
      <c r="F9" s="5" t="s">
        <v>15</v>
      </c>
      <c r="G9" s="5"/>
      <c r="H9" s="35" t="s">
        <v>150</v>
      </c>
      <c r="I9" s="5">
        <v>5</v>
      </c>
      <c r="J9" s="5"/>
      <c r="K9" s="5">
        <v>0</v>
      </c>
      <c r="L9" s="24"/>
      <c r="N9" s="37">
        <v>29</v>
      </c>
      <c r="O9" s="38">
        <v>9</v>
      </c>
      <c r="P9" s="38" t="s">
        <v>186</v>
      </c>
    </row>
    <row r="10" spans="6:16" ht="19" customHeight="1" x14ac:dyDescent="0.2">
      <c r="F10" s="5" t="s">
        <v>16</v>
      </c>
      <c r="G10" s="5"/>
      <c r="H10" s="35" t="s">
        <v>151</v>
      </c>
      <c r="I10" s="5">
        <v>6</v>
      </c>
      <c r="J10" s="5"/>
      <c r="K10" s="5">
        <v>0</v>
      </c>
      <c r="L10" s="24"/>
      <c r="N10" s="37">
        <v>33</v>
      </c>
      <c r="O10" s="38">
        <v>9</v>
      </c>
      <c r="P10" s="38" t="s">
        <v>177</v>
      </c>
    </row>
    <row r="11" spans="6:16" ht="19" customHeight="1" x14ac:dyDescent="0.2">
      <c r="F11" s="48" t="s">
        <v>113</v>
      </c>
      <c r="G11" s="49"/>
      <c r="H11" s="49"/>
      <c r="I11" s="50"/>
      <c r="J11" s="2"/>
      <c r="K11" s="3"/>
      <c r="L11" s="20"/>
    </row>
    <row r="12" spans="6:16" ht="20" x14ac:dyDescent="0.2">
      <c r="F12" s="3" t="s">
        <v>3</v>
      </c>
      <c r="G12" s="3"/>
      <c r="H12" s="3" t="s">
        <v>110</v>
      </c>
      <c r="I12" s="3" t="s">
        <v>1</v>
      </c>
      <c r="J12" s="3"/>
      <c r="K12" s="3" t="s">
        <v>2</v>
      </c>
      <c r="L12" s="20"/>
    </row>
    <row r="13" spans="6:16" ht="20" x14ac:dyDescent="0.2">
      <c r="F13" s="3" t="s">
        <v>9</v>
      </c>
      <c r="G13" s="3"/>
      <c r="H13" s="37" t="s">
        <v>152</v>
      </c>
      <c r="I13" s="3">
        <v>8</v>
      </c>
      <c r="J13" s="3"/>
      <c r="K13" s="3">
        <v>0</v>
      </c>
      <c r="L13" s="20"/>
    </row>
    <row r="14" spans="6:16" ht="19" customHeight="1" x14ac:dyDescent="0.2">
      <c r="F14" s="3" t="s">
        <v>10</v>
      </c>
      <c r="G14" s="3"/>
      <c r="H14" s="37" t="s">
        <v>153</v>
      </c>
      <c r="I14" s="3">
        <v>9</v>
      </c>
      <c r="J14" s="3"/>
      <c r="K14" s="3">
        <v>0</v>
      </c>
      <c r="L14" s="20"/>
    </row>
    <row r="15" spans="6:16" ht="20" x14ac:dyDescent="0.2">
      <c r="F15" s="3" t="s">
        <v>11</v>
      </c>
      <c r="G15" s="3"/>
      <c r="H15" s="37" t="s">
        <v>154</v>
      </c>
      <c r="I15" s="3">
        <v>10</v>
      </c>
      <c r="J15" s="3"/>
      <c r="K15" s="3">
        <v>0</v>
      </c>
      <c r="L15" s="20"/>
    </row>
    <row r="16" spans="6:16" ht="19" customHeight="1" x14ac:dyDescent="0.2">
      <c r="F16" s="42" t="s">
        <v>114</v>
      </c>
      <c r="G16" s="43"/>
      <c r="H16" s="43"/>
      <c r="I16" s="44"/>
      <c r="J16" s="21"/>
      <c r="K16" s="4"/>
      <c r="L16" s="23"/>
    </row>
    <row r="17" spans="6:12" ht="20" x14ac:dyDescent="0.2">
      <c r="F17" s="4" t="s">
        <v>3</v>
      </c>
      <c r="G17" s="4"/>
      <c r="H17" s="4" t="s">
        <v>110</v>
      </c>
      <c r="I17" s="4" t="s">
        <v>1</v>
      </c>
      <c r="J17" s="4"/>
      <c r="K17" s="4" t="s">
        <v>2</v>
      </c>
      <c r="L17" s="23"/>
    </row>
    <row r="18" spans="6:12" ht="19" customHeight="1" x14ac:dyDescent="0.2">
      <c r="F18" s="4" t="s">
        <v>20</v>
      </c>
      <c r="G18" s="4"/>
      <c r="H18" s="33" t="s">
        <v>155</v>
      </c>
      <c r="I18" s="4">
        <v>12</v>
      </c>
      <c r="J18" s="4"/>
      <c r="K18" s="4">
        <v>0</v>
      </c>
      <c r="L18" s="23"/>
    </row>
    <row r="19" spans="6:12" ht="40" x14ac:dyDescent="0.2">
      <c r="F19" s="4" t="s">
        <v>22</v>
      </c>
      <c r="G19" s="4"/>
      <c r="H19" s="33" t="s">
        <v>156</v>
      </c>
      <c r="I19" s="4">
        <v>13</v>
      </c>
      <c r="J19" s="4"/>
      <c r="K19" s="4">
        <v>0</v>
      </c>
      <c r="L19" s="23"/>
    </row>
    <row r="20" spans="6:12" ht="20" x14ac:dyDescent="0.2">
      <c r="F20" s="4" t="s">
        <v>21</v>
      </c>
      <c r="G20" s="4"/>
      <c r="H20" s="33" t="s">
        <v>157</v>
      </c>
      <c r="I20" s="4">
        <v>14</v>
      </c>
      <c r="J20" s="4"/>
      <c r="K20" s="4">
        <v>0</v>
      </c>
      <c r="L20" s="23"/>
    </row>
    <row r="21" spans="6:12" ht="19" customHeight="1" x14ac:dyDescent="0.2">
      <c r="F21" s="45" t="s">
        <v>115</v>
      </c>
      <c r="G21" s="46"/>
      <c r="H21" s="46"/>
      <c r="I21" s="47"/>
      <c r="J21" s="6"/>
      <c r="K21" s="5"/>
      <c r="L21" s="24"/>
    </row>
    <row r="22" spans="6:12" ht="19" customHeight="1" x14ac:dyDescent="0.2">
      <c r="F22" s="5" t="s">
        <v>3</v>
      </c>
      <c r="G22" s="5"/>
      <c r="H22" s="5" t="s">
        <v>110</v>
      </c>
      <c r="I22" s="5" t="s">
        <v>1</v>
      </c>
      <c r="J22" s="5"/>
      <c r="K22" s="5" t="s">
        <v>2</v>
      </c>
      <c r="L22" s="24"/>
    </row>
    <row r="23" spans="6:12" ht="20" x14ac:dyDescent="0.2">
      <c r="F23" s="5" t="s">
        <v>12</v>
      </c>
      <c r="G23" s="5"/>
      <c r="H23" s="35" t="s">
        <v>158</v>
      </c>
      <c r="I23" s="5">
        <v>16</v>
      </c>
      <c r="J23" s="5"/>
      <c r="K23" s="5">
        <v>0</v>
      </c>
      <c r="L23" s="24"/>
    </row>
    <row r="24" spans="6:12" ht="20" x14ac:dyDescent="0.2">
      <c r="F24" s="5" t="s">
        <v>13</v>
      </c>
      <c r="G24" s="5"/>
      <c r="H24" s="35" t="s">
        <v>159</v>
      </c>
      <c r="I24" s="5">
        <v>17</v>
      </c>
      <c r="J24" s="5"/>
      <c r="K24" s="5">
        <v>0</v>
      </c>
      <c r="L24" s="24"/>
    </row>
    <row r="25" spans="6:12" ht="20" x14ac:dyDescent="0.2">
      <c r="F25" s="5" t="s">
        <v>14</v>
      </c>
      <c r="G25" s="5"/>
      <c r="H25" s="35" t="s">
        <v>160</v>
      </c>
      <c r="I25" s="5">
        <v>18</v>
      </c>
      <c r="J25" s="5"/>
      <c r="K25" s="5">
        <v>0</v>
      </c>
      <c r="L25" s="24"/>
    </row>
    <row r="26" spans="6:12" ht="19" customHeight="1" x14ac:dyDescent="0.2">
      <c r="F26" s="48" t="s">
        <v>116</v>
      </c>
      <c r="G26" s="49"/>
      <c r="H26" s="49"/>
      <c r="I26" s="50"/>
      <c r="J26" s="2"/>
      <c r="K26" s="3"/>
      <c r="L26" s="20"/>
    </row>
    <row r="27" spans="6:12" ht="20" x14ac:dyDescent="0.2">
      <c r="F27" s="3" t="s">
        <v>3</v>
      </c>
      <c r="G27" s="3"/>
      <c r="H27" s="3" t="s">
        <v>110</v>
      </c>
      <c r="I27" s="3" t="s">
        <v>1</v>
      </c>
      <c r="J27" s="3"/>
      <c r="K27" s="3" t="s">
        <v>2</v>
      </c>
      <c r="L27" s="20"/>
    </row>
    <row r="28" spans="6:12" ht="60" x14ac:dyDescent="0.2">
      <c r="F28" s="3" t="s">
        <v>98</v>
      </c>
      <c r="G28" s="3"/>
      <c r="H28" s="37" t="s">
        <v>161</v>
      </c>
      <c r="I28" s="3">
        <v>20</v>
      </c>
      <c r="J28" s="3"/>
      <c r="K28" s="3">
        <v>0</v>
      </c>
      <c r="L28" s="20"/>
    </row>
    <row r="29" spans="6:12" ht="60" x14ac:dyDescent="0.2">
      <c r="F29" s="3" t="s">
        <v>26</v>
      </c>
      <c r="G29" s="3"/>
      <c r="H29" s="37" t="s">
        <v>162</v>
      </c>
      <c r="I29" s="3">
        <v>21</v>
      </c>
      <c r="J29" s="3"/>
      <c r="K29" s="3">
        <v>0</v>
      </c>
      <c r="L29" s="20"/>
    </row>
    <row r="30" spans="6:12" ht="19" customHeight="1" x14ac:dyDescent="0.2">
      <c r="F30" s="3" t="s">
        <v>25</v>
      </c>
      <c r="G30" s="3"/>
      <c r="H30" s="37" t="s">
        <v>163</v>
      </c>
      <c r="I30" s="3">
        <v>22</v>
      </c>
      <c r="J30" s="3"/>
      <c r="K30" s="3">
        <v>0</v>
      </c>
      <c r="L30" s="20"/>
    </row>
    <row r="31" spans="6:12" ht="19" customHeight="1" x14ac:dyDescent="0.2">
      <c r="F31" s="42" t="s">
        <v>117</v>
      </c>
      <c r="G31" s="43"/>
      <c r="H31" s="43"/>
      <c r="I31" s="44"/>
      <c r="J31" s="21"/>
      <c r="K31" s="4"/>
      <c r="L31" s="23"/>
    </row>
    <row r="32" spans="6:12" ht="20" x14ac:dyDescent="0.2">
      <c r="F32" s="4" t="s">
        <v>3</v>
      </c>
      <c r="G32" s="4"/>
      <c r="H32" s="4" t="s">
        <v>110</v>
      </c>
      <c r="I32" s="4" t="s">
        <v>1</v>
      </c>
      <c r="J32" s="4"/>
      <c r="K32" s="4" t="s">
        <v>2</v>
      </c>
      <c r="L32" s="23"/>
    </row>
    <row r="33" spans="1:12" ht="40" x14ac:dyDescent="0.2">
      <c r="F33" s="4" t="s">
        <v>99</v>
      </c>
      <c r="G33" s="4"/>
      <c r="H33" s="33" t="s">
        <v>164</v>
      </c>
      <c r="I33" s="4">
        <v>24</v>
      </c>
      <c r="J33" s="4"/>
      <c r="K33" s="4">
        <v>0</v>
      </c>
      <c r="L33" s="23"/>
    </row>
    <row r="34" spans="1:12" ht="19" customHeight="1" x14ac:dyDescent="0.2">
      <c r="F34" s="4" t="s">
        <v>100</v>
      </c>
      <c r="G34" s="4"/>
      <c r="H34" s="33" t="s">
        <v>165</v>
      </c>
      <c r="I34" s="4">
        <v>25</v>
      </c>
      <c r="J34" s="4"/>
      <c r="K34" s="4">
        <v>0</v>
      </c>
      <c r="L34" s="23"/>
    </row>
    <row r="35" spans="1:12" ht="20" x14ac:dyDescent="0.2">
      <c r="F35" s="4" t="s">
        <v>101</v>
      </c>
      <c r="G35" s="4"/>
      <c r="H35" s="33" t="s">
        <v>166</v>
      </c>
      <c r="I35" s="4">
        <v>26</v>
      </c>
      <c r="J35" s="4"/>
      <c r="K35" s="4">
        <v>0</v>
      </c>
      <c r="L35" s="23"/>
    </row>
    <row r="36" spans="1:12" ht="19" customHeight="1" x14ac:dyDescent="0.2">
      <c r="F36" s="45" t="s">
        <v>118</v>
      </c>
      <c r="G36" s="46"/>
      <c r="H36" s="46"/>
      <c r="I36" s="47"/>
      <c r="J36" s="6"/>
      <c r="K36" s="5"/>
      <c r="L36" s="24"/>
    </row>
    <row r="37" spans="1:12" ht="20" x14ac:dyDescent="0.2">
      <c r="F37" s="5" t="s">
        <v>3</v>
      </c>
      <c r="G37" s="5"/>
      <c r="H37" s="5" t="s">
        <v>110</v>
      </c>
      <c r="I37" s="5" t="s">
        <v>1</v>
      </c>
      <c r="J37" s="5"/>
      <c r="K37" s="5" t="s">
        <v>2</v>
      </c>
      <c r="L37" s="24"/>
    </row>
    <row r="38" spans="1:12" ht="20" x14ac:dyDescent="0.2">
      <c r="F38" s="5" t="s">
        <v>102</v>
      </c>
      <c r="G38" s="5"/>
      <c r="H38" s="35" t="s">
        <v>167</v>
      </c>
      <c r="I38" s="5">
        <v>28</v>
      </c>
      <c r="J38" s="5"/>
      <c r="K38" s="5">
        <v>0</v>
      </c>
      <c r="L38" s="24"/>
    </row>
    <row r="39" spans="1:12" ht="20" x14ac:dyDescent="0.2">
      <c r="F39" s="5" t="s">
        <v>103</v>
      </c>
      <c r="G39" s="5"/>
      <c r="H39" s="35" t="s">
        <v>168</v>
      </c>
      <c r="I39" s="5">
        <v>29</v>
      </c>
      <c r="J39" s="5"/>
      <c r="K39" s="5">
        <v>0</v>
      </c>
      <c r="L39" s="24"/>
    </row>
    <row r="40" spans="1:12" ht="20" x14ac:dyDescent="0.2">
      <c r="F40" s="5" t="s">
        <v>104</v>
      </c>
      <c r="G40" s="5"/>
      <c r="H40" s="35" t="s">
        <v>169</v>
      </c>
      <c r="I40" s="5">
        <v>30</v>
      </c>
      <c r="J40" s="5"/>
      <c r="K40" s="5">
        <v>0</v>
      </c>
      <c r="L40" s="24"/>
    </row>
    <row r="41" spans="1:12" x14ac:dyDescent="0.2">
      <c r="F41" s="55" t="s">
        <v>119</v>
      </c>
      <c r="G41" s="55"/>
      <c r="H41" s="55"/>
      <c r="I41" s="55"/>
      <c r="J41" s="2"/>
      <c r="K41" s="3"/>
      <c r="L41" s="20"/>
    </row>
    <row r="42" spans="1:12" ht="20" x14ac:dyDescent="0.2">
      <c r="F42" s="3" t="s">
        <v>3</v>
      </c>
      <c r="G42" s="3"/>
      <c r="H42" s="3" t="s">
        <v>110</v>
      </c>
      <c r="I42" s="3" t="s">
        <v>1</v>
      </c>
      <c r="J42" s="3"/>
      <c r="K42" s="3" t="s">
        <v>2</v>
      </c>
      <c r="L42" s="20"/>
    </row>
    <row r="43" spans="1:12" ht="20" x14ac:dyDescent="0.2">
      <c r="F43" s="3" t="s">
        <v>105</v>
      </c>
      <c r="G43" s="3"/>
      <c r="H43" s="37" t="s">
        <v>170</v>
      </c>
      <c r="I43" s="3">
        <v>32</v>
      </c>
      <c r="J43" s="3"/>
      <c r="K43" s="3">
        <v>0</v>
      </c>
      <c r="L43" s="20"/>
    </row>
    <row r="44" spans="1:12" ht="20" x14ac:dyDescent="0.2">
      <c r="F44" s="3" t="s">
        <v>106</v>
      </c>
      <c r="G44" s="3"/>
      <c r="H44" s="37" t="s">
        <v>171</v>
      </c>
      <c r="I44" s="3">
        <v>33</v>
      </c>
      <c r="J44" s="3"/>
      <c r="K44" s="3">
        <v>0</v>
      </c>
      <c r="L44" s="20"/>
    </row>
    <row r="45" spans="1:12" ht="20" x14ac:dyDescent="0.2">
      <c r="F45" s="3" t="s">
        <v>107</v>
      </c>
      <c r="G45" s="3"/>
      <c r="H45" s="37" t="s">
        <v>172</v>
      </c>
      <c r="I45" s="3">
        <v>34</v>
      </c>
      <c r="J45" s="3"/>
      <c r="K45" s="3">
        <v>0</v>
      </c>
      <c r="L45" s="20"/>
    </row>
    <row r="46" spans="1:12" ht="21" customHeight="1" x14ac:dyDescent="0.2">
      <c r="A46" s="52" t="s">
        <v>17</v>
      </c>
      <c r="B46" s="52"/>
      <c r="C46" s="52"/>
      <c r="D46" s="11"/>
      <c r="E46" s="11"/>
    </row>
    <row r="47" spans="1:12" ht="20" x14ac:dyDescent="0.2">
      <c r="A47" s="4" t="s">
        <v>3</v>
      </c>
      <c r="B47" s="4" t="s">
        <v>1</v>
      </c>
      <c r="C47" s="4" t="s">
        <v>2</v>
      </c>
    </row>
    <row r="48" spans="1:12" ht="20" x14ac:dyDescent="0.2">
      <c r="A48" s="4" t="s">
        <v>178</v>
      </c>
      <c r="B48" s="4">
        <v>0</v>
      </c>
      <c r="C48" s="4">
        <v>0</v>
      </c>
    </row>
    <row r="49" spans="1:22" x14ac:dyDescent="0.2">
      <c r="A49" s="4">
        <v>1982</v>
      </c>
      <c r="B49" s="4">
        <v>0</v>
      </c>
      <c r="C49" s="4">
        <v>1</v>
      </c>
    </row>
    <row r="50" spans="1:22" x14ac:dyDescent="0.2">
      <c r="A50" s="4">
        <v>1983</v>
      </c>
      <c r="B50" s="4">
        <v>0</v>
      </c>
      <c r="C50" s="4">
        <v>2</v>
      </c>
    </row>
    <row r="51" spans="1:22" x14ac:dyDescent="0.2">
      <c r="A51" s="4">
        <v>1984</v>
      </c>
      <c r="B51" s="4">
        <v>0</v>
      </c>
      <c r="C51" s="4">
        <v>3</v>
      </c>
    </row>
    <row r="52" spans="1:22" x14ac:dyDescent="0.2">
      <c r="A52" s="4">
        <v>1985</v>
      </c>
      <c r="B52" s="4">
        <v>0</v>
      </c>
      <c r="C52" s="4">
        <v>4</v>
      </c>
    </row>
    <row r="53" spans="1:22" x14ac:dyDescent="0.2">
      <c r="A53" s="4">
        <v>1986</v>
      </c>
      <c r="B53" s="4">
        <v>0</v>
      </c>
      <c r="C53" s="4">
        <v>5</v>
      </c>
    </row>
    <row r="54" spans="1:22" x14ac:dyDescent="0.2">
      <c r="A54" s="4">
        <v>1987</v>
      </c>
      <c r="B54" s="4">
        <v>0</v>
      </c>
      <c r="C54" s="4">
        <v>6</v>
      </c>
    </row>
    <row r="55" spans="1:22" ht="104" customHeight="1" x14ac:dyDescent="0.2">
      <c r="A55" s="4">
        <v>1988</v>
      </c>
      <c r="B55" s="4">
        <v>0</v>
      </c>
      <c r="C55" s="4">
        <v>7</v>
      </c>
    </row>
    <row r="56" spans="1:22" ht="78" customHeight="1" x14ac:dyDescent="0.2">
      <c r="A56" s="4">
        <v>1989</v>
      </c>
      <c r="B56" s="4">
        <v>0</v>
      </c>
      <c r="C56" s="4">
        <v>8</v>
      </c>
    </row>
    <row r="57" spans="1:22" ht="90" customHeight="1" x14ac:dyDescent="0.2">
      <c r="T57" s="15"/>
      <c r="U57" s="15"/>
    </row>
    <row r="58" spans="1:22" ht="54" customHeight="1" x14ac:dyDescent="0.2">
      <c r="A58" s="2" t="s">
        <v>7</v>
      </c>
      <c r="C58" s="2" t="s">
        <v>120</v>
      </c>
      <c r="D58" s="2" t="s">
        <v>137</v>
      </c>
      <c r="E58" s="25" t="s">
        <v>121</v>
      </c>
      <c r="F58" s="2" t="s">
        <v>138</v>
      </c>
      <c r="G58" s="2" t="s">
        <v>122</v>
      </c>
      <c r="H58" s="2" t="s">
        <v>139</v>
      </c>
      <c r="I58" s="12"/>
      <c r="J58" s="2" t="s">
        <v>123</v>
      </c>
      <c r="K58" s="2" t="s">
        <v>140</v>
      </c>
      <c r="L58" s="29" t="s">
        <v>124</v>
      </c>
      <c r="M58" s="2" t="s">
        <v>141</v>
      </c>
      <c r="N58" s="29" t="s">
        <v>125</v>
      </c>
      <c r="O58" s="2" t="s">
        <v>142</v>
      </c>
      <c r="Q58" s="2" t="s">
        <v>126</v>
      </c>
      <c r="R58" s="2" t="s">
        <v>143</v>
      </c>
      <c r="S58" s="2" t="s">
        <v>128</v>
      </c>
      <c r="T58" s="2" t="s">
        <v>144</v>
      </c>
      <c r="U58" s="29" t="s">
        <v>127</v>
      </c>
      <c r="V58" s="2" t="s">
        <v>145</v>
      </c>
    </row>
    <row r="59" spans="1:22" x14ac:dyDescent="0.2">
      <c r="A59" s="4">
        <v>0</v>
      </c>
      <c r="C59" s="4">
        <v>0</v>
      </c>
      <c r="D59" s="4">
        <f>COUNTIFS(D90:D189, "=0",$B$90:$B$189, "&gt;=1980",$B$90:$B$189, "&lt;=1981")</f>
        <v>2</v>
      </c>
      <c r="E59" s="26">
        <v>4</v>
      </c>
      <c r="F59" s="4">
        <f>COUNTIFS(F90:F189, "=0",$B$90:$B$189, "&gt;=1980",$B$90:$B$189, "&lt;=1981")</f>
        <v>2</v>
      </c>
      <c r="G59" s="4">
        <v>8</v>
      </c>
      <c r="H59" s="4">
        <f>COUNTIFS(H90:H189, "=0",$B$90:$B$189, "&gt;=1980",$B$90:$B$189, "&lt;=1981")</f>
        <v>0</v>
      </c>
      <c r="I59" s="16"/>
      <c r="J59" s="4">
        <v>12</v>
      </c>
      <c r="K59" s="4">
        <f>COUNTIFS(K90:K189, "=0",$B$90:$B$189, "&gt;=1980",$B$90:$B$189, "&lt;=1981")</f>
        <v>2</v>
      </c>
      <c r="L59" s="30">
        <v>16</v>
      </c>
      <c r="M59" s="4">
        <f>COUNTIFS(M90:M189, "=0",$B$90:$B$189, "&gt;=1980",$B$90:$B$189, "&lt;=1981")</f>
        <v>0</v>
      </c>
      <c r="N59" s="30">
        <v>20</v>
      </c>
      <c r="O59" s="4">
        <f>COUNTIFS(O90:O189, "=0",$B$90:$B$189, "&gt;=1980",$B$90:$B$189, "&lt;=1981")</f>
        <v>2</v>
      </c>
      <c r="Q59" s="4">
        <v>24</v>
      </c>
      <c r="R59" s="4">
        <f>COUNTIFS(R90:R189, "=0",$B$90:$B$189, "&gt;=1980",$B$90:$B$189, "&lt;=1981")</f>
        <v>2</v>
      </c>
      <c r="S59" s="30">
        <v>28</v>
      </c>
      <c r="T59" s="4">
        <f>COUNTIFS(T90:T189, "=0",$B$90:$B$189, "&gt;=1980",$B$90:$B$189, "&lt;=1981")</f>
        <v>2</v>
      </c>
      <c r="U59" s="30">
        <v>32</v>
      </c>
      <c r="V59" s="4">
        <f>COUNTIFS(V90:V189, "=0",$B$90:$B$189, "&gt;=1980",$B$90:$B$189, "&lt;=1981")</f>
        <v>0</v>
      </c>
    </row>
    <row r="60" spans="1:22" x14ac:dyDescent="0.2">
      <c r="A60" s="4">
        <v>1</v>
      </c>
      <c r="C60" s="4">
        <v>0</v>
      </c>
      <c r="D60" s="4">
        <f>COUNTIFS(D90:D189, "=0",$B$90:$B$189, "1982")</f>
        <v>3</v>
      </c>
      <c r="E60" s="26">
        <v>4</v>
      </c>
      <c r="F60" s="4">
        <f>COUNTIFS(F90:F189, "=0",$B$90:$B$189, "1982")</f>
        <v>3</v>
      </c>
      <c r="G60" s="4">
        <v>8</v>
      </c>
      <c r="H60" s="4">
        <f>COUNTIFS(H90:H189, "=0",$B$90:$B$189, "1982")</f>
        <v>0</v>
      </c>
      <c r="I60" s="16"/>
      <c r="J60" s="4">
        <v>12</v>
      </c>
      <c r="K60" s="4">
        <f>COUNTIFS(K90:K189, "=0",$B$90:$B$189, "1982")</f>
        <v>2</v>
      </c>
      <c r="L60" s="30">
        <v>16</v>
      </c>
      <c r="M60" s="4">
        <f>COUNTIFS(M90:M189, "=0",$B$90:$B$189, "1982")</f>
        <v>0</v>
      </c>
      <c r="N60" s="30">
        <v>20</v>
      </c>
      <c r="O60" s="4">
        <f>COUNTIFS(O90:O189, "=0",$B$90:$B$189, "1982")</f>
        <v>3</v>
      </c>
      <c r="Q60" s="4">
        <v>24</v>
      </c>
      <c r="R60" s="4">
        <f>COUNTIFS(R90:R189, "=0",$B$90:$B$189, "1982")</f>
        <v>3</v>
      </c>
      <c r="S60" s="30">
        <v>28</v>
      </c>
      <c r="T60" s="4">
        <f>COUNTIFS(T90:T189, "=0",$B$90:$B$189, "1982")</f>
        <v>1</v>
      </c>
      <c r="U60" s="30">
        <v>32</v>
      </c>
      <c r="V60" s="4">
        <f>COUNTIFS(V90:V189, "=0",$B$90:$B$189, "1982")</f>
        <v>0</v>
      </c>
    </row>
    <row r="61" spans="1:22" x14ac:dyDescent="0.2">
      <c r="A61" s="4">
        <v>2</v>
      </c>
      <c r="C61" s="4">
        <v>0</v>
      </c>
      <c r="D61" s="4">
        <f>COUNTIFS(D90:D189, "=0",$B$90:$B$189, "1983")</f>
        <v>5</v>
      </c>
      <c r="E61" s="26">
        <v>4</v>
      </c>
      <c r="F61" s="4">
        <f>COUNTIFS(F90:F189, "=0",$B$90:$B$189, "1983")</f>
        <v>5</v>
      </c>
      <c r="G61" s="4">
        <v>8</v>
      </c>
      <c r="H61" s="4">
        <f>COUNTIFS(H90:H189, "=0",$B$90:$B$189, "1983")</f>
        <v>0</v>
      </c>
      <c r="I61" s="16"/>
      <c r="J61" s="4">
        <v>12</v>
      </c>
      <c r="K61" s="4">
        <f>COUNTIFS(K90:K189, "=0",$B$90:$B$189, "1983")</f>
        <v>3</v>
      </c>
      <c r="L61" s="30">
        <v>16</v>
      </c>
      <c r="M61" s="4">
        <f>COUNTIFS(M90:M189, "=0",$B$90:$B$189, "1983")</f>
        <v>0</v>
      </c>
      <c r="N61" s="30">
        <v>20</v>
      </c>
      <c r="O61" s="4">
        <f>COUNTIFS(O90:O189, "=0",$B$90:$B$189, "1983")</f>
        <v>5</v>
      </c>
      <c r="Q61" s="4">
        <v>24</v>
      </c>
      <c r="R61" s="4">
        <f>COUNTIFS(R90:R189, "=0",$B$90:$B$189, "1983")</f>
        <v>5</v>
      </c>
      <c r="S61" s="30">
        <v>28</v>
      </c>
      <c r="T61" s="4">
        <f>COUNTIFS(T90:T189, "=0",$B$90:$B$189, "1983")</f>
        <v>1</v>
      </c>
      <c r="U61" s="30">
        <v>32</v>
      </c>
      <c r="V61" s="4">
        <f>COUNTIFS(V90:V189, "=0",$B$90:$B$189, "1983")</f>
        <v>0</v>
      </c>
    </row>
    <row r="62" spans="1:22" x14ac:dyDescent="0.2">
      <c r="A62" s="4">
        <v>3</v>
      </c>
      <c r="C62" s="4">
        <v>0</v>
      </c>
      <c r="D62" s="4">
        <f>COUNTIFS(D90:D189, "=0",$B$90:$B$189, "1984")</f>
        <v>5</v>
      </c>
      <c r="E62" s="26">
        <v>4</v>
      </c>
      <c r="F62" s="4">
        <f>COUNTIFS(F90:F189, "=0",$B$90:$B$189, "1984")</f>
        <v>5</v>
      </c>
      <c r="G62" s="4">
        <v>8</v>
      </c>
      <c r="H62" s="4">
        <f>COUNTIFS(H90:H189, "=0",$B$90:$B$189, "1984")</f>
        <v>0</v>
      </c>
      <c r="I62" s="16"/>
      <c r="J62" s="4">
        <v>12</v>
      </c>
      <c r="K62" s="4">
        <f>COUNTIFS(K90:K189, "=0",$B$90:$B$189, "1984")</f>
        <v>2</v>
      </c>
      <c r="L62" s="30">
        <v>16</v>
      </c>
      <c r="M62" s="4">
        <f>COUNTIFS(M90:M189, "=0",$B$90:$B$189, "1984")</f>
        <v>0</v>
      </c>
      <c r="N62" s="30">
        <v>20</v>
      </c>
      <c r="O62" s="4">
        <f>COUNTIFS(O90:O189, "=0",$B$90:$B$189, "1984")</f>
        <v>5</v>
      </c>
      <c r="Q62" s="4">
        <v>24</v>
      </c>
      <c r="R62" s="4">
        <f>COUNTIFS(R90:R189, "=0",$B$90:$B$189, "1984")</f>
        <v>5</v>
      </c>
      <c r="S62" s="30">
        <v>28</v>
      </c>
      <c r="T62" s="4">
        <f>COUNTIFS(T90:T189, "=0",$B$90:$B$189, "1984")</f>
        <v>1</v>
      </c>
      <c r="U62" s="30">
        <v>32</v>
      </c>
      <c r="V62" s="4">
        <f>COUNTIFS(V90:V189, "=0",$B$90:$B$189, "1984")</f>
        <v>0</v>
      </c>
    </row>
    <row r="63" spans="1:22" x14ac:dyDescent="0.2">
      <c r="A63" s="4">
        <v>4</v>
      </c>
      <c r="C63" s="4">
        <v>0</v>
      </c>
      <c r="D63" s="4">
        <f>COUNTIFS(D90:D189, "=0",$B$90:$B$189, "1985")</f>
        <v>3</v>
      </c>
      <c r="E63" s="26">
        <v>4</v>
      </c>
      <c r="F63" s="4">
        <f>COUNTIFS(F90:F189, "=0",$B$90:$B$189, "1985")</f>
        <v>3</v>
      </c>
      <c r="G63" s="4">
        <v>8</v>
      </c>
      <c r="H63" s="4">
        <f>COUNTIFS(H90:H189, "=0",$B$90:$B$189, "1985")</f>
        <v>0</v>
      </c>
      <c r="I63" s="16"/>
      <c r="J63" s="4">
        <v>12</v>
      </c>
      <c r="K63" s="4">
        <f>COUNTIFS(K90:K189, "=0",$B$90:$B$189, "1985")</f>
        <v>1</v>
      </c>
      <c r="L63" s="30">
        <v>16</v>
      </c>
      <c r="M63" s="4">
        <f>COUNTIFS(M90:M189, "=0",$B$90:$B$189, "1985")</f>
        <v>0</v>
      </c>
      <c r="N63" s="30">
        <v>20</v>
      </c>
      <c r="O63" s="4">
        <f>COUNTIFS(O90:O189, "=0",$B$90:$B$189, "1985")</f>
        <v>3</v>
      </c>
      <c r="Q63" s="4">
        <v>24</v>
      </c>
      <c r="R63" s="4">
        <f>COUNTIFS(R90:R189, "=0",$B$90:$B$189, "1985")</f>
        <v>3</v>
      </c>
      <c r="S63" s="30">
        <v>28</v>
      </c>
      <c r="T63" s="4">
        <f>COUNTIFS(T90:T189, "=0",$B$90:$B$189, "1985")</f>
        <v>1</v>
      </c>
      <c r="U63" s="30">
        <v>32</v>
      </c>
      <c r="V63" s="4">
        <f>COUNTIFS(V90:V189, "=0",$B$90:$B$189, "1985")</f>
        <v>0</v>
      </c>
    </row>
    <row r="64" spans="1:22" x14ac:dyDescent="0.2">
      <c r="A64" s="4">
        <v>5</v>
      </c>
      <c r="C64" s="4">
        <v>0</v>
      </c>
      <c r="D64" s="4">
        <f>COUNTIFS(D90:D189, "=0",$B$90:$B$189, "1986")</f>
        <v>5</v>
      </c>
      <c r="E64" s="26">
        <v>4</v>
      </c>
      <c r="F64" s="4">
        <f>COUNTIFS(F90:F189, "=0",$B$90:$B$189, "1986")</f>
        <v>5</v>
      </c>
      <c r="G64" s="4">
        <v>8</v>
      </c>
      <c r="H64" s="4">
        <f>COUNTIFS(H90:H189, "=0",$B$90:$B$189, "1986")</f>
        <v>0</v>
      </c>
      <c r="I64" s="16"/>
      <c r="J64" s="4">
        <v>12</v>
      </c>
      <c r="K64" s="4">
        <f>COUNTIFS(K90:K189, "=0",$B$90:$B$189, "1986")</f>
        <v>1</v>
      </c>
      <c r="L64" s="30">
        <v>16</v>
      </c>
      <c r="M64" s="4">
        <f>COUNTIFS(M90:M189, "=0",$B$90:$B$189, "1986")</f>
        <v>0</v>
      </c>
      <c r="N64" s="30">
        <v>20</v>
      </c>
      <c r="O64" s="4">
        <f>COUNTIFS(O90:O189, "=0",$B$90:$B$189, "1986")</f>
        <v>5</v>
      </c>
      <c r="Q64" s="4">
        <v>24</v>
      </c>
      <c r="R64" s="4">
        <f>COUNTIFS(R90:R189, "=0",$B$90:$B$189, "1986")</f>
        <v>5</v>
      </c>
      <c r="S64" s="30">
        <v>28</v>
      </c>
      <c r="T64" s="4">
        <f>COUNTIFS(T90:T189, "=0",$B$90:$B$189, "1986")</f>
        <v>0</v>
      </c>
      <c r="U64" s="30">
        <v>32</v>
      </c>
      <c r="V64" s="4">
        <f>COUNTIFS(V90:V189, "=0",$B$90:$B$189, "1986")</f>
        <v>0</v>
      </c>
    </row>
    <row r="65" spans="1:22" x14ac:dyDescent="0.2">
      <c r="A65" s="4">
        <v>6</v>
      </c>
      <c r="C65" s="4">
        <v>0</v>
      </c>
      <c r="D65" s="4">
        <f>COUNTIFS(D90:D189, "=0",$B$90:$B$189, "1987")</f>
        <v>8</v>
      </c>
      <c r="E65" s="26">
        <v>4</v>
      </c>
      <c r="F65" s="4">
        <f>COUNTIFS(F90:F189, "=0",$B$90:$B$189, "1987")</f>
        <v>8</v>
      </c>
      <c r="G65" s="4">
        <v>8</v>
      </c>
      <c r="H65" s="4">
        <f>COUNTIFS(H90:H189, "=0",$B$90:$B$189, "1987")</f>
        <v>0</v>
      </c>
      <c r="I65" s="16"/>
      <c r="J65" s="4">
        <v>12</v>
      </c>
      <c r="K65" s="4">
        <f>COUNTIFS(K90:K189, "=0",$B$90:$B$189, "1987")</f>
        <v>2</v>
      </c>
      <c r="L65" s="30">
        <v>16</v>
      </c>
      <c r="M65" s="4">
        <f>COUNTIFS(M90:M189, "=0",$B$90:$B$189, "1987")</f>
        <v>0</v>
      </c>
      <c r="N65" s="30">
        <v>20</v>
      </c>
      <c r="O65" s="4">
        <f>COUNTIFS(O90:O189, "=0",$B$90:$B$189, "1987")</f>
        <v>7</v>
      </c>
      <c r="Q65" s="4">
        <v>24</v>
      </c>
      <c r="R65" s="4">
        <f>COUNTIFS(R90:R189, "=0",$B$90:$B$189, "1987")</f>
        <v>8</v>
      </c>
      <c r="S65" s="30">
        <v>28</v>
      </c>
      <c r="T65" s="4">
        <f>COUNTIFS(T90:T189, "=0",$B$90:$B$189, "1987")</f>
        <v>2</v>
      </c>
      <c r="U65" s="30">
        <v>32</v>
      </c>
      <c r="V65" s="4">
        <f>COUNTIFS(V90:V189, "=0",$B$90:$B$189, "1987")</f>
        <v>1</v>
      </c>
    </row>
    <row r="66" spans="1:22" x14ac:dyDescent="0.2">
      <c r="A66" s="4">
        <v>7</v>
      </c>
      <c r="C66" s="4">
        <v>0</v>
      </c>
      <c r="D66" s="4">
        <f>COUNTIFS(D90:D189, "=0",$B$90:$B$189, "1988")</f>
        <v>2</v>
      </c>
      <c r="E66" s="26">
        <v>4</v>
      </c>
      <c r="F66" s="4">
        <f>COUNTIFS(F90:F189, "=0",$B$90:$B$189, "1988")</f>
        <v>1</v>
      </c>
      <c r="G66" s="4">
        <v>8</v>
      </c>
      <c r="H66" s="4">
        <f>COUNTIFS(H90:H189, "=0",$B$90:$B$189, "1988")</f>
        <v>0</v>
      </c>
      <c r="I66" s="16"/>
      <c r="J66" s="4">
        <v>12</v>
      </c>
      <c r="K66" s="4">
        <f>COUNTIFS(K90:K189, "=0",$B$90:$B$189, "1988")</f>
        <v>1</v>
      </c>
      <c r="L66" s="30">
        <v>16</v>
      </c>
      <c r="M66" s="4">
        <f>COUNTIFS(M90:M189, "=0",$B$90:$B$189, "1988")</f>
        <v>0</v>
      </c>
      <c r="N66" s="30">
        <v>20</v>
      </c>
      <c r="O66" s="4">
        <f>COUNTIFS(O90:O189, "=0",$B$90:$B$189, "1988")</f>
        <v>2</v>
      </c>
      <c r="Q66" s="4">
        <v>24</v>
      </c>
      <c r="R66" s="4">
        <f>COUNTIFS(R90:R189, "=0",$B$90:$B$189, "1988")</f>
        <v>2</v>
      </c>
      <c r="S66" s="30">
        <v>28</v>
      </c>
      <c r="T66" s="4">
        <f>COUNTIFS(T90:T189, "=0",$B$90:$B$189, "1988")</f>
        <v>1</v>
      </c>
      <c r="U66" s="30">
        <v>32</v>
      </c>
      <c r="V66" s="4">
        <f>COUNTIFS(V90:V189, "=0",$B$90:$B$189, "1988")</f>
        <v>0</v>
      </c>
    </row>
    <row r="67" spans="1:22" x14ac:dyDescent="0.2">
      <c r="A67" s="4">
        <v>8</v>
      </c>
      <c r="C67" s="4">
        <v>0</v>
      </c>
      <c r="D67" s="4">
        <f>COUNTIFS(D90:D189, "=0",$B$90:$B$189, "1989")</f>
        <v>3</v>
      </c>
      <c r="E67" s="26">
        <v>4</v>
      </c>
      <c r="F67" s="4">
        <f>COUNTIFS(F90:F189, "=0",$B$90:$B$189, "1989")</f>
        <v>3</v>
      </c>
      <c r="G67" s="4">
        <v>8</v>
      </c>
      <c r="H67" s="4">
        <f>COUNTIFS(H90:H189, "=0",$B$90:$B$189, "1989")</f>
        <v>0</v>
      </c>
      <c r="I67" s="16"/>
      <c r="J67" s="4">
        <v>12</v>
      </c>
      <c r="K67" s="4">
        <f>COUNTIFS(K90:K189, "=0",$B$90:$B$189, "1989")</f>
        <v>0</v>
      </c>
      <c r="L67" s="30">
        <v>16</v>
      </c>
      <c r="M67" s="4">
        <f>COUNTIFS(M90:M189, "=0",$B$90:$B$189, "1989")</f>
        <v>0</v>
      </c>
      <c r="N67" s="30">
        <v>20</v>
      </c>
      <c r="O67" s="4">
        <f>COUNTIFS(O90:O189, "=0",$B$90:$B$189, "1989")</f>
        <v>3</v>
      </c>
      <c r="Q67" s="4">
        <v>24</v>
      </c>
      <c r="R67" s="4">
        <f>COUNTIFS(R90:R189, "=0",$B$90:$B$189, "1989")</f>
        <v>3</v>
      </c>
      <c r="S67" s="30">
        <v>28</v>
      </c>
      <c r="T67" s="4">
        <f>COUNTIFS(T90:T189, "=0",$B$90:$B$189, "1989")</f>
        <v>0</v>
      </c>
      <c r="U67" s="30">
        <v>32</v>
      </c>
      <c r="V67" s="4">
        <f>COUNTIFS(V90:V189, "=0",$B$90:$B$189, "1989")</f>
        <v>0</v>
      </c>
    </row>
    <row r="68" spans="1:22" x14ac:dyDescent="0.2">
      <c r="A68" s="5">
        <v>0</v>
      </c>
      <c r="C68" s="5">
        <v>1</v>
      </c>
      <c r="D68" s="5">
        <f>COUNTIFS(D90:D189, "=1",$B$90:$B$189, "&gt;=1980",$B$90:$B$189, "&lt;=1981")</f>
        <v>0</v>
      </c>
      <c r="E68" s="27">
        <v>5</v>
      </c>
      <c r="F68" s="5">
        <f>COUNTIFS(F90:F189, "=1",$B$90:$B$189, "&gt;=1980",$B$90:$B$189, "&lt;=1981")</f>
        <v>0</v>
      </c>
      <c r="G68" s="5">
        <v>9</v>
      </c>
      <c r="H68" s="5">
        <f>COUNTIFS(H90:H189, "=1",$B$90:$B$189, "&gt;=1980",$B$90:$B$189, "&lt;=1981")</f>
        <v>2</v>
      </c>
      <c r="I68" s="16"/>
      <c r="J68" s="5">
        <v>13</v>
      </c>
      <c r="K68" s="5">
        <f>COUNTIFS(K90:K189, "=1",$B$90:$B$189, "&gt;=1980",$B$90:$B$189, "&lt;=1981")</f>
        <v>0</v>
      </c>
      <c r="L68" s="31">
        <v>17</v>
      </c>
      <c r="M68" s="5">
        <f>COUNTIFS(M90:M189, "=1",$B$90:$B$189, "&gt;=1980",$B$90:$B$189, "&lt;=1981")</f>
        <v>0</v>
      </c>
      <c r="N68" s="31">
        <v>21</v>
      </c>
      <c r="O68" s="5">
        <f>COUNTIFS(O90:O189, "=1",$B$90:$B$189, "&gt;=1980",$B$90:$B$189, "&lt;=1981")</f>
        <v>0</v>
      </c>
      <c r="Q68" s="5">
        <v>25</v>
      </c>
      <c r="R68" s="5">
        <f>COUNTIFS(R90:R189, "=1",$B$90:$B$189, "&gt;=1980",$B$90:$B$189, "&lt;=1981")</f>
        <v>0</v>
      </c>
      <c r="S68" s="31">
        <v>29</v>
      </c>
      <c r="T68" s="5">
        <f>COUNTIFS(T90:T189, "=1",$B$90:$B$189, "&gt;=1980",$B$90:$B$189, "&lt;=1981")</f>
        <v>0</v>
      </c>
      <c r="U68" s="31">
        <v>33</v>
      </c>
      <c r="V68" s="5">
        <f>COUNTIFS(V90:V189, "=1",$B$90:$B$189, "&gt;=1980",$B$90:$B$189, "&lt;=1981")</f>
        <v>2</v>
      </c>
    </row>
    <row r="69" spans="1:22" x14ac:dyDescent="0.2">
      <c r="A69" s="5">
        <v>1</v>
      </c>
      <c r="C69" s="5">
        <v>1</v>
      </c>
      <c r="D69" s="5">
        <f>COUNTIFS(D90:D189, "=1",$B$90:$B$189, "=1982")</f>
        <v>0</v>
      </c>
      <c r="E69" s="27">
        <v>5</v>
      </c>
      <c r="F69" s="5">
        <f>COUNTIFS(F90:F189, "=1",$B$90:$B$189, "=1982")</f>
        <v>0</v>
      </c>
      <c r="G69" s="5">
        <v>9</v>
      </c>
      <c r="H69" s="5">
        <f>COUNTIFS(H90:H189, "=1",$B$90:$B$189, "=1982")</f>
        <v>3</v>
      </c>
      <c r="I69" s="16"/>
      <c r="J69" s="5">
        <v>13</v>
      </c>
      <c r="K69" s="5">
        <f>COUNTIFS(K90:K189, "=1",$B$90:$B$189, "=1982")</f>
        <v>1</v>
      </c>
      <c r="L69" s="31">
        <v>17</v>
      </c>
      <c r="M69" s="5">
        <f>COUNTIFS(M90:M189, "=1",$B$90:$B$189, "=1982")</f>
        <v>1</v>
      </c>
      <c r="N69" s="31">
        <v>21</v>
      </c>
      <c r="O69" s="5">
        <f>COUNTIFS(O90:O189, "=1",$B$90:$B$189, "=1982")</f>
        <v>0</v>
      </c>
      <c r="Q69" s="5">
        <v>25</v>
      </c>
      <c r="R69" s="5">
        <f>COUNTIFS(R90:R189, "=1",$B$90:$B$189, "=1982")</f>
        <v>0</v>
      </c>
      <c r="S69" s="31">
        <v>29</v>
      </c>
      <c r="T69" s="5">
        <f>COUNTIFS(T90:T189, "=1",$B$90:$B$189, "=1982")</f>
        <v>0</v>
      </c>
      <c r="U69" s="31">
        <v>33</v>
      </c>
      <c r="V69" s="5">
        <f>COUNTIFS(V90:V189, "=1",$B$90:$B$189, "=1982")</f>
        <v>3</v>
      </c>
    </row>
    <row r="70" spans="1:22" x14ac:dyDescent="0.2">
      <c r="A70" s="5">
        <v>2</v>
      </c>
      <c r="C70" s="5">
        <v>1</v>
      </c>
      <c r="D70" s="5">
        <f>COUNTIFS(D90:D189, "=1",$B$90:$B$189, "=1983")</f>
        <v>0</v>
      </c>
      <c r="E70" s="27">
        <v>5</v>
      </c>
      <c r="F70" s="5">
        <f>COUNTIFS(F90:F189, "=1",$B$90:$B$189, "=1983")</f>
        <v>0</v>
      </c>
      <c r="G70" s="5">
        <v>9</v>
      </c>
      <c r="H70" s="5">
        <f>COUNTIFS(H90:H189, "=1",$B$90:$B$189, "=1983")</f>
        <v>5</v>
      </c>
      <c r="I70" s="16"/>
      <c r="J70" s="5">
        <v>13</v>
      </c>
      <c r="K70" s="5">
        <f>COUNTIFS(K90:K189, "=1",$B$90:$B$189, "=1983")</f>
        <v>2</v>
      </c>
      <c r="L70" s="31">
        <v>17</v>
      </c>
      <c r="M70" s="5">
        <f>COUNTIFS(M90:M189, "=1",$B$90:$B$189, "=1983")</f>
        <v>3</v>
      </c>
      <c r="N70" s="31">
        <v>21</v>
      </c>
      <c r="O70" s="5">
        <f>COUNTIFS(O90:O189, "=1",$B$90:$B$189, "=1983")</f>
        <v>0</v>
      </c>
      <c r="Q70" s="5">
        <v>25</v>
      </c>
      <c r="R70" s="5">
        <f>COUNTIFS(R90:R189, "=1",$B$90:$B$189, "=1983")</f>
        <v>0</v>
      </c>
      <c r="S70" s="31">
        <v>29</v>
      </c>
      <c r="T70" s="5">
        <f>COUNTIFS(T90:T189, "=1",$B$90:$B$189, "=1983")</f>
        <v>0</v>
      </c>
      <c r="U70" s="31">
        <v>33</v>
      </c>
      <c r="V70" s="5">
        <f>COUNTIFS(V90:V189, "=1",$B$90:$B$189, "=1983")</f>
        <v>5</v>
      </c>
    </row>
    <row r="71" spans="1:22" x14ac:dyDescent="0.2">
      <c r="A71" s="5">
        <v>3</v>
      </c>
      <c r="C71" s="5">
        <v>1</v>
      </c>
      <c r="D71" s="5">
        <f>COUNTIFS(D90:D189, "=1",$B$90:$B$189, "=1984")</f>
        <v>0</v>
      </c>
      <c r="E71" s="27">
        <v>5</v>
      </c>
      <c r="F71" s="5">
        <f>COUNTIFS(F90:F189, "=1",$B$90:$B$189, "=1984")</f>
        <v>0</v>
      </c>
      <c r="G71" s="5">
        <v>9</v>
      </c>
      <c r="H71" s="5">
        <f>COUNTIFS(H90:H189, "=1",$B$90:$B$189, "=1984")</f>
        <v>5</v>
      </c>
      <c r="I71" s="16"/>
      <c r="J71" s="5">
        <v>13</v>
      </c>
      <c r="K71" s="5">
        <f>COUNTIFS(K90:K189, "=1",$B$90:$B$189, "=1984")</f>
        <v>3</v>
      </c>
      <c r="L71" s="31">
        <v>17</v>
      </c>
      <c r="M71" s="5">
        <f>COUNTIFS(M90:M189, "=1",$B$90:$B$189, "=1984")</f>
        <v>2</v>
      </c>
      <c r="N71" s="31">
        <v>21</v>
      </c>
      <c r="O71" s="5">
        <f>COUNTIFS(O90:O189, "=1",$B$90:$B$189, "=1984")</f>
        <v>0</v>
      </c>
      <c r="Q71" s="5">
        <v>25</v>
      </c>
      <c r="R71" s="5">
        <f>COUNTIFS(R90:R189, "=1",$B$90:$B$189, "=1984")</f>
        <v>0</v>
      </c>
      <c r="S71" s="31">
        <v>29</v>
      </c>
      <c r="T71" s="5">
        <f>COUNTIFS(T90:T189, "=1",$B$90:$B$189, "=1984")</f>
        <v>0</v>
      </c>
      <c r="U71" s="31">
        <v>33</v>
      </c>
      <c r="V71" s="5">
        <f>COUNTIFS(V90:V189, "=1",$B$90:$B$189, "=1984")</f>
        <v>5</v>
      </c>
    </row>
    <row r="72" spans="1:22" x14ac:dyDescent="0.2">
      <c r="A72" s="5">
        <v>4</v>
      </c>
      <c r="C72" s="5">
        <v>1</v>
      </c>
      <c r="D72" s="5">
        <f>COUNTIFS(D90:D189, "=1",$B$90:$B$189, "=1985")</f>
        <v>0</v>
      </c>
      <c r="E72" s="27">
        <v>5</v>
      </c>
      <c r="F72" s="5">
        <f>COUNTIFS(F90:F189, "=1",$B$90:$B$189, "=1985")</f>
        <v>0</v>
      </c>
      <c r="G72" s="5">
        <v>9</v>
      </c>
      <c r="H72" s="5">
        <f>COUNTIFS(H90:H189, "=1",$B$90:$B$189, "=1985")</f>
        <v>2</v>
      </c>
      <c r="I72" s="16"/>
      <c r="J72" s="5">
        <v>13</v>
      </c>
      <c r="K72" s="5">
        <f>COUNTIFS(K90:K189, "=1",$B$90:$B$189, "=1985")</f>
        <v>2</v>
      </c>
      <c r="L72" s="31">
        <v>17</v>
      </c>
      <c r="M72" s="5">
        <f>COUNTIFS(M90:M189, "=1",$B$90:$B$189, "=1985")</f>
        <v>0</v>
      </c>
      <c r="N72" s="31">
        <v>21</v>
      </c>
      <c r="O72" s="5">
        <f>COUNTIFS(O90:O189, "=1",$B$90:$B$189, "=1985")</f>
        <v>0</v>
      </c>
      <c r="Q72" s="5">
        <v>25</v>
      </c>
      <c r="R72" s="5">
        <f>COUNTIFS(R90:R189, "=1",$B$90:$B$189, "=1985")</f>
        <v>0</v>
      </c>
      <c r="S72" s="31">
        <v>29</v>
      </c>
      <c r="T72" s="5">
        <f>COUNTIFS(T90:T189, "=1",$B$90:$B$189, "=1985")</f>
        <v>0</v>
      </c>
      <c r="U72" s="31">
        <v>33</v>
      </c>
      <c r="V72" s="5">
        <f>COUNTIFS(V90:V189, "=1",$B$90:$B$189, "=1985")</f>
        <v>3</v>
      </c>
    </row>
    <row r="73" spans="1:22" x14ac:dyDescent="0.2">
      <c r="A73" s="5">
        <v>5</v>
      </c>
      <c r="C73" s="5">
        <v>1</v>
      </c>
      <c r="D73" s="5">
        <f>COUNTIFS(D90:D189, "=1",$B$90:$B$189, "=1986")</f>
        <v>0</v>
      </c>
      <c r="E73" s="27">
        <v>5</v>
      </c>
      <c r="F73" s="5">
        <f>COUNTIFS(F90:F189, "=1",$B$90:$B$189, "=1986")</f>
        <v>0</v>
      </c>
      <c r="G73" s="5">
        <v>9</v>
      </c>
      <c r="H73" s="5">
        <f>COUNTIFS(H90:H189, "=1",$B$90:$B$189, "=1986")</f>
        <v>5</v>
      </c>
      <c r="I73" s="16"/>
      <c r="J73" s="5">
        <v>13</v>
      </c>
      <c r="K73" s="5">
        <f>COUNTIFS(K90:K189, "=1",$B$90:$B$189, "=1986")</f>
        <v>4</v>
      </c>
      <c r="L73" s="31">
        <v>17</v>
      </c>
      <c r="M73" s="5">
        <f>COUNTIFS(M90:M189, "=1",$B$90:$B$189, "=1986")</f>
        <v>0</v>
      </c>
      <c r="N73" s="31">
        <v>21</v>
      </c>
      <c r="O73" s="5">
        <f>COUNTIFS(O90:O189, "=1",$B$90:$B$189, "=1986")</f>
        <v>0</v>
      </c>
      <c r="Q73" s="5">
        <v>25</v>
      </c>
      <c r="R73" s="5">
        <f>COUNTIFS(R90:R189, "=1",$B$90:$B$189, "=1986")</f>
        <v>0</v>
      </c>
      <c r="S73" s="31">
        <v>29</v>
      </c>
      <c r="T73" s="5">
        <f>COUNTIFS(T90:T189, "=1",$B$90:$B$189, "=1986")</f>
        <v>0</v>
      </c>
      <c r="U73" s="31">
        <v>33</v>
      </c>
      <c r="V73" s="5">
        <f>COUNTIFS(V90:V189, "=1",$B$90:$B$189, "=1986")</f>
        <v>5</v>
      </c>
    </row>
    <row r="74" spans="1:22" x14ac:dyDescent="0.2">
      <c r="A74" s="5">
        <v>6</v>
      </c>
      <c r="C74" s="5">
        <v>1</v>
      </c>
      <c r="D74" s="5">
        <f>COUNTIFS(D90:D189, "=1",$B$90:$B$189, "=1987")</f>
        <v>0</v>
      </c>
      <c r="E74" s="27">
        <v>5</v>
      </c>
      <c r="F74" s="5">
        <f>COUNTIFS(F90:F189, "=1",$B$90:$B$189, "=1987")</f>
        <v>0</v>
      </c>
      <c r="G74" s="5">
        <v>9</v>
      </c>
      <c r="H74" s="5">
        <f>COUNTIFS(H90:H189, "=1",$B$90:$B$189, "=1987")</f>
        <v>7</v>
      </c>
      <c r="I74" s="16"/>
      <c r="J74" s="5">
        <v>13</v>
      </c>
      <c r="K74" s="5">
        <f>COUNTIFS(K90:K189, "=1",$B$90:$B$189, "=1987")</f>
        <v>6</v>
      </c>
      <c r="L74" s="31">
        <v>17</v>
      </c>
      <c r="M74" s="5">
        <f>COUNTIFS(M90:M189, "=1",$B$90:$B$189, "=1987")</f>
        <v>2</v>
      </c>
      <c r="N74" s="31">
        <v>21</v>
      </c>
      <c r="O74" s="5">
        <f>COUNTIFS(O90:O189, "=1",$B$90:$B$189, "=1987")</f>
        <v>0</v>
      </c>
      <c r="Q74" s="5">
        <v>25</v>
      </c>
      <c r="R74" s="5">
        <f>COUNTIFS(R90:R189, "=1",$B$90:$B$189, "=1987")</f>
        <v>0</v>
      </c>
      <c r="S74" s="31">
        <v>29</v>
      </c>
      <c r="T74" s="5">
        <f>COUNTIFS(T90:T189, "=1",$B$90:$B$189, "=1987")</f>
        <v>0</v>
      </c>
      <c r="U74" s="31">
        <v>33</v>
      </c>
      <c r="V74" s="5">
        <f>COUNTIFS(V90:V189, "=1",$B$90:$B$189, "=1987")</f>
        <v>7</v>
      </c>
    </row>
    <row r="75" spans="1:22" x14ac:dyDescent="0.2">
      <c r="A75" s="5">
        <v>7</v>
      </c>
      <c r="C75" s="5">
        <v>1</v>
      </c>
      <c r="D75" s="5">
        <f>COUNTIFS(D90:D189, "=1",$B$90:$B$189, "=1988")</f>
        <v>0</v>
      </c>
      <c r="E75" s="27">
        <v>5</v>
      </c>
      <c r="F75" s="5">
        <f>COUNTIFS(F90:F189, "=1",$B$90:$B$189, "=1988")</f>
        <v>1</v>
      </c>
      <c r="G75" s="5">
        <v>9</v>
      </c>
      <c r="H75" s="5">
        <f>COUNTIFS(H90:H189, "=1",$B$90:$B$189, "=1988")</f>
        <v>2</v>
      </c>
      <c r="I75" s="16"/>
      <c r="J75" s="5">
        <v>13</v>
      </c>
      <c r="K75" s="5">
        <f>COUNTIFS(K90:K189, "=1",$B$90:$B$189, "=1988")</f>
        <v>1</v>
      </c>
      <c r="L75" s="31">
        <v>17</v>
      </c>
      <c r="M75" s="5">
        <f>COUNTIFS(M90:M189, "=1",$B$90:$B$189, "=1988")</f>
        <v>0</v>
      </c>
      <c r="N75" s="31">
        <v>21</v>
      </c>
      <c r="O75" s="5">
        <f>COUNTIFS(O90:O189, "=1",$B$90:$B$189, "=1988")</f>
        <v>0</v>
      </c>
      <c r="Q75" s="5">
        <v>25</v>
      </c>
      <c r="R75" s="5">
        <f>COUNTIFS(R90:R189, "=1",$B$90:$B$189, "=1988")</f>
        <v>0</v>
      </c>
      <c r="S75" s="31">
        <v>29</v>
      </c>
      <c r="T75" s="5">
        <f>COUNTIFS(T90:T189, "=1",$B$90:$B$189, "=1988")</f>
        <v>0</v>
      </c>
      <c r="U75" s="31">
        <v>33</v>
      </c>
      <c r="V75" s="5">
        <f>COUNTIFS(V90:V189, "=1",$B$90:$B$189, "=1988")</f>
        <v>2</v>
      </c>
    </row>
    <row r="76" spans="1:22" x14ac:dyDescent="0.2">
      <c r="A76" s="5">
        <v>8</v>
      </c>
      <c r="C76" s="5">
        <v>1</v>
      </c>
      <c r="D76" s="5">
        <f>COUNTIFS(D90:D189, "=1",$B$90:$B$189, "=1989")</f>
        <v>0</v>
      </c>
      <c r="E76" s="27">
        <v>5</v>
      </c>
      <c r="F76" s="5">
        <f>COUNTIFS(F90:F189, "=1",$B$90:$B$189, "=1989")</f>
        <v>0</v>
      </c>
      <c r="G76" s="5">
        <v>9</v>
      </c>
      <c r="H76" s="5">
        <f>COUNTIFS(H90:H189, "=1",$B$90:$B$189, "=1989")</f>
        <v>2</v>
      </c>
      <c r="I76" s="16"/>
      <c r="J76" s="5">
        <v>13</v>
      </c>
      <c r="K76" s="5">
        <f>COUNTIFS(K90:K189, "=1",$B$90:$B$189, "=1989")</f>
        <v>2</v>
      </c>
      <c r="L76" s="31">
        <v>17</v>
      </c>
      <c r="M76" s="5">
        <f>COUNTIFS(M90:M189, "=1",$B$90:$B$189, "=1989")</f>
        <v>0</v>
      </c>
      <c r="N76" s="31">
        <v>21</v>
      </c>
      <c r="O76" s="5">
        <f>COUNTIFS(O90:O189, "=1",$B$90:$B$189, "=1989")</f>
        <v>0</v>
      </c>
      <c r="Q76" s="5">
        <v>25</v>
      </c>
      <c r="R76" s="5">
        <f>COUNTIFS(R90:R189, "=1",$B$90:$B$189, "=1989")</f>
        <v>0</v>
      </c>
      <c r="S76" s="31">
        <v>29</v>
      </c>
      <c r="T76" s="5">
        <f>COUNTIFS(T90:T189, "=1",$B$90:$B$189, "=1989")</f>
        <v>0</v>
      </c>
      <c r="U76" s="31">
        <v>33</v>
      </c>
      <c r="V76" s="5">
        <f>COUNTIFS(V90:V189, "=1",$B$90:$B$189, "=1989")</f>
        <v>3</v>
      </c>
    </row>
    <row r="77" spans="1:22" x14ac:dyDescent="0.2">
      <c r="A77" s="3">
        <v>0</v>
      </c>
      <c r="C77" s="3">
        <v>2</v>
      </c>
      <c r="D77" s="3">
        <f>COUNTIFS(D90:D189, "=2",$B$90:$B$189, "&gt;=1980",$B$90:$B$189, "&lt;=1981")</f>
        <v>0</v>
      </c>
      <c r="E77" s="28">
        <v>6</v>
      </c>
      <c r="F77" s="3">
        <f>COUNTIFS(F90:F189, "=2",$B$90:$B$189, "&gt;=1980",$B$90:$B$189, "&lt;=1981")</f>
        <v>0</v>
      </c>
      <c r="G77" s="3">
        <v>10</v>
      </c>
      <c r="H77" s="3">
        <f>COUNTIFS(H90:H189, "=2",$B$90:$B$189, "&gt;=1980",$B$90:$B$189, "&lt;=1981")</f>
        <v>0</v>
      </c>
      <c r="I77" s="16"/>
      <c r="J77" s="3">
        <v>14</v>
      </c>
      <c r="K77" s="3">
        <f>COUNTIFS(K90:K189, "=2",$B$90:$B$189, "&gt;=1980",$B$90:$B$189, "&lt;=1981")</f>
        <v>0</v>
      </c>
      <c r="L77" s="32">
        <v>18</v>
      </c>
      <c r="M77" s="3">
        <f>COUNTIFS(M90:M189, "=2",$B$90:$B$189, "&gt;=1980",$B$90:$B$189, "&lt;=1981")</f>
        <v>2</v>
      </c>
      <c r="N77" s="32">
        <v>22</v>
      </c>
      <c r="O77" s="3">
        <f>COUNTIFS(O90:O189, "=2",$B$90:$B$189, "&gt;=1980",$B$90:$B$189, "&lt;=1981")</f>
        <v>0</v>
      </c>
      <c r="Q77" s="3">
        <v>26</v>
      </c>
      <c r="R77" s="3">
        <f>COUNTIFS(R90:R189, "=2",$B$90:$B$189, "&gt;=1980",$B$90:$B$189, "&lt;=1981")</f>
        <v>0</v>
      </c>
      <c r="S77" s="32">
        <v>30</v>
      </c>
      <c r="T77" s="3">
        <f>COUNTIFS(T90:T189, "=2",$B$90:$B$189, "&gt;=1980",$B$90:$B$189, "&lt;=1981")</f>
        <v>0</v>
      </c>
      <c r="U77" s="32">
        <v>34</v>
      </c>
      <c r="V77" s="3">
        <f>COUNTIFS(V90:V189, "=2",$B$90:$B$189, "&gt;=1980",$B$90:$B$189, "&lt;=1981")</f>
        <v>0</v>
      </c>
    </row>
    <row r="78" spans="1:22" x14ac:dyDescent="0.2">
      <c r="A78" s="3">
        <v>1</v>
      </c>
      <c r="C78" s="3">
        <v>2</v>
      </c>
      <c r="D78" s="3">
        <f>COUNTIFS(D90:D189, "=2",$B$90:$B$189, "=1982")</f>
        <v>0</v>
      </c>
      <c r="E78" s="28">
        <v>6</v>
      </c>
      <c r="F78" s="3">
        <f>COUNTIFS(F90:F189, "=2",$B$90:$B$189, "=1982")</f>
        <v>0</v>
      </c>
      <c r="G78" s="3">
        <v>10</v>
      </c>
      <c r="H78" s="3">
        <f>COUNTIFS(H90:H189, "=2",$B$90:$B$189, "=1982")</f>
        <v>0</v>
      </c>
      <c r="I78" s="16"/>
      <c r="J78" s="3">
        <v>14</v>
      </c>
      <c r="K78" s="3">
        <f>COUNTIFS(K90:K189, "=2",$B$90:$B$189, "=1982")</f>
        <v>0</v>
      </c>
      <c r="L78" s="32">
        <v>18</v>
      </c>
      <c r="M78" s="3">
        <f>COUNTIFS(M90:M189, "=2",$B$90:$B$189, "=1982")</f>
        <v>2</v>
      </c>
      <c r="N78" s="32">
        <v>22</v>
      </c>
      <c r="O78" s="3">
        <f>COUNTIFS(O90:O189, "=2",$B$90:$B$189, "=1982")</f>
        <v>0</v>
      </c>
      <c r="Q78" s="3">
        <v>26</v>
      </c>
      <c r="R78" s="3">
        <f>COUNTIFS(R90:R189, "=2",$B$90:$B$189, "=1982")</f>
        <v>0</v>
      </c>
      <c r="S78" s="32">
        <v>30</v>
      </c>
      <c r="T78" s="3">
        <f>COUNTIFS(T90:T189, "=2",$B$90:$B$189, "=1982")</f>
        <v>2</v>
      </c>
      <c r="U78" s="32">
        <v>34</v>
      </c>
      <c r="V78" s="3">
        <f>COUNTIFS(V90:V189, "=2",$B$90:$B$189, "=1982")</f>
        <v>0</v>
      </c>
    </row>
    <row r="79" spans="1:22" x14ac:dyDescent="0.2">
      <c r="A79" s="3">
        <v>2</v>
      </c>
      <c r="C79" s="3">
        <v>2</v>
      </c>
      <c r="D79" s="3">
        <f>COUNTIFS(D90:D189, "=2",$B$90:$B$189, "=1983")</f>
        <v>0</v>
      </c>
      <c r="E79" s="28">
        <v>6</v>
      </c>
      <c r="F79" s="3">
        <f>COUNTIFS(F90:F189, "=2",$B$90:$B$189, "=1983")</f>
        <v>0</v>
      </c>
      <c r="G79" s="3">
        <v>10</v>
      </c>
      <c r="H79" s="3">
        <f>COUNTIFS(H90:H189, "=2",$B$90:$B$189, "=1983")</f>
        <v>0</v>
      </c>
      <c r="I79" s="16"/>
      <c r="J79" s="3">
        <v>14</v>
      </c>
      <c r="K79" s="3">
        <f>COUNTIFS(K90:K189, "=2",$B$90:$B$189, "=1983")</f>
        <v>0</v>
      </c>
      <c r="L79" s="32">
        <v>18</v>
      </c>
      <c r="M79" s="3">
        <f>COUNTIFS(M90:M189, "=2",$B$90:$B$189, "=1983")</f>
        <v>2</v>
      </c>
      <c r="N79" s="32">
        <v>22</v>
      </c>
      <c r="O79" s="3">
        <f>COUNTIFS(O90:O189, "=2",$B$90:$B$189, "=1983")</f>
        <v>0</v>
      </c>
      <c r="Q79" s="3">
        <v>26</v>
      </c>
      <c r="R79" s="3">
        <f>COUNTIFS(R90:R189, "=2",$B$90:$B$189, "=1983")</f>
        <v>0</v>
      </c>
      <c r="S79" s="32">
        <v>30</v>
      </c>
      <c r="T79" s="3">
        <f>COUNTIFS(T90:T189, "=2",$B$90:$B$189, "=1983")</f>
        <v>4</v>
      </c>
      <c r="U79" s="32">
        <v>34</v>
      </c>
      <c r="V79" s="3">
        <f>COUNTIFS(V90:V189, "=2",$B$90:$B$189, "=1983")</f>
        <v>0</v>
      </c>
    </row>
    <row r="80" spans="1:22" x14ac:dyDescent="0.2">
      <c r="A80" s="14">
        <v>3</v>
      </c>
      <c r="C80" s="14">
        <v>2</v>
      </c>
      <c r="D80" s="14">
        <f>COUNTIFS(D90:D189, "=2",$B$90:$B$189, "=1984")</f>
        <v>0</v>
      </c>
      <c r="E80" s="28">
        <v>6</v>
      </c>
      <c r="F80" s="14">
        <f>COUNTIFS(F90:F189, "=2",$B$90:$B$189, "=1984")</f>
        <v>0</v>
      </c>
      <c r="G80" s="3">
        <v>10</v>
      </c>
      <c r="H80" s="14">
        <f>COUNTIFS(H90:H189, "=2",$B$90:$B$189, "=1984")</f>
        <v>0</v>
      </c>
      <c r="I80" s="17"/>
      <c r="J80" s="3">
        <v>14</v>
      </c>
      <c r="K80" s="14">
        <f>COUNTIFS(K90:K189, "=2",$B$90:$B$189, "=1984")</f>
        <v>0</v>
      </c>
      <c r="L80" s="32">
        <v>18</v>
      </c>
      <c r="M80" s="14">
        <f>COUNTIFS(M90:M189, "=2",$B$90:$B$189, "=1984")</f>
        <v>3</v>
      </c>
      <c r="N80" s="32">
        <v>22</v>
      </c>
      <c r="O80" s="14">
        <f>COUNTIFS(O90:O189, "=2",$B$90:$B$189, "=1984")</f>
        <v>0</v>
      </c>
      <c r="Q80" s="3">
        <v>26</v>
      </c>
      <c r="R80" s="14">
        <f>COUNTIFS(R90:R189, "=2",$B$90:$B$189, "=1984")</f>
        <v>0</v>
      </c>
      <c r="S80" s="32">
        <v>30</v>
      </c>
      <c r="T80" s="14">
        <f>COUNTIFS(T90:T189, "=2",$B$90:$B$189, "=1984")</f>
        <v>4</v>
      </c>
      <c r="U80" s="32">
        <v>34</v>
      </c>
      <c r="V80" s="14">
        <f>COUNTIFS(V90:V189, "=2",$B$90:$B$189, "=1984")</f>
        <v>0</v>
      </c>
    </row>
    <row r="81" spans="1:22" x14ac:dyDescent="0.2">
      <c r="A81" s="3">
        <v>4</v>
      </c>
      <c r="C81" s="3">
        <v>2</v>
      </c>
      <c r="D81" s="3">
        <f>COUNTIFS(D90:D189, "=2",$B$90:$B$189, "=1985")</f>
        <v>0</v>
      </c>
      <c r="E81" s="28">
        <v>6</v>
      </c>
      <c r="F81" s="3">
        <f>COUNTIFS(F90:F189, "=2",$B$90:$B$189, "=1985")</f>
        <v>0</v>
      </c>
      <c r="G81" s="3">
        <v>10</v>
      </c>
      <c r="H81" s="3">
        <f>COUNTIFS(H90:H189, "=2",$B$90:$B$189, "=1985")</f>
        <v>1</v>
      </c>
      <c r="I81" s="16"/>
      <c r="J81" s="3">
        <v>14</v>
      </c>
      <c r="K81" s="3">
        <f>COUNTIFS(K90:K189, "=2",$B$90:$B$189, "=1985")</f>
        <v>0</v>
      </c>
      <c r="L81" s="32">
        <v>18</v>
      </c>
      <c r="M81" s="3">
        <f>COUNTIFS(M90:M189, "=2",$B$90:$B$189, "=1985")</f>
        <v>3</v>
      </c>
      <c r="N81" s="32">
        <v>22</v>
      </c>
      <c r="O81" s="3">
        <f>COUNTIFS(O90:O189, "=2",$B$90:$B$189, "=1985")</f>
        <v>0</v>
      </c>
      <c r="Q81" s="3">
        <v>26</v>
      </c>
      <c r="R81" s="3">
        <f>COUNTIFS(R90:R189, "=2",$B$90:$B$189, "=1985")</f>
        <v>0</v>
      </c>
      <c r="S81" s="32">
        <v>30</v>
      </c>
      <c r="T81" s="3">
        <f>COUNTIFS(T90:T189, "=2",$B$90:$B$189, "=1985")</f>
        <v>2</v>
      </c>
      <c r="U81" s="32">
        <v>34</v>
      </c>
      <c r="V81" s="3">
        <f>COUNTIFS(V90:V189, "=2",$B$90:$B$189, "=1985")</f>
        <v>0</v>
      </c>
    </row>
    <row r="82" spans="1:22" x14ac:dyDescent="0.2">
      <c r="A82" s="3">
        <v>5</v>
      </c>
      <c r="C82" s="3">
        <v>2</v>
      </c>
      <c r="D82" s="3">
        <f>COUNTIFS(D90:D189, "=2",$B$90:$B$189, "=1986")</f>
        <v>0</v>
      </c>
      <c r="E82" s="28">
        <v>6</v>
      </c>
      <c r="F82" s="3">
        <f>COUNTIFS(F90:F189, "=2",$B$90:$B$189, "=1986")</f>
        <v>0</v>
      </c>
      <c r="G82" s="3">
        <v>10</v>
      </c>
      <c r="H82" s="3">
        <f>COUNTIFS(H90:H189, "=2",$B$90:$B$189, "=1986")</f>
        <v>0</v>
      </c>
      <c r="I82" s="16"/>
      <c r="J82" s="3">
        <v>14</v>
      </c>
      <c r="K82" s="3">
        <f>COUNTIFS(K90:K189, "=2",$B$90:$B$189, "=1986")</f>
        <v>0</v>
      </c>
      <c r="L82" s="32">
        <v>18</v>
      </c>
      <c r="M82" s="3">
        <f>COUNTIFS(M90:M189, "=2",$B$90:$B$189, "=1986")</f>
        <v>5</v>
      </c>
      <c r="N82" s="32">
        <v>22</v>
      </c>
      <c r="O82" s="3">
        <f>COUNTIFS(O90:O189, "=2",$B$90:$B$189, "=1986")</f>
        <v>0</v>
      </c>
      <c r="Q82" s="3">
        <v>26</v>
      </c>
      <c r="R82" s="3">
        <f>COUNTIFS(R90:R189, "=2",$B$90:$B$189, "=1986")</f>
        <v>0</v>
      </c>
      <c r="S82" s="32">
        <v>30</v>
      </c>
      <c r="T82" s="3">
        <f>COUNTIFS(T90:T189, "=2",$B$90:$B$189, "=1986")</f>
        <v>5</v>
      </c>
      <c r="U82" s="32">
        <v>34</v>
      </c>
      <c r="V82" s="3">
        <f>COUNTIFS(V90:V189, "=2",$B$90:$B$189, "=1986")</f>
        <v>0</v>
      </c>
    </row>
    <row r="83" spans="1:22" x14ac:dyDescent="0.2">
      <c r="A83" s="3">
        <v>6</v>
      </c>
      <c r="C83" s="3">
        <v>2</v>
      </c>
      <c r="D83" s="3">
        <f>COUNTIFS(D90:D189, "=2",$B$90:$B$189, "=1987")</f>
        <v>0</v>
      </c>
      <c r="E83" s="28">
        <v>6</v>
      </c>
      <c r="F83" s="3">
        <f>COUNTIFS(F90:F189, "=2",$B$90:$B$189, "=1987")</f>
        <v>0</v>
      </c>
      <c r="G83" s="3">
        <v>10</v>
      </c>
      <c r="H83" s="3">
        <f>COUNTIFS(H90:H189, "=2",$B$90:$B$189, "=1987")</f>
        <v>1</v>
      </c>
      <c r="I83" s="16"/>
      <c r="J83" s="3">
        <v>14</v>
      </c>
      <c r="K83" s="3">
        <f>COUNTIFS(K90:K189, "=2",$B$90:$B$189, "=1987")</f>
        <v>0</v>
      </c>
      <c r="L83" s="32">
        <v>18</v>
      </c>
      <c r="M83" s="3">
        <f>COUNTIFS(M90:M189, "=2",$B$90:$B$189, "=1987")</f>
        <v>6</v>
      </c>
      <c r="N83" s="32">
        <v>22</v>
      </c>
      <c r="O83" s="3">
        <f>COUNTIFS(O90:O189, "=2",$B$90:$B$189, "=1987")</f>
        <v>1</v>
      </c>
      <c r="Q83" s="3">
        <v>26</v>
      </c>
      <c r="R83" s="3">
        <f>COUNTIFS(R90:R189, "=2",$B$90:$B$189, "=1987")</f>
        <v>0</v>
      </c>
      <c r="S83" s="32">
        <v>30</v>
      </c>
      <c r="T83" s="3">
        <f>COUNTIFS(T90:T189, "=2",$B$90:$B$189, "=1987")</f>
        <v>6</v>
      </c>
      <c r="U83" s="32">
        <v>34</v>
      </c>
      <c r="V83" s="3">
        <f>COUNTIFS(V90:V189, "=2",$B$90:$B$189, "=1987")</f>
        <v>0</v>
      </c>
    </row>
    <row r="84" spans="1:22" x14ac:dyDescent="0.2">
      <c r="A84" s="3">
        <v>7</v>
      </c>
      <c r="C84" s="3">
        <v>2</v>
      </c>
      <c r="D84" s="3">
        <f>COUNTIFS(D90:D189, "=2",$B$90:$B$189, "=1988")</f>
        <v>0</v>
      </c>
      <c r="E84" s="28">
        <v>6</v>
      </c>
      <c r="F84" s="3">
        <f>COUNTIFS(F90:F189, "=2",$B$90:$B$189, "=1988")</f>
        <v>0</v>
      </c>
      <c r="G84" s="3">
        <v>10</v>
      </c>
      <c r="H84" s="3">
        <f>COUNTIFS(H90:H189, "=2",$B$90:$B$189, "=1988")</f>
        <v>0</v>
      </c>
      <c r="I84" s="16"/>
      <c r="J84" s="3">
        <v>14</v>
      </c>
      <c r="K84" s="3">
        <f>COUNTIFS(K90:K189, "=2",$B$90:$B$189, "=1988")</f>
        <v>0</v>
      </c>
      <c r="L84" s="32">
        <v>18</v>
      </c>
      <c r="M84" s="3">
        <f>COUNTIFS(M90:M189, "=2",$B$90:$B$189, "=1988")</f>
        <v>2</v>
      </c>
      <c r="N84" s="32">
        <v>22</v>
      </c>
      <c r="O84" s="3">
        <f>COUNTIFS(O90:O189, "=2",$B$90:$B$189, "=1988")</f>
        <v>0</v>
      </c>
      <c r="Q84" s="3">
        <v>26</v>
      </c>
      <c r="R84" s="3">
        <f>COUNTIFS(R90:R189, "=2",$B$90:$B$189, "=1988")</f>
        <v>0</v>
      </c>
      <c r="S84" s="32">
        <v>30</v>
      </c>
      <c r="T84" s="3">
        <f>COUNTIFS(T90:T189, "=2",$B$90:$B$189, "=1988")</f>
        <v>1</v>
      </c>
      <c r="U84" s="32">
        <v>34</v>
      </c>
      <c r="V84" s="3">
        <f>COUNTIFS(V90:V189, "=2",$B$90:$B$189, "=1988")</f>
        <v>0</v>
      </c>
    </row>
    <row r="85" spans="1:22" x14ac:dyDescent="0.2">
      <c r="A85" s="3">
        <v>8</v>
      </c>
      <c r="C85" s="3">
        <v>2</v>
      </c>
      <c r="D85" s="3">
        <f>COUNTIFS(D90:D189, "=2",$B$90:$B$189, "=1989")</f>
        <v>0</v>
      </c>
      <c r="E85" s="28">
        <v>6</v>
      </c>
      <c r="F85" s="3">
        <f>COUNTIFS(F90:F189, "=2",$B$90:$B$189, "=1989")</f>
        <v>0</v>
      </c>
      <c r="G85" s="3">
        <v>10</v>
      </c>
      <c r="H85" s="3">
        <f>COUNTIFS(H90:H189, "=2",$B$90:$B$189, "=1989")</f>
        <v>1</v>
      </c>
      <c r="I85" s="16"/>
      <c r="J85" s="3">
        <v>14</v>
      </c>
      <c r="K85" s="3">
        <f>COUNTIFS(K90:K189, "=2",$B$90:$B$189, "=1989")</f>
        <v>1</v>
      </c>
      <c r="L85" s="32">
        <v>18</v>
      </c>
      <c r="M85" s="3">
        <f>COUNTIFS(M90:M189, "=2",$B$90:$B$189, "=1989")</f>
        <v>3</v>
      </c>
      <c r="N85" s="32">
        <v>22</v>
      </c>
      <c r="O85" s="3">
        <f>COUNTIFS(O90:O189, "=2",$B$90:$B$189, "=1989")</f>
        <v>0</v>
      </c>
      <c r="Q85" s="3">
        <v>26</v>
      </c>
      <c r="R85" s="3">
        <f>COUNTIFS(R90:R189, "=2",$B$90:$B$189, "=1989")</f>
        <v>0</v>
      </c>
      <c r="S85" s="32">
        <v>30</v>
      </c>
      <c r="T85" s="3">
        <f>COUNTIFS(T90:T189, "=2",$B$90:$B$189, "=1989")</f>
        <v>3</v>
      </c>
      <c r="U85" s="32">
        <v>34</v>
      </c>
      <c r="V85" s="3">
        <f>COUNTIFS(V90:V189, "=2",$B$90:$B$189, "=1989")</f>
        <v>0</v>
      </c>
    </row>
    <row r="86" spans="1:22" x14ac:dyDescent="0.2">
      <c r="A86" s="53" t="s">
        <v>24</v>
      </c>
      <c r="B86" s="54"/>
      <c r="D86" s="4">
        <f>SUM(D59:D85)</f>
        <v>36</v>
      </c>
      <c r="E86" s="4"/>
      <c r="F86" s="4">
        <f>SUM(F59:F85)</f>
        <v>36</v>
      </c>
      <c r="G86" s="4"/>
      <c r="H86" s="4">
        <f>SUM(H59:H85)</f>
        <v>36</v>
      </c>
      <c r="I86" s="16"/>
      <c r="J86" s="16"/>
      <c r="K86" s="4">
        <f>SUM(K59:K85)</f>
        <v>36</v>
      </c>
      <c r="L86" s="4"/>
      <c r="M86" s="4">
        <f>SUM(M59:M85)</f>
        <v>36</v>
      </c>
      <c r="N86" s="4"/>
      <c r="O86" s="4">
        <f>SUM(O59:O85)</f>
        <v>36</v>
      </c>
      <c r="R86" s="4">
        <f>SUM(R59:R85)</f>
        <v>36</v>
      </c>
      <c r="S86" s="4"/>
      <c r="T86" s="4">
        <f>SUM(T59:T85)</f>
        <v>36</v>
      </c>
      <c r="U86" s="4"/>
      <c r="V86" s="4">
        <f>SUM(V59:V85)</f>
        <v>36</v>
      </c>
    </row>
    <row r="88" spans="1:22" ht="40" customHeight="1" x14ac:dyDescent="0.2">
      <c r="A88" s="19"/>
      <c r="B88" s="19"/>
      <c r="D88" s="18"/>
      <c r="E88" s="18"/>
      <c r="F88" s="51"/>
      <c r="G88" s="51"/>
      <c r="H88" s="51"/>
    </row>
    <row r="89" spans="1:22" ht="60" x14ac:dyDescent="0.2">
      <c r="A89" s="10" t="s">
        <v>0</v>
      </c>
      <c r="B89" s="10" t="s">
        <v>97</v>
      </c>
      <c r="D89" s="6" t="s">
        <v>179</v>
      </c>
      <c r="E89" s="6"/>
      <c r="F89" s="6" t="s">
        <v>180</v>
      </c>
      <c r="G89" s="6"/>
      <c r="H89" s="6" t="s">
        <v>181</v>
      </c>
      <c r="I89" s="12"/>
      <c r="J89" s="6"/>
      <c r="K89" s="6" t="s">
        <v>23</v>
      </c>
      <c r="L89" s="6"/>
      <c r="M89" s="6" t="s">
        <v>182</v>
      </c>
      <c r="N89" s="6"/>
      <c r="O89" s="6" t="s">
        <v>183</v>
      </c>
      <c r="Q89" s="6"/>
      <c r="R89" s="6" t="s">
        <v>184</v>
      </c>
      <c r="S89" s="6"/>
      <c r="T89" s="6" t="s">
        <v>108</v>
      </c>
      <c r="U89" s="6"/>
      <c r="V89" s="6" t="s">
        <v>109</v>
      </c>
    </row>
    <row r="90" spans="1:22" ht="40" x14ac:dyDescent="0.2">
      <c r="A90" s="3" t="s">
        <v>62</v>
      </c>
      <c r="B90" s="7">
        <v>1980</v>
      </c>
      <c r="D90" s="7">
        <v>0</v>
      </c>
      <c r="E90" s="7"/>
      <c r="F90" s="7">
        <v>0</v>
      </c>
      <c r="G90" s="7"/>
      <c r="H90" s="7">
        <v>1</v>
      </c>
      <c r="I90" s="13"/>
      <c r="J90" s="7"/>
      <c r="K90" s="7">
        <v>0</v>
      </c>
      <c r="L90" s="7"/>
      <c r="M90" s="7">
        <v>2</v>
      </c>
      <c r="N90" s="7"/>
      <c r="O90" s="7">
        <v>0</v>
      </c>
      <c r="Q90" s="7"/>
      <c r="R90" s="7">
        <v>0</v>
      </c>
      <c r="S90" s="7"/>
      <c r="T90" s="7">
        <v>0</v>
      </c>
      <c r="U90" s="7"/>
      <c r="V90" s="7">
        <v>1</v>
      </c>
    </row>
    <row r="91" spans="1:22" ht="40" x14ac:dyDescent="0.2">
      <c r="A91" s="3" t="s">
        <v>63</v>
      </c>
      <c r="B91" s="7">
        <v>1981</v>
      </c>
      <c r="D91" s="7">
        <v>0</v>
      </c>
      <c r="E91" s="7"/>
      <c r="F91" s="7">
        <v>0</v>
      </c>
      <c r="G91" s="7"/>
      <c r="H91" s="7">
        <v>1</v>
      </c>
      <c r="I91" s="13"/>
      <c r="J91" s="7"/>
      <c r="K91" s="7">
        <v>0</v>
      </c>
      <c r="L91" s="7"/>
      <c r="M91" s="7">
        <v>2</v>
      </c>
      <c r="N91" s="7"/>
      <c r="O91" s="7">
        <v>0</v>
      </c>
      <c r="Q91" s="7"/>
      <c r="R91" s="7">
        <v>0</v>
      </c>
      <c r="S91" s="7"/>
      <c r="T91" s="7">
        <v>0</v>
      </c>
      <c r="U91" s="7"/>
      <c r="V91" s="7">
        <v>1</v>
      </c>
    </row>
    <row r="92" spans="1:22" ht="40" x14ac:dyDescent="0.2">
      <c r="A92" s="3" t="s">
        <v>64</v>
      </c>
      <c r="B92" s="7">
        <v>1982</v>
      </c>
      <c r="D92" s="7">
        <v>0</v>
      </c>
      <c r="E92" s="7"/>
      <c r="F92" s="7">
        <v>0</v>
      </c>
      <c r="G92" s="7"/>
      <c r="H92" s="7">
        <v>1</v>
      </c>
      <c r="I92" s="13"/>
      <c r="J92" s="7"/>
      <c r="K92" s="7">
        <v>0</v>
      </c>
      <c r="L92" s="7"/>
      <c r="M92" s="7">
        <v>2</v>
      </c>
      <c r="N92" s="7"/>
      <c r="O92" s="7">
        <v>0</v>
      </c>
      <c r="Q92" s="7"/>
      <c r="R92" s="7">
        <v>0</v>
      </c>
      <c r="S92" s="7"/>
      <c r="T92" s="7">
        <v>0</v>
      </c>
      <c r="U92" s="7"/>
      <c r="V92" s="7">
        <v>1</v>
      </c>
    </row>
    <row r="93" spans="1:22" ht="20" x14ac:dyDescent="0.2">
      <c r="A93" s="3" t="s">
        <v>65</v>
      </c>
      <c r="B93" s="7">
        <v>1983</v>
      </c>
      <c r="D93" s="7">
        <v>0</v>
      </c>
      <c r="E93" s="7"/>
      <c r="F93" s="7">
        <v>0</v>
      </c>
      <c r="G93" s="7"/>
      <c r="H93" s="7">
        <v>1</v>
      </c>
      <c r="I93" s="13"/>
      <c r="J93" s="7"/>
      <c r="K93" s="7">
        <v>0</v>
      </c>
      <c r="L93" s="7"/>
      <c r="M93" s="7">
        <v>2</v>
      </c>
      <c r="N93" s="7"/>
      <c r="O93" s="7">
        <v>0</v>
      </c>
      <c r="Q93" s="7"/>
      <c r="R93" s="7">
        <v>0</v>
      </c>
      <c r="S93" s="7"/>
      <c r="T93" s="7">
        <v>0</v>
      </c>
      <c r="U93" s="7"/>
      <c r="V93" s="7">
        <v>1</v>
      </c>
    </row>
    <row r="94" spans="1:22" ht="20" x14ac:dyDescent="0.2">
      <c r="A94" s="3" t="s">
        <v>66</v>
      </c>
      <c r="B94" s="7">
        <v>1984</v>
      </c>
      <c r="D94" s="7">
        <v>0</v>
      </c>
      <c r="E94" s="7"/>
      <c r="F94" s="7">
        <v>0</v>
      </c>
      <c r="G94" s="7"/>
      <c r="H94" s="7">
        <v>1</v>
      </c>
      <c r="I94" s="13"/>
      <c r="J94" s="7"/>
      <c r="K94" s="7">
        <v>0</v>
      </c>
      <c r="L94" s="7"/>
      <c r="M94" s="7">
        <v>2</v>
      </c>
      <c r="N94" s="7"/>
      <c r="O94" s="7">
        <v>0</v>
      </c>
      <c r="Q94" s="7"/>
      <c r="R94" s="7">
        <v>0</v>
      </c>
      <c r="S94" s="7"/>
      <c r="T94" s="7">
        <v>0</v>
      </c>
      <c r="U94" s="7"/>
      <c r="V94" s="7">
        <v>1</v>
      </c>
    </row>
    <row r="95" spans="1:22" ht="20" x14ac:dyDescent="0.2">
      <c r="A95" s="3" t="s">
        <v>67</v>
      </c>
      <c r="B95" s="7">
        <v>1985</v>
      </c>
      <c r="D95" s="7">
        <v>0</v>
      </c>
      <c r="E95" s="7"/>
      <c r="F95" s="7">
        <v>0</v>
      </c>
      <c r="G95" s="7"/>
      <c r="H95" s="7">
        <v>1</v>
      </c>
      <c r="I95" s="13"/>
      <c r="J95" s="7"/>
      <c r="K95" s="7">
        <v>0</v>
      </c>
      <c r="L95" s="7"/>
      <c r="M95" s="7">
        <v>2</v>
      </c>
      <c r="N95" s="7"/>
      <c r="O95" s="7">
        <v>0</v>
      </c>
      <c r="Q95" s="7"/>
      <c r="R95" s="7">
        <v>0</v>
      </c>
      <c r="S95" s="7"/>
      <c r="T95" s="7">
        <v>0</v>
      </c>
      <c r="U95" s="7"/>
      <c r="V95" s="7">
        <v>1</v>
      </c>
    </row>
    <row r="96" spans="1:22" ht="40" x14ac:dyDescent="0.2">
      <c r="A96" s="3" t="s">
        <v>68</v>
      </c>
      <c r="B96" s="7">
        <v>1987</v>
      </c>
      <c r="D96" s="7">
        <v>0</v>
      </c>
      <c r="E96" s="7"/>
      <c r="F96" s="7">
        <v>0</v>
      </c>
      <c r="G96" s="7"/>
      <c r="H96" s="7">
        <v>1</v>
      </c>
      <c r="I96" s="13"/>
      <c r="J96" s="7"/>
      <c r="K96" s="7">
        <v>0</v>
      </c>
      <c r="L96" s="7"/>
      <c r="M96" s="7">
        <v>2</v>
      </c>
      <c r="N96" s="7"/>
      <c r="O96" s="7">
        <v>0</v>
      </c>
      <c r="Q96" s="7"/>
      <c r="R96" s="7">
        <v>0</v>
      </c>
      <c r="S96" s="7"/>
      <c r="T96" s="7">
        <v>0</v>
      </c>
      <c r="U96" s="7"/>
      <c r="V96" s="7">
        <v>0</v>
      </c>
    </row>
    <row r="97" spans="1:22" ht="40" x14ac:dyDescent="0.2">
      <c r="A97" s="3" t="s">
        <v>69</v>
      </c>
      <c r="B97" s="7">
        <v>1987</v>
      </c>
      <c r="D97" s="7">
        <v>0</v>
      </c>
      <c r="E97" s="7"/>
      <c r="F97" s="7">
        <v>0</v>
      </c>
      <c r="G97" s="7"/>
      <c r="H97" s="7">
        <v>2</v>
      </c>
      <c r="I97" s="13"/>
      <c r="J97" s="7"/>
      <c r="K97" s="7">
        <v>1</v>
      </c>
      <c r="L97" s="7"/>
      <c r="M97" s="7">
        <v>2</v>
      </c>
      <c r="N97" s="7"/>
      <c r="O97" s="7">
        <v>2</v>
      </c>
      <c r="Q97" s="7"/>
      <c r="R97" s="7">
        <v>0</v>
      </c>
      <c r="S97" s="7"/>
      <c r="T97" s="7">
        <v>0</v>
      </c>
      <c r="U97" s="7"/>
      <c r="V97" s="7">
        <v>1</v>
      </c>
    </row>
    <row r="98" spans="1:22" ht="40" x14ac:dyDescent="0.2">
      <c r="A98" s="3" t="s">
        <v>70</v>
      </c>
      <c r="B98" s="7">
        <v>1988</v>
      </c>
      <c r="D98" s="7">
        <v>0</v>
      </c>
      <c r="E98" s="7"/>
      <c r="F98" s="7">
        <v>1</v>
      </c>
      <c r="G98" s="7"/>
      <c r="H98" s="7">
        <v>1</v>
      </c>
      <c r="I98" s="13"/>
      <c r="J98" s="7"/>
      <c r="K98" s="7">
        <v>0</v>
      </c>
      <c r="L98" s="7"/>
      <c r="M98" s="7">
        <v>2</v>
      </c>
      <c r="N98" s="7"/>
      <c r="O98" s="7">
        <v>0</v>
      </c>
      <c r="Q98" s="7"/>
      <c r="R98" s="7">
        <v>0</v>
      </c>
      <c r="S98" s="7"/>
      <c r="T98" s="7">
        <v>0</v>
      </c>
      <c r="U98" s="7"/>
      <c r="V98" s="7">
        <v>1</v>
      </c>
    </row>
    <row r="99" spans="1:22" ht="40" x14ac:dyDescent="0.2">
      <c r="A99" s="4" t="s">
        <v>71</v>
      </c>
      <c r="B99" s="8">
        <v>1997</v>
      </c>
      <c r="D99" s="8">
        <v>0</v>
      </c>
      <c r="E99" s="8"/>
      <c r="F99" s="8">
        <v>0</v>
      </c>
      <c r="G99" s="8"/>
      <c r="H99" s="8">
        <v>1</v>
      </c>
      <c r="I99" s="13"/>
      <c r="J99" s="8"/>
      <c r="K99" s="8">
        <v>0</v>
      </c>
      <c r="L99" s="8"/>
      <c r="M99" s="8">
        <v>2</v>
      </c>
      <c r="N99" s="8"/>
      <c r="O99" s="8">
        <v>0</v>
      </c>
      <c r="Q99" s="8"/>
      <c r="R99" s="8">
        <v>0</v>
      </c>
      <c r="S99" s="8"/>
      <c r="T99" s="8">
        <v>2</v>
      </c>
      <c r="U99" s="8"/>
      <c r="V99" s="8">
        <v>0</v>
      </c>
    </row>
    <row r="100" spans="1:22" ht="20" x14ac:dyDescent="0.2">
      <c r="A100" s="4" t="s">
        <v>72</v>
      </c>
      <c r="B100" s="8">
        <v>1983</v>
      </c>
      <c r="D100" s="8">
        <v>0</v>
      </c>
      <c r="E100" s="8"/>
      <c r="F100" s="8">
        <v>0</v>
      </c>
      <c r="G100" s="8"/>
      <c r="H100" s="8">
        <v>1</v>
      </c>
      <c r="I100" s="13"/>
      <c r="J100" s="8"/>
      <c r="K100" s="8">
        <v>0</v>
      </c>
      <c r="L100" s="8"/>
      <c r="M100" s="8">
        <v>1</v>
      </c>
      <c r="N100" s="8"/>
      <c r="O100" s="8">
        <v>0</v>
      </c>
      <c r="Q100" s="8"/>
      <c r="R100" s="8">
        <v>0</v>
      </c>
      <c r="S100" s="8"/>
      <c r="T100" s="8">
        <v>2</v>
      </c>
      <c r="U100" s="8"/>
      <c r="V100" s="8">
        <v>1</v>
      </c>
    </row>
    <row r="101" spans="1:22" ht="20" x14ac:dyDescent="0.2">
      <c r="A101" s="4" t="s">
        <v>73</v>
      </c>
      <c r="B101" s="8">
        <v>1987</v>
      </c>
      <c r="D101" s="8">
        <v>0</v>
      </c>
      <c r="E101" s="8"/>
      <c r="F101" s="8">
        <v>0</v>
      </c>
      <c r="G101" s="8"/>
      <c r="H101" s="8">
        <v>1</v>
      </c>
      <c r="I101" s="13"/>
      <c r="J101" s="8"/>
      <c r="K101" s="8">
        <v>0</v>
      </c>
      <c r="L101" s="8"/>
      <c r="M101" s="8">
        <v>1</v>
      </c>
      <c r="N101" s="8"/>
      <c r="O101" s="8">
        <v>0</v>
      </c>
      <c r="Q101" s="8"/>
      <c r="R101" s="8">
        <v>0</v>
      </c>
      <c r="S101" s="8"/>
      <c r="T101" s="8">
        <v>2</v>
      </c>
      <c r="U101" s="8"/>
      <c r="V101" s="8">
        <v>1</v>
      </c>
    </row>
    <row r="102" spans="1:22" ht="20" x14ac:dyDescent="0.2">
      <c r="A102" s="4" t="s">
        <v>27</v>
      </c>
      <c r="B102" s="8">
        <v>1982</v>
      </c>
      <c r="D102" s="8">
        <v>0</v>
      </c>
      <c r="E102" s="8"/>
      <c r="F102" s="8">
        <v>0</v>
      </c>
      <c r="G102" s="8"/>
      <c r="H102" s="8">
        <v>1</v>
      </c>
      <c r="I102" s="13"/>
      <c r="J102" s="8"/>
      <c r="K102" s="8">
        <v>1</v>
      </c>
      <c r="L102" s="8"/>
      <c r="M102" s="8">
        <v>1</v>
      </c>
      <c r="N102" s="8"/>
      <c r="O102" s="8">
        <v>0</v>
      </c>
      <c r="Q102" s="8"/>
      <c r="R102" s="8">
        <v>0</v>
      </c>
      <c r="S102" s="8"/>
      <c r="T102" s="8">
        <v>2</v>
      </c>
      <c r="U102" s="8"/>
      <c r="V102" s="8">
        <v>1</v>
      </c>
    </row>
    <row r="103" spans="1:22" ht="20" x14ac:dyDescent="0.2">
      <c r="A103" s="4" t="s">
        <v>74</v>
      </c>
      <c r="B103" s="8">
        <v>1982</v>
      </c>
      <c r="D103" s="8">
        <v>0</v>
      </c>
      <c r="E103" s="8"/>
      <c r="F103" s="8">
        <v>0</v>
      </c>
      <c r="G103" s="8"/>
      <c r="H103" s="8">
        <v>1</v>
      </c>
      <c r="I103" s="13"/>
      <c r="J103" s="8"/>
      <c r="K103" s="8">
        <v>0</v>
      </c>
      <c r="L103" s="8"/>
      <c r="M103" s="8">
        <v>2</v>
      </c>
      <c r="N103" s="8"/>
      <c r="O103" s="8">
        <v>0</v>
      </c>
      <c r="Q103" s="8"/>
      <c r="R103" s="8">
        <v>0</v>
      </c>
      <c r="S103" s="8"/>
      <c r="T103" s="8">
        <v>2</v>
      </c>
      <c r="U103" s="8"/>
      <c r="V103" s="8">
        <v>1</v>
      </c>
    </row>
    <row r="104" spans="1:22" ht="40" x14ac:dyDescent="0.2">
      <c r="A104" s="4" t="s">
        <v>75</v>
      </c>
      <c r="B104" s="8">
        <v>1983</v>
      </c>
      <c r="D104" s="8">
        <v>0</v>
      </c>
      <c r="E104" s="8"/>
      <c r="F104" s="8">
        <v>0</v>
      </c>
      <c r="G104" s="8"/>
      <c r="H104" s="8">
        <v>1</v>
      </c>
      <c r="I104" s="13"/>
      <c r="J104" s="8"/>
      <c r="K104" s="8">
        <v>1</v>
      </c>
      <c r="L104" s="8"/>
      <c r="M104" s="8">
        <v>1</v>
      </c>
      <c r="N104" s="8"/>
      <c r="O104" s="8">
        <v>0</v>
      </c>
      <c r="Q104" s="8"/>
      <c r="R104" s="8">
        <v>0</v>
      </c>
      <c r="S104" s="8"/>
      <c r="T104" s="8">
        <v>2</v>
      </c>
      <c r="U104" s="8"/>
      <c r="V104" s="8">
        <v>1</v>
      </c>
    </row>
    <row r="105" spans="1:22" ht="20" x14ac:dyDescent="0.2">
      <c r="A105" s="4" t="s">
        <v>76</v>
      </c>
      <c r="B105" s="8">
        <v>1983</v>
      </c>
      <c r="D105" s="8">
        <v>0</v>
      </c>
      <c r="E105" s="8"/>
      <c r="F105" s="8">
        <v>0</v>
      </c>
      <c r="G105" s="8"/>
      <c r="H105" s="8">
        <v>1</v>
      </c>
      <c r="I105" s="13"/>
      <c r="J105" s="8"/>
      <c r="K105" s="8">
        <v>1</v>
      </c>
      <c r="L105" s="8"/>
      <c r="M105" s="8">
        <v>1</v>
      </c>
      <c r="N105" s="8"/>
      <c r="O105" s="8">
        <v>0</v>
      </c>
      <c r="Q105" s="8"/>
      <c r="R105" s="8">
        <v>0</v>
      </c>
      <c r="S105" s="8"/>
      <c r="T105" s="8">
        <v>2</v>
      </c>
      <c r="U105" s="8"/>
      <c r="V105" s="8">
        <v>1</v>
      </c>
    </row>
    <row r="106" spans="1:22" ht="20" x14ac:dyDescent="0.2">
      <c r="A106" s="4" t="s">
        <v>77</v>
      </c>
      <c r="B106" s="8">
        <v>1983</v>
      </c>
      <c r="D106" s="8">
        <v>0</v>
      </c>
      <c r="E106" s="8"/>
      <c r="F106" s="8">
        <v>0</v>
      </c>
      <c r="G106" s="8"/>
      <c r="H106" s="8">
        <v>1</v>
      </c>
      <c r="I106" s="13"/>
      <c r="J106" s="8"/>
      <c r="K106" s="8">
        <v>0</v>
      </c>
      <c r="L106" s="8"/>
      <c r="M106" s="8">
        <v>2</v>
      </c>
      <c r="N106" s="8"/>
      <c r="O106" s="8">
        <v>0</v>
      </c>
      <c r="Q106" s="8"/>
      <c r="R106" s="8">
        <v>0</v>
      </c>
      <c r="S106" s="8"/>
      <c r="T106" s="8">
        <v>2</v>
      </c>
      <c r="U106" s="8"/>
      <c r="V106" s="8">
        <v>1</v>
      </c>
    </row>
    <row r="107" spans="1:22" ht="20" x14ac:dyDescent="0.2">
      <c r="A107" s="4" t="s">
        <v>78</v>
      </c>
      <c r="B107" s="8">
        <v>1984</v>
      </c>
      <c r="D107" s="8">
        <v>0</v>
      </c>
      <c r="E107" s="8"/>
      <c r="F107" s="8">
        <v>0</v>
      </c>
      <c r="G107" s="8"/>
      <c r="H107" s="8">
        <v>1</v>
      </c>
      <c r="I107" s="13"/>
      <c r="J107" s="8"/>
      <c r="K107" s="8">
        <v>0</v>
      </c>
      <c r="L107" s="8"/>
      <c r="M107" s="8">
        <v>1</v>
      </c>
      <c r="N107" s="8"/>
      <c r="O107" s="8">
        <v>0</v>
      </c>
      <c r="Q107" s="8"/>
      <c r="R107" s="8">
        <v>0</v>
      </c>
      <c r="S107" s="8"/>
      <c r="T107" s="8">
        <v>2</v>
      </c>
      <c r="U107" s="8"/>
      <c r="V107" s="8">
        <v>1</v>
      </c>
    </row>
    <row r="108" spans="1:22" ht="20" x14ac:dyDescent="0.2">
      <c r="A108" s="5" t="s">
        <v>79</v>
      </c>
      <c r="B108" s="9">
        <v>1984</v>
      </c>
      <c r="D108" s="9">
        <v>0</v>
      </c>
      <c r="E108" s="9"/>
      <c r="F108" s="9">
        <v>0</v>
      </c>
      <c r="G108" s="9"/>
      <c r="H108" s="9">
        <v>1</v>
      </c>
      <c r="I108" s="13"/>
      <c r="J108" s="9"/>
      <c r="K108" s="9">
        <v>1</v>
      </c>
      <c r="L108" s="9"/>
      <c r="M108" s="9">
        <v>2</v>
      </c>
      <c r="N108" s="9"/>
      <c r="O108" s="9">
        <v>0</v>
      </c>
      <c r="Q108" s="9"/>
      <c r="R108" s="9">
        <v>0</v>
      </c>
      <c r="S108" s="9"/>
      <c r="T108" s="9">
        <v>2</v>
      </c>
      <c r="U108" s="9"/>
      <c r="V108" s="9">
        <v>1</v>
      </c>
    </row>
    <row r="109" spans="1:22" ht="40" x14ac:dyDescent="0.2">
      <c r="A109" s="5" t="s">
        <v>80</v>
      </c>
      <c r="B109" s="9">
        <v>1984</v>
      </c>
      <c r="D109" s="9">
        <v>0</v>
      </c>
      <c r="E109" s="9"/>
      <c r="F109" s="9">
        <v>0</v>
      </c>
      <c r="G109" s="9"/>
      <c r="H109" s="9">
        <v>1</v>
      </c>
      <c r="I109" s="13"/>
      <c r="J109" s="9"/>
      <c r="K109" s="9">
        <v>1</v>
      </c>
      <c r="L109" s="9"/>
      <c r="M109" s="9">
        <v>2</v>
      </c>
      <c r="N109" s="9"/>
      <c r="O109" s="9">
        <v>0</v>
      </c>
      <c r="Q109" s="9"/>
      <c r="R109" s="9">
        <v>0</v>
      </c>
      <c r="S109" s="9"/>
      <c r="T109" s="9">
        <v>2</v>
      </c>
      <c r="U109" s="9"/>
      <c r="V109" s="9">
        <v>1</v>
      </c>
    </row>
    <row r="110" spans="1:22" ht="20" x14ac:dyDescent="0.2">
      <c r="A110" s="5" t="s">
        <v>81</v>
      </c>
      <c r="B110" s="9">
        <v>1984</v>
      </c>
      <c r="D110" s="9">
        <v>0</v>
      </c>
      <c r="E110" s="9"/>
      <c r="F110" s="9">
        <v>0</v>
      </c>
      <c r="G110" s="9"/>
      <c r="H110" s="9">
        <v>1</v>
      </c>
      <c r="I110" s="13"/>
      <c r="J110" s="9"/>
      <c r="K110" s="9">
        <v>1</v>
      </c>
      <c r="L110" s="9"/>
      <c r="M110" s="9">
        <v>1</v>
      </c>
      <c r="N110" s="9"/>
      <c r="O110" s="9">
        <v>0</v>
      </c>
      <c r="Q110" s="9"/>
      <c r="R110" s="9">
        <v>0</v>
      </c>
      <c r="S110" s="9"/>
      <c r="T110" s="9">
        <v>2</v>
      </c>
      <c r="U110" s="9"/>
      <c r="V110" s="9">
        <v>1</v>
      </c>
    </row>
    <row r="111" spans="1:22" ht="20" x14ac:dyDescent="0.2">
      <c r="A111" s="5" t="s">
        <v>82</v>
      </c>
      <c r="B111" s="9">
        <v>1985</v>
      </c>
      <c r="D111" s="9">
        <v>0</v>
      </c>
      <c r="E111" s="9"/>
      <c r="F111" s="9">
        <v>0</v>
      </c>
      <c r="G111" s="9"/>
      <c r="H111" s="9">
        <v>2</v>
      </c>
      <c r="I111" s="13"/>
      <c r="J111" s="9"/>
      <c r="K111" s="9">
        <v>1</v>
      </c>
      <c r="L111" s="9"/>
      <c r="M111" s="9">
        <v>2</v>
      </c>
      <c r="N111" s="9"/>
      <c r="O111" s="9">
        <v>0</v>
      </c>
      <c r="Q111" s="9"/>
      <c r="R111" s="9">
        <v>0</v>
      </c>
      <c r="S111" s="9"/>
      <c r="T111" s="9">
        <v>2</v>
      </c>
      <c r="U111" s="9"/>
      <c r="V111" s="9">
        <v>1</v>
      </c>
    </row>
    <row r="112" spans="1:22" ht="40" x14ac:dyDescent="0.2">
      <c r="A112" s="5" t="s">
        <v>83</v>
      </c>
      <c r="B112" s="9">
        <v>1985</v>
      </c>
      <c r="D112" s="9">
        <v>0</v>
      </c>
      <c r="E112" s="9"/>
      <c r="F112" s="9">
        <v>0</v>
      </c>
      <c r="G112" s="9"/>
      <c r="H112" s="9">
        <v>1</v>
      </c>
      <c r="I112" s="13"/>
      <c r="J112" s="9"/>
      <c r="K112" s="9">
        <v>1</v>
      </c>
      <c r="L112" s="9"/>
      <c r="M112" s="9">
        <v>2</v>
      </c>
      <c r="N112" s="9"/>
      <c r="O112" s="9">
        <v>0</v>
      </c>
      <c r="Q112" s="9"/>
      <c r="R112" s="9">
        <v>0</v>
      </c>
      <c r="S112" s="9"/>
      <c r="T112" s="9">
        <v>2</v>
      </c>
      <c r="U112" s="9"/>
      <c r="V112" s="9">
        <v>1</v>
      </c>
    </row>
    <row r="113" spans="1:22" ht="20" x14ac:dyDescent="0.2">
      <c r="A113" s="5" t="s">
        <v>84</v>
      </c>
      <c r="B113" s="9">
        <v>1986</v>
      </c>
      <c r="D113" s="9">
        <v>0</v>
      </c>
      <c r="E113" s="9"/>
      <c r="F113" s="9">
        <v>0</v>
      </c>
      <c r="G113" s="9"/>
      <c r="H113" s="9">
        <v>1</v>
      </c>
      <c r="I113" s="13"/>
      <c r="J113" s="9"/>
      <c r="K113" s="9">
        <v>0</v>
      </c>
      <c r="L113" s="9"/>
      <c r="M113" s="9">
        <v>2</v>
      </c>
      <c r="N113" s="9"/>
      <c r="O113" s="9">
        <v>0</v>
      </c>
      <c r="Q113" s="9"/>
      <c r="R113" s="9">
        <v>0</v>
      </c>
      <c r="S113" s="9"/>
      <c r="T113" s="9">
        <v>2</v>
      </c>
      <c r="U113" s="9"/>
      <c r="V113" s="9">
        <v>1</v>
      </c>
    </row>
    <row r="114" spans="1:22" ht="20" x14ac:dyDescent="0.2">
      <c r="A114" s="5" t="s">
        <v>85</v>
      </c>
      <c r="B114" s="9">
        <v>1986</v>
      </c>
      <c r="D114" s="9">
        <v>0</v>
      </c>
      <c r="E114" s="9"/>
      <c r="F114" s="9">
        <v>0</v>
      </c>
      <c r="G114" s="9"/>
      <c r="H114" s="9">
        <v>1</v>
      </c>
      <c r="I114" s="13"/>
      <c r="J114" s="9"/>
      <c r="K114" s="9">
        <v>1</v>
      </c>
      <c r="L114" s="9"/>
      <c r="M114" s="9">
        <v>2</v>
      </c>
      <c r="N114" s="9"/>
      <c r="O114" s="9">
        <v>0</v>
      </c>
      <c r="Q114" s="9"/>
      <c r="R114" s="9">
        <v>0</v>
      </c>
      <c r="S114" s="9"/>
      <c r="T114" s="9">
        <v>2</v>
      </c>
      <c r="U114" s="9"/>
      <c r="V114" s="9">
        <v>1</v>
      </c>
    </row>
    <row r="115" spans="1:22" ht="40" x14ac:dyDescent="0.2">
      <c r="A115" s="5" t="s">
        <v>86</v>
      </c>
      <c r="B115" s="9">
        <v>1986</v>
      </c>
      <c r="D115" s="9">
        <v>0</v>
      </c>
      <c r="E115" s="9"/>
      <c r="F115" s="9">
        <v>0</v>
      </c>
      <c r="G115" s="9"/>
      <c r="H115" s="9">
        <v>1</v>
      </c>
      <c r="I115" s="13"/>
      <c r="J115" s="9"/>
      <c r="K115" s="9">
        <v>1</v>
      </c>
      <c r="L115" s="9"/>
      <c r="M115" s="9">
        <v>2</v>
      </c>
      <c r="N115" s="9"/>
      <c r="O115" s="9">
        <v>0</v>
      </c>
      <c r="Q115" s="9"/>
      <c r="R115" s="9">
        <v>0</v>
      </c>
      <c r="S115" s="9"/>
      <c r="T115" s="9">
        <v>2</v>
      </c>
      <c r="U115" s="9"/>
      <c r="V115" s="9">
        <v>1</v>
      </c>
    </row>
    <row r="116" spans="1:22" ht="20" x14ac:dyDescent="0.2">
      <c r="A116" s="5" t="s">
        <v>87</v>
      </c>
      <c r="B116" s="9">
        <v>1986</v>
      </c>
      <c r="D116" s="9">
        <v>0</v>
      </c>
      <c r="E116" s="9"/>
      <c r="F116" s="9">
        <v>0</v>
      </c>
      <c r="G116" s="9"/>
      <c r="H116" s="9">
        <v>1</v>
      </c>
      <c r="I116" s="13"/>
      <c r="J116" s="9"/>
      <c r="K116" s="9">
        <v>1</v>
      </c>
      <c r="L116" s="9"/>
      <c r="M116" s="9">
        <v>2</v>
      </c>
      <c r="N116" s="9"/>
      <c r="O116" s="9">
        <v>0</v>
      </c>
      <c r="Q116" s="9"/>
      <c r="R116" s="9">
        <v>0</v>
      </c>
      <c r="S116" s="9"/>
      <c r="T116" s="9">
        <v>2</v>
      </c>
      <c r="U116" s="9"/>
      <c r="V116" s="9">
        <v>1</v>
      </c>
    </row>
    <row r="117" spans="1:22" ht="20" x14ac:dyDescent="0.2">
      <c r="A117" s="3" t="s">
        <v>88</v>
      </c>
      <c r="B117" s="7">
        <v>1986</v>
      </c>
      <c r="D117" s="7">
        <v>0</v>
      </c>
      <c r="E117" s="7"/>
      <c r="F117" s="7">
        <v>0</v>
      </c>
      <c r="G117" s="7"/>
      <c r="H117" s="7">
        <v>1</v>
      </c>
      <c r="I117" s="13"/>
      <c r="J117" s="7"/>
      <c r="K117" s="7">
        <v>1</v>
      </c>
      <c r="L117" s="7"/>
      <c r="M117" s="7">
        <v>2</v>
      </c>
      <c r="N117" s="7"/>
      <c r="O117" s="7">
        <v>0</v>
      </c>
      <c r="Q117" s="7"/>
      <c r="R117" s="7">
        <v>0</v>
      </c>
      <c r="S117" s="7"/>
      <c r="T117" s="7">
        <v>2</v>
      </c>
      <c r="U117" s="7"/>
      <c r="V117" s="7">
        <v>1</v>
      </c>
    </row>
    <row r="118" spans="1:22" ht="20" x14ac:dyDescent="0.2">
      <c r="A118" s="3" t="s">
        <v>89</v>
      </c>
      <c r="B118" s="7">
        <v>1987</v>
      </c>
      <c r="D118" s="7">
        <v>0</v>
      </c>
      <c r="E118" s="7"/>
      <c r="F118" s="7">
        <v>0</v>
      </c>
      <c r="G118" s="7"/>
      <c r="H118" s="7">
        <v>1</v>
      </c>
      <c r="I118" s="13"/>
      <c r="J118" s="7"/>
      <c r="K118" s="7">
        <v>1</v>
      </c>
      <c r="L118" s="7"/>
      <c r="M118" s="7">
        <v>1</v>
      </c>
      <c r="N118" s="7"/>
      <c r="O118" s="7">
        <v>0</v>
      </c>
      <c r="Q118" s="7"/>
      <c r="R118" s="7">
        <v>0</v>
      </c>
      <c r="S118" s="7"/>
      <c r="T118" s="7">
        <v>2</v>
      </c>
      <c r="U118" s="7"/>
      <c r="V118" s="7">
        <v>1</v>
      </c>
    </row>
    <row r="119" spans="1:22" ht="20" x14ac:dyDescent="0.2">
      <c r="A119" s="3" t="s">
        <v>90</v>
      </c>
      <c r="B119" s="7">
        <v>1987</v>
      </c>
      <c r="D119" s="7">
        <v>0</v>
      </c>
      <c r="E119" s="7"/>
      <c r="F119" s="7">
        <v>0</v>
      </c>
      <c r="G119" s="7"/>
      <c r="H119" s="7">
        <v>1</v>
      </c>
      <c r="I119" s="13"/>
      <c r="J119" s="7"/>
      <c r="K119" s="7">
        <v>1</v>
      </c>
      <c r="L119" s="7"/>
      <c r="M119" s="7">
        <v>2</v>
      </c>
      <c r="N119" s="7"/>
      <c r="O119" s="7">
        <v>0</v>
      </c>
      <c r="Q119" s="7"/>
      <c r="R119" s="7">
        <v>0</v>
      </c>
      <c r="S119" s="7"/>
      <c r="T119" s="7">
        <v>2</v>
      </c>
      <c r="U119" s="7"/>
      <c r="V119" s="7">
        <v>1</v>
      </c>
    </row>
    <row r="120" spans="1:22" ht="20" x14ac:dyDescent="0.2">
      <c r="A120" s="3" t="s">
        <v>8</v>
      </c>
      <c r="B120" s="7">
        <v>1987</v>
      </c>
      <c r="D120" s="7">
        <v>0</v>
      </c>
      <c r="E120" s="7"/>
      <c r="F120" s="7">
        <v>0</v>
      </c>
      <c r="G120" s="7"/>
      <c r="H120" s="7">
        <v>1</v>
      </c>
      <c r="I120" s="13"/>
      <c r="J120" s="7"/>
      <c r="K120" s="7">
        <v>1</v>
      </c>
      <c r="L120" s="7"/>
      <c r="M120" s="7">
        <v>2</v>
      </c>
      <c r="N120" s="7"/>
      <c r="O120" s="7">
        <v>0</v>
      </c>
      <c r="Q120" s="7"/>
      <c r="R120" s="7">
        <v>0</v>
      </c>
      <c r="S120" s="7"/>
      <c r="T120" s="7">
        <v>2</v>
      </c>
      <c r="U120" s="7"/>
      <c r="V120" s="7">
        <v>1</v>
      </c>
    </row>
    <row r="121" spans="1:22" ht="40" x14ac:dyDescent="0.2">
      <c r="A121" s="3" t="s">
        <v>91</v>
      </c>
      <c r="B121" s="7">
        <v>1987</v>
      </c>
      <c r="D121" s="7">
        <v>0</v>
      </c>
      <c r="E121" s="7"/>
      <c r="F121" s="7">
        <v>0</v>
      </c>
      <c r="G121" s="7"/>
      <c r="H121" s="7">
        <v>1</v>
      </c>
      <c r="I121" s="13"/>
      <c r="J121" s="7"/>
      <c r="K121" s="7">
        <v>1</v>
      </c>
      <c r="L121" s="7"/>
      <c r="M121" s="7">
        <v>2</v>
      </c>
      <c r="N121" s="7"/>
      <c r="O121" s="7">
        <v>0</v>
      </c>
      <c r="Q121" s="7"/>
      <c r="R121" s="7">
        <v>0</v>
      </c>
      <c r="S121" s="7"/>
      <c r="T121" s="7">
        <v>2</v>
      </c>
      <c r="U121" s="7"/>
      <c r="V121" s="7">
        <v>1</v>
      </c>
    </row>
    <row r="122" spans="1:22" ht="20" x14ac:dyDescent="0.2">
      <c r="A122" s="3" t="s">
        <v>92</v>
      </c>
      <c r="B122" s="7">
        <v>1987</v>
      </c>
      <c r="D122" s="7">
        <v>0</v>
      </c>
      <c r="E122" s="7"/>
      <c r="F122" s="7">
        <v>0</v>
      </c>
      <c r="G122" s="7"/>
      <c r="H122" s="7">
        <v>1</v>
      </c>
      <c r="I122" s="13"/>
      <c r="J122" s="7"/>
      <c r="K122" s="7">
        <v>1</v>
      </c>
      <c r="L122" s="7"/>
      <c r="M122" s="7">
        <v>2</v>
      </c>
      <c r="N122" s="7"/>
      <c r="O122" s="7">
        <v>0</v>
      </c>
      <c r="Q122" s="7"/>
      <c r="R122" s="7">
        <v>0</v>
      </c>
      <c r="S122" s="7"/>
      <c r="T122" s="7">
        <v>2</v>
      </c>
      <c r="U122" s="7"/>
      <c r="V122" s="7">
        <v>1</v>
      </c>
    </row>
    <row r="123" spans="1:22" ht="40" x14ac:dyDescent="0.2">
      <c r="A123" s="3" t="s">
        <v>93</v>
      </c>
      <c r="B123" s="7">
        <v>1988</v>
      </c>
      <c r="D123" s="7">
        <v>0</v>
      </c>
      <c r="E123" s="7"/>
      <c r="F123" s="7">
        <v>0</v>
      </c>
      <c r="G123" s="7"/>
      <c r="H123" s="7">
        <v>1</v>
      </c>
      <c r="I123" s="13"/>
      <c r="J123" s="7"/>
      <c r="K123" s="7">
        <v>1</v>
      </c>
      <c r="L123" s="7"/>
      <c r="M123" s="7">
        <v>2</v>
      </c>
      <c r="N123" s="7"/>
      <c r="O123" s="7">
        <v>0</v>
      </c>
      <c r="Q123" s="7"/>
      <c r="R123" s="7">
        <v>0</v>
      </c>
      <c r="S123" s="7"/>
      <c r="T123" s="7">
        <v>2</v>
      </c>
      <c r="U123" s="7"/>
      <c r="V123" s="7">
        <v>1</v>
      </c>
    </row>
    <row r="124" spans="1:22" ht="40" x14ac:dyDescent="0.2">
      <c r="A124" s="3" t="s">
        <v>94</v>
      </c>
      <c r="B124" s="7">
        <v>1989</v>
      </c>
      <c r="D124" s="7">
        <v>0</v>
      </c>
      <c r="E124" s="7"/>
      <c r="F124" s="7">
        <v>0</v>
      </c>
      <c r="G124" s="7"/>
      <c r="H124" s="7">
        <v>1</v>
      </c>
      <c r="I124" s="13"/>
      <c r="J124" s="7"/>
      <c r="K124" s="7">
        <v>1</v>
      </c>
      <c r="L124" s="7"/>
      <c r="M124" s="7">
        <v>2</v>
      </c>
      <c r="N124" s="7"/>
      <c r="O124" s="7">
        <v>0</v>
      </c>
      <c r="Q124" s="7"/>
      <c r="R124" s="7">
        <v>0</v>
      </c>
      <c r="S124" s="7"/>
      <c r="T124" s="7">
        <v>2</v>
      </c>
      <c r="U124" s="7"/>
      <c r="V124" s="7">
        <v>1</v>
      </c>
    </row>
    <row r="125" spans="1:22" ht="20" x14ac:dyDescent="0.2">
      <c r="A125" s="3" t="s">
        <v>95</v>
      </c>
      <c r="B125" s="7">
        <v>1989</v>
      </c>
      <c r="D125" s="7">
        <v>0</v>
      </c>
      <c r="E125" s="7"/>
      <c r="F125" s="7">
        <v>0</v>
      </c>
      <c r="G125" s="7"/>
      <c r="H125" s="7">
        <v>1</v>
      </c>
      <c r="I125" s="13"/>
      <c r="J125" s="7"/>
      <c r="K125" s="7">
        <v>1</v>
      </c>
      <c r="L125" s="7"/>
      <c r="M125" s="7">
        <v>2</v>
      </c>
      <c r="N125" s="7"/>
      <c r="O125" s="7">
        <v>0</v>
      </c>
      <c r="Q125" s="7"/>
      <c r="R125" s="7">
        <v>0</v>
      </c>
      <c r="S125" s="7"/>
      <c r="T125" s="7">
        <v>2</v>
      </c>
      <c r="U125" s="7"/>
      <c r="V125" s="7">
        <v>1</v>
      </c>
    </row>
    <row r="126" spans="1:22" ht="20" x14ac:dyDescent="0.2">
      <c r="A126" s="4" t="s">
        <v>96</v>
      </c>
      <c r="B126" s="8">
        <v>1989</v>
      </c>
      <c r="D126" s="8">
        <v>0</v>
      </c>
      <c r="E126" s="8"/>
      <c r="F126" s="8">
        <v>0</v>
      </c>
      <c r="G126" s="8"/>
      <c r="H126" s="8">
        <v>2</v>
      </c>
      <c r="I126" s="13"/>
      <c r="J126" s="8"/>
      <c r="K126" s="8">
        <v>2</v>
      </c>
      <c r="L126" s="8"/>
      <c r="M126" s="8">
        <v>2</v>
      </c>
      <c r="N126" s="8"/>
      <c r="O126" s="8">
        <v>0</v>
      </c>
      <c r="Q126" s="8"/>
      <c r="R126" s="8">
        <v>0</v>
      </c>
      <c r="S126" s="8"/>
      <c r="T126" s="8">
        <v>2</v>
      </c>
      <c r="U126" s="8"/>
      <c r="V126" s="8">
        <v>1</v>
      </c>
    </row>
    <row r="127" spans="1:22" x14ac:dyDescent="0.2">
      <c r="A127" s="4"/>
      <c r="B127" s="8"/>
      <c r="D127" s="8"/>
      <c r="E127" s="8"/>
      <c r="F127" s="8"/>
      <c r="G127" s="8"/>
      <c r="H127" s="8"/>
      <c r="I127" s="13"/>
      <c r="J127" s="13"/>
      <c r="K127" s="8"/>
      <c r="L127" s="8"/>
      <c r="M127" s="8"/>
      <c r="N127" s="8"/>
      <c r="O127" s="8"/>
    </row>
    <row r="128" spans="1:22" x14ac:dyDescent="0.2">
      <c r="A128" s="4"/>
      <c r="B128" s="8"/>
      <c r="D128" s="8"/>
      <c r="E128" s="8"/>
      <c r="F128" s="8"/>
      <c r="G128" s="8"/>
      <c r="H128" s="8"/>
      <c r="I128" s="13"/>
      <c r="J128" s="13"/>
      <c r="K128" s="8"/>
      <c r="L128" s="8"/>
      <c r="M128" s="8"/>
      <c r="N128" s="8"/>
      <c r="O128" s="8"/>
    </row>
    <row r="129" spans="1:15" x14ac:dyDescent="0.2">
      <c r="A129" s="4"/>
      <c r="B129" s="8"/>
      <c r="D129" s="8"/>
      <c r="E129" s="8"/>
      <c r="F129" s="8"/>
      <c r="G129" s="8"/>
      <c r="H129" s="8"/>
      <c r="I129" s="13"/>
      <c r="J129" s="13"/>
      <c r="K129" s="8"/>
      <c r="L129" s="8"/>
      <c r="M129" s="8"/>
      <c r="N129" s="8"/>
      <c r="O129" s="8"/>
    </row>
    <row r="130" spans="1:15" x14ac:dyDescent="0.2">
      <c r="A130" s="4"/>
      <c r="B130" s="8"/>
      <c r="D130" s="8"/>
      <c r="E130" s="8"/>
      <c r="F130" s="8"/>
      <c r="G130" s="8"/>
      <c r="H130" s="8"/>
      <c r="I130" s="13"/>
      <c r="J130" s="13"/>
      <c r="K130" s="8"/>
      <c r="L130" s="8"/>
      <c r="M130" s="8"/>
      <c r="N130" s="8"/>
      <c r="O130" s="8"/>
    </row>
    <row r="131" spans="1:15" x14ac:dyDescent="0.2">
      <c r="A131" s="4"/>
      <c r="B131" s="8"/>
      <c r="D131" s="8"/>
      <c r="E131" s="8"/>
      <c r="F131" s="8"/>
      <c r="G131" s="8"/>
      <c r="H131" s="8"/>
      <c r="I131" s="13"/>
      <c r="J131" s="13"/>
      <c r="K131" s="8"/>
      <c r="L131" s="8"/>
      <c r="M131" s="8"/>
      <c r="N131" s="8"/>
      <c r="O131" s="8"/>
    </row>
    <row r="132" spans="1:15" x14ac:dyDescent="0.2">
      <c r="A132" s="4"/>
      <c r="B132" s="8"/>
      <c r="D132" s="8"/>
      <c r="E132" s="8"/>
      <c r="F132" s="8"/>
      <c r="G132" s="8"/>
      <c r="H132" s="8"/>
      <c r="I132" s="13"/>
      <c r="J132" s="13"/>
      <c r="K132" s="8"/>
      <c r="L132" s="8"/>
      <c r="M132" s="8"/>
      <c r="N132" s="8"/>
      <c r="O132" s="8"/>
    </row>
    <row r="133" spans="1:15" x14ac:dyDescent="0.2">
      <c r="A133" s="4"/>
      <c r="B133" s="8"/>
      <c r="D133" s="8"/>
      <c r="E133" s="8"/>
      <c r="F133" s="8"/>
      <c r="G133" s="8"/>
      <c r="H133" s="8"/>
      <c r="I133" s="13"/>
      <c r="J133" s="13"/>
      <c r="K133" s="8"/>
      <c r="L133" s="8"/>
      <c r="M133" s="8"/>
      <c r="N133" s="8"/>
      <c r="O133" s="8"/>
    </row>
    <row r="134" spans="1:15" x14ac:dyDescent="0.2">
      <c r="A134" s="4"/>
      <c r="B134" s="8"/>
      <c r="D134" s="8"/>
      <c r="E134" s="8"/>
      <c r="F134" s="8"/>
      <c r="G134" s="8"/>
      <c r="H134" s="8"/>
      <c r="I134" s="13"/>
      <c r="J134" s="13"/>
      <c r="K134" s="8"/>
      <c r="L134" s="8"/>
      <c r="M134" s="8"/>
      <c r="N134" s="8"/>
      <c r="O134" s="8"/>
    </row>
    <row r="135" spans="1:15" x14ac:dyDescent="0.2">
      <c r="A135" s="5"/>
      <c r="B135" s="9"/>
      <c r="D135" s="9"/>
      <c r="E135" s="9"/>
      <c r="F135" s="9"/>
      <c r="G135" s="9"/>
      <c r="H135" s="9"/>
      <c r="I135" s="13"/>
      <c r="J135" s="13"/>
      <c r="K135" s="9"/>
      <c r="L135" s="9"/>
      <c r="M135" s="9"/>
      <c r="N135" s="9"/>
      <c r="O135" s="9"/>
    </row>
    <row r="136" spans="1:15" x14ac:dyDescent="0.2">
      <c r="A136" s="5"/>
      <c r="B136" s="9"/>
      <c r="D136" s="9"/>
      <c r="E136" s="9"/>
      <c r="F136" s="9"/>
      <c r="G136" s="9"/>
      <c r="H136" s="9"/>
      <c r="I136" s="13"/>
      <c r="J136" s="13"/>
      <c r="K136" s="9"/>
      <c r="L136" s="9"/>
      <c r="M136" s="9"/>
      <c r="N136" s="9"/>
      <c r="O136" s="9"/>
    </row>
    <row r="137" spans="1:15" x14ac:dyDescent="0.2">
      <c r="A137" s="5"/>
      <c r="B137" s="9"/>
      <c r="D137" s="9"/>
      <c r="E137" s="9"/>
      <c r="F137" s="9"/>
      <c r="G137" s="9"/>
      <c r="H137" s="9"/>
      <c r="I137" s="13"/>
      <c r="J137" s="13"/>
      <c r="K137" s="9"/>
      <c r="L137" s="9"/>
      <c r="M137" s="9"/>
      <c r="N137" s="9"/>
      <c r="O137" s="9"/>
    </row>
    <row r="138" spans="1:15" x14ac:dyDescent="0.2">
      <c r="A138" s="5"/>
      <c r="B138" s="9"/>
      <c r="D138" s="9"/>
      <c r="E138" s="9"/>
      <c r="F138" s="9"/>
      <c r="G138" s="9"/>
      <c r="H138" s="9"/>
      <c r="I138" s="13"/>
      <c r="J138" s="13"/>
      <c r="K138" s="9"/>
      <c r="L138" s="9"/>
      <c r="M138" s="9"/>
      <c r="N138" s="9"/>
      <c r="O138" s="9"/>
    </row>
    <row r="139" spans="1:15" x14ac:dyDescent="0.2">
      <c r="A139" s="5"/>
      <c r="B139" s="9"/>
      <c r="D139" s="9"/>
      <c r="E139" s="9"/>
      <c r="F139" s="9"/>
      <c r="G139" s="9"/>
      <c r="H139" s="9"/>
      <c r="I139" s="13"/>
      <c r="J139" s="13"/>
      <c r="K139" s="9"/>
      <c r="L139" s="9"/>
      <c r="M139" s="9"/>
      <c r="N139" s="9"/>
      <c r="O139" s="9"/>
    </row>
    <row r="140" spans="1:15" x14ac:dyDescent="0.2">
      <c r="A140" s="5"/>
      <c r="B140" s="9"/>
      <c r="D140" s="9"/>
      <c r="E140" s="9"/>
      <c r="F140" s="9"/>
      <c r="G140" s="9"/>
      <c r="H140" s="9"/>
      <c r="I140" s="13"/>
      <c r="J140" s="13"/>
      <c r="K140" s="9"/>
      <c r="L140" s="9"/>
      <c r="M140" s="9"/>
      <c r="N140" s="9"/>
      <c r="O140" s="9"/>
    </row>
    <row r="141" spans="1:15" x14ac:dyDescent="0.2">
      <c r="A141" s="5"/>
      <c r="B141" s="9"/>
      <c r="D141" s="9"/>
      <c r="E141" s="9"/>
      <c r="F141" s="9"/>
      <c r="G141" s="9"/>
      <c r="H141" s="9"/>
      <c r="I141" s="13"/>
      <c r="J141" s="13"/>
      <c r="K141" s="9"/>
      <c r="L141" s="9"/>
      <c r="M141" s="9"/>
      <c r="N141" s="9"/>
      <c r="O141" s="9"/>
    </row>
    <row r="142" spans="1:15" x14ac:dyDescent="0.2">
      <c r="A142" s="5"/>
      <c r="B142" s="9"/>
      <c r="D142" s="9"/>
      <c r="E142" s="9"/>
      <c r="F142" s="9"/>
      <c r="G142" s="9"/>
      <c r="H142" s="9"/>
      <c r="I142" s="13"/>
      <c r="J142" s="13"/>
      <c r="K142" s="9"/>
      <c r="L142" s="9"/>
      <c r="M142" s="9"/>
      <c r="N142" s="9"/>
      <c r="O142" s="9"/>
    </row>
    <row r="143" spans="1:15" x14ac:dyDescent="0.2">
      <c r="A143" s="5"/>
      <c r="B143" s="9"/>
      <c r="D143" s="9"/>
      <c r="E143" s="9"/>
      <c r="F143" s="9"/>
      <c r="G143" s="9"/>
      <c r="H143" s="9"/>
      <c r="I143" s="13"/>
      <c r="J143" s="13"/>
      <c r="K143" s="9"/>
      <c r="L143" s="9"/>
      <c r="M143" s="9"/>
      <c r="N143" s="9"/>
      <c r="O143" s="9"/>
    </row>
    <row r="144" spans="1:15" x14ac:dyDescent="0.2">
      <c r="A144" s="3"/>
      <c r="B144" s="7"/>
      <c r="D144" s="7"/>
      <c r="E144" s="7"/>
      <c r="F144" s="7"/>
      <c r="G144" s="7"/>
      <c r="H144" s="7"/>
      <c r="I144" s="13"/>
      <c r="J144" s="13"/>
      <c r="K144" s="7"/>
      <c r="L144" s="7"/>
      <c r="M144" s="7"/>
      <c r="N144" s="7"/>
      <c r="O144" s="7"/>
    </row>
    <row r="145" spans="1:15" x14ac:dyDescent="0.2">
      <c r="A145" s="3"/>
      <c r="B145" s="7"/>
      <c r="D145" s="7"/>
      <c r="E145" s="7"/>
      <c r="F145" s="7"/>
      <c r="G145" s="7"/>
      <c r="H145" s="7"/>
      <c r="I145" s="13"/>
      <c r="J145" s="13"/>
      <c r="K145" s="7"/>
      <c r="L145" s="7"/>
      <c r="M145" s="7"/>
      <c r="N145" s="7"/>
      <c r="O145" s="7"/>
    </row>
    <row r="146" spans="1:15" x14ac:dyDescent="0.2">
      <c r="A146" s="3"/>
      <c r="B146" s="7"/>
      <c r="D146" s="7"/>
      <c r="E146" s="7"/>
      <c r="F146" s="7"/>
      <c r="G146" s="7"/>
      <c r="H146" s="7"/>
      <c r="I146" s="13"/>
      <c r="J146" s="13"/>
      <c r="K146" s="7"/>
      <c r="L146" s="7"/>
      <c r="M146" s="7"/>
      <c r="N146" s="7"/>
      <c r="O146" s="7"/>
    </row>
    <row r="147" spans="1:15" x14ac:dyDescent="0.2">
      <c r="A147" s="3"/>
      <c r="B147" s="7"/>
      <c r="D147" s="7"/>
      <c r="E147" s="7"/>
      <c r="F147" s="7"/>
      <c r="G147" s="7"/>
      <c r="H147" s="7"/>
      <c r="I147" s="13"/>
      <c r="J147" s="13"/>
      <c r="K147" s="7"/>
      <c r="L147" s="7"/>
      <c r="M147" s="7"/>
      <c r="N147" s="7"/>
      <c r="O147" s="7"/>
    </row>
    <row r="148" spans="1:15" x14ac:dyDescent="0.2">
      <c r="A148" s="3"/>
      <c r="B148" s="7"/>
      <c r="D148" s="7"/>
      <c r="E148" s="7"/>
      <c r="F148" s="7"/>
      <c r="G148" s="7"/>
      <c r="H148" s="7"/>
      <c r="I148" s="13"/>
      <c r="J148" s="13"/>
      <c r="K148" s="7"/>
      <c r="L148" s="7"/>
      <c r="M148" s="7"/>
      <c r="N148" s="7"/>
      <c r="O148" s="7"/>
    </row>
    <row r="149" spans="1:15" x14ac:dyDescent="0.2">
      <c r="A149" s="3"/>
      <c r="B149" s="7"/>
      <c r="D149" s="7"/>
      <c r="E149" s="7"/>
      <c r="F149" s="7"/>
      <c r="G149" s="7"/>
      <c r="H149" s="7"/>
      <c r="I149" s="13"/>
      <c r="J149" s="13"/>
      <c r="K149" s="7"/>
      <c r="L149" s="7"/>
      <c r="M149" s="7"/>
      <c r="N149" s="7"/>
      <c r="O149" s="7"/>
    </row>
    <row r="150" spans="1:15" x14ac:dyDescent="0.2">
      <c r="A150" s="3"/>
      <c r="B150" s="7"/>
      <c r="D150" s="7"/>
      <c r="E150" s="7"/>
      <c r="F150" s="7"/>
      <c r="G150" s="7"/>
      <c r="H150" s="7"/>
      <c r="I150" s="13"/>
      <c r="J150" s="13"/>
      <c r="K150" s="7"/>
      <c r="L150" s="7"/>
      <c r="M150" s="7"/>
      <c r="N150" s="7"/>
      <c r="O150" s="7"/>
    </row>
    <row r="151" spans="1:15" x14ac:dyDescent="0.2">
      <c r="A151" s="3"/>
      <c r="B151" s="7"/>
      <c r="D151" s="7"/>
      <c r="E151" s="7"/>
      <c r="F151" s="7"/>
      <c r="G151" s="7"/>
      <c r="H151" s="7"/>
      <c r="I151" s="13"/>
      <c r="J151" s="13"/>
      <c r="K151" s="7"/>
      <c r="L151" s="7"/>
      <c r="M151" s="7"/>
      <c r="N151" s="7"/>
      <c r="O151" s="7"/>
    </row>
    <row r="152" spans="1:15" x14ac:dyDescent="0.2">
      <c r="A152" s="3"/>
      <c r="B152" s="7"/>
      <c r="D152" s="7"/>
      <c r="E152" s="7"/>
      <c r="F152" s="7"/>
      <c r="G152" s="7"/>
      <c r="H152" s="7"/>
      <c r="I152" s="13"/>
      <c r="J152" s="13"/>
      <c r="K152" s="7"/>
      <c r="L152" s="7"/>
      <c r="M152" s="7"/>
      <c r="N152" s="7"/>
      <c r="O152" s="7"/>
    </row>
    <row r="153" spans="1:15" x14ac:dyDescent="0.2">
      <c r="A153" s="4"/>
      <c r="B153" s="8"/>
      <c r="D153" s="8"/>
      <c r="E153" s="8"/>
      <c r="F153" s="8"/>
      <c r="G153" s="8"/>
      <c r="H153" s="8"/>
      <c r="I153" s="13"/>
      <c r="J153" s="13"/>
      <c r="K153" s="8"/>
      <c r="L153" s="8"/>
      <c r="M153" s="8"/>
      <c r="N153" s="8"/>
      <c r="O153" s="8"/>
    </row>
    <row r="154" spans="1:15" x14ac:dyDescent="0.2">
      <c r="A154" s="4"/>
      <c r="B154" s="8"/>
      <c r="D154" s="8"/>
      <c r="E154" s="8"/>
      <c r="F154" s="8"/>
      <c r="G154" s="8"/>
      <c r="H154" s="8"/>
      <c r="I154" s="13"/>
      <c r="J154" s="13"/>
      <c r="K154" s="8"/>
      <c r="L154" s="8"/>
      <c r="M154" s="8"/>
      <c r="N154" s="8"/>
      <c r="O154" s="8"/>
    </row>
    <row r="155" spans="1:15" x14ac:dyDescent="0.2">
      <c r="A155" s="4"/>
      <c r="B155" s="8"/>
      <c r="D155" s="8"/>
      <c r="E155" s="8"/>
      <c r="F155" s="8"/>
      <c r="G155" s="8"/>
      <c r="H155" s="8"/>
      <c r="I155" s="13"/>
      <c r="J155" s="13"/>
      <c r="K155" s="8"/>
      <c r="L155" s="8"/>
      <c r="M155" s="8"/>
      <c r="N155" s="8"/>
      <c r="O155" s="8"/>
    </row>
    <row r="156" spans="1:15" x14ac:dyDescent="0.2">
      <c r="A156" s="4"/>
      <c r="B156" s="8"/>
      <c r="D156" s="8"/>
      <c r="E156" s="8"/>
      <c r="F156" s="8"/>
      <c r="G156" s="8"/>
      <c r="H156" s="8"/>
      <c r="I156" s="13"/>
      <c r="J156" s="13"/>
      <c r="K156" s="8"/>
      <c r="L156" s="8"/>
      <c r="M156" s="8"/>
      <c r="N156" s="8"/>
      <c r="O156" s="8"/>
    </row>
    <row r="157" spans="1:15" x14ac:dyDescent="0.2">
      <c r="A157" s="4"/>
      <c r="B157" s="8"/>
      <c r="D157" s="8"/>
      <c r="E157" s="8"/>
      <c r="F157" s="8"/>
      <c r="G157" s="8"/>
      <c r="H157" s="8"/>
      <c r="I157" s="13"/>
      <c r="J157" s="13"/>
      <c r="K157" s="8"/>
      <c r="L157" s="8"/>
      <c r="M157" s="8"/>
      <c r="N157" s="8"/>
      <c r="O157" s="8"/>
    </row>
    <row r="158" spans="1:15" x14ac:dyDescent="0.2">
      <c r="A158" s="4"/>
      <c r="B158" s="8"/>
      <c r="D158" s="8"/>
      <c r="E158" s="8"/>
      <c r="F158" s="8"/>
      <c r="G158" s="8"/>
      <c r="H158" s="8"/>
      <c r="I158" s="13"/>
      <c r="J158" s="13"/>
      <c r="K158" s="8"/>
      <c r="L158" s="8"/>
      <c r="M158" s="8"/>
      <c r="N158" s="8"/>
      <c r="O158" s="8"/>
    </row>
    <row r="159" spans="1:15" x14ac:dyDescent="0.2">
      <c r="A159" s="4"/>
      <c r="B159" s="8"/>
      <c r="D159" s="8"/>
      <c r="E159" s="8"/>
      <c r="F159" s="8"/>
      <c r="G159" s="8"/>
      <c r="H159" s="8"/>
      <c r="I159" s="13"/>
      <c r="J159" s="13"/>
      <c r="K159" s="8"/>
      <c r="L159" s="8"/>
      <c r="M159" s="8"/>
      <c r="N159" s="8"/>
      <c r="O159" s="8"/>
    </row>
    <row r="160" spans="1:15" x14ac:dyDescent="0.2">
      <c r="A160" s="4"/>
      <c r="B160" s="8"/>
      <c r="D160" s="8"/>
      <c r="E160" s="8"/>
      <c r="F160" s="8"/>
      <c r="G160" s="8"/>
      <c r="H160" s="8"/>
      <c r="I160" s="13"/>
      <c r="J160" s="13"/>
      <c r="K160" s="8"/>
      <c r="L160" s="8"/>
      <c r="M160" s="8"/>
      <c r="N160" s="8"/>
      <c r="O160" s="8"/>
    </row>
    <row r="161" spans="1:15" x14ac:dyDescent="0.2">
      <c r="A161" s="4"/>
      <c r="B161" s="8"/>
      <c r="D161" s="8"/>
      <c r="E161" s="8"/>
      <c r="F161" s="8"/>
      <c r="G161" s="8"/>
      <c r="H161" s="8"/>
      <c r="I161" s="13"/>
      <c r="J161" s="13"/>
      <c r="K161" s="8"/>
      <c r="L161" s="8"/>
      <c r="M161" s="8"/>
      <c r="N161" s="8"/>
      <c r="O161" s="8"/>
    </row>
    <row r="162" spans="1:15" x14ac:dyDescent="0.2">
      <c r="A162" s="5"/>
      <c r="B162" s="9"/>
      <c r="D162" s="9"/>
      <c r="E162" s="9"/>
      <c r="F162" s="9"/>
      <c r="G162" s="9"/>
      <c r="H162" s="9"/>
      <c r="I162" s="13"/>
      <c r="J162" s="13"/>
      <c r="K162" s="9"/>
      <c r="L162" s="9"/>
      <c r="M162" s="9"/>
      <c r="N162" s="9"/>
      <c r="O162" s="9"/>
    </row>
    <row r="163" spans="1:15" x14ac:dyDescent="0.2">
      <c r="A163" s="5"/>
      <c r="B163" s="9"/>
      <c r="D163" s="9"/>
      <c r="E163" s="9"/>
      <c r="F163" s="9"/>
      <c r="G163" s="9"/>
      <c r="H163" s="9"/>
      <c r="I163" s="13"/>
      <c r="J163" s="13"/>
      <c r="K163" s="9"/>
      <c r="L163" s="9"/>
      <c r="M163" s="9"/>
      <c r="N163" s="9"/>
      <c r="O163" s="9"/>
    </row>
    <row r="164" spans="1:15" x14ac:dyDescent="0.2">
      <c r="A164" s="5"/>
      <c r="B164" s="9"/>
      <c r="D164" s="9"/>
      <c r="E164" s="9"/>
      <c r="F164" s="9"/>
      <c r="G164" s="9"/>
      <c r="H164" s="9"/>
      <c r="I164" s="13"/>
      <c r="J164" s="13"/>
      <c r="K164" s="9"/>
      <c r="L164" s="9"/>
      <c r="M164" s="9"/>
      <c r="N164" s="9"/>
      <c r="O164" s="9"/>
    </row>
    <row r="165" spans="1:15" x14ac:dyDescent="0.2">
      <c r="A165" s="5"/>
      <c r="B165" s="9"/>
      <c r="D165" s="9"/>
      <c r="E165" s="9"/>
      <c r="F165" s="9"/>
      <c r="G165" s="9"/>
      <c r="H165" s="9"/>
      <c r="I165" s="13"/>
      <c r="J165" s="13"/>
      <c r="K165" s="9"/>
      <c r="L165" s="9"/>
      <c r="M165" s="9"/>
      <c r="N165" s="9"/>
      <c r="O165" s="9"/>
    </row>
    <row r="166" spans="1:15" x14ac:dyDescent="0.2">
      <c r="A166" s="5"/>
      <c r="B166" s="9"/>
      <c r="D166" s="9"/>
      <c r="E166" s="9"/>
      <c r="F166" s="9"/>
      <c r="G166" s="9"/>
      <c r="H166" s="9"/>
      <c r="I166" s="13"/>
      <c r="J166" s="13"/>
      <c r="K166" s="9"/>
      <c r="L166" s="9"/>
      <c r="M166" s="9"/>
      <c r="N166" s="9"/>
      <c r="O166" s="9"/>
    </row>
    <row r="167" spans="1:15" x14ac:dyDescent="0.2">
      <c r="A167" s="5"/>
      <c r="B167" s="9"/>
      <c r="D167" s="9"/>
      <c r="E167" s="9"/>
      <c r="F167" s="9"/>
      <c r="G167" s="9"/>
      <c r="H167" s="9"/>
      <c r="I167" s="13"/>
      <c r="J167" s="13"/>
      <c r="K167" s="9"/>
      <c r="L167" s="9"/>
      <c r="M167" s="9"/>
      <c r="N167" s="9"/>
      <c r="O167" s="9"/>
    </row>
    <row r="168" spans="1:15" x14ac:dyDescent="0.2">
      <c r="A168" s="5"/>
      <c r="B168" s="9"/>
      <c r="D168" s="9"/>
      <c r="E168" s="9"/>
      <c r="F168" s="9"/>
      <c r="G168" s="9"/>
      <c r="H168" s="9"/>
      <c r="I168" s="13"/>
      <c r="J168" s="13"/>
      <c r="K168" s="9"/>
      <c r="L168" s="9"/>
      <c r="M168" s="9"/>
      <c r="N168" s="9"/>
      <c r="O168" s="9"/>
    </row>
    <row r="169" spans="1:15" x14ac:dyDescent="0.2">
      <c r="A169" s="5"/>
      <c r="B169" s="9"/>
      <c r="D169" s="9"/>
      <c r="E169" s="9"/>
      <c r="F169" s="9"/>
      <c r="G169" s="9"/>
      <c r="H169" s="9"/>
      <c r="I169" s="13"/>
      <c r="J169" s="13"/>
      <c r="K169" s="9"/>
      <c r="L169" s="9"/>
      <c r="M169" s="9"/>
      <c r="N169" s="9"/>
      <c r="O169" s="9"/>
    </row>
    <row r="170" spans="1:15" x14ac:dyDescent="0.2">
      <c r="A170" s="5"/>
      <c r="B170" s="9"/>
      <c r="D170" s="9"/>
      <c r="E170" s="9"/>
      <c r="F170" s="9"/>
      <c r="G170" s="9"/>
      <c r="H170" s="9"/>
      <c r="I170" s="13"/>
      <c r="J170" s="13"/>
      <c r="K170" s="9"/>
      <c r="L170" s="9"/>
      <c r="M170" s="9"/>
      <c r="N170" s="9"/>
      <c r="O170" s="9"/>
    </row>
    <row r="171" spans="1:15" x14ac:dyDescent="0.2">
      <c r="A171" s="3"/>
      <c r="B171" s="7"/>
      <c r="D171" s="7"/>
      <c r="E171" s="7"/>
      <c r="F171" s="7"/>
      <c r="G171" s="7"/>
      <c r="H171" s="7"/>
      <c r="I171" s="13"/>
      <c r="J171" s="13"/>
      <c r="K171" s="7"/>
      <c r="L171" s="7"/>
      <c r="M171" s="7"/>
      <c r="N171" s="7"/>
      <c r="O171" s="7"/>
    </row>
    <row r="172" spans="1:15" x14ac:dyDescent="0.2">
      <c r="A172" s="3"/>
      <c r="B172" s="7"/>
      <c r="D172" s="7"/>
      <c r="E172" s="7"/>
      <c r="F172" s="7"/>
      <c r="G172" s="7"/>
      <c r="H172" s="7"/>
      <c r="I172" s="13"/>
      <c r="J172" s="13"/>
      <c r="K172" s="7"/>
      <c r="L172" s="7"/>
      <c r="M172" s="7"/>
      <c r="N172" s="7"/>
      <c r="O172" s="7"/>
    </row>
    <row r="173" spans="1:15" x14ac:dyDescent="0.2">
      <c r="A173" s="3"/>
      <c r="B173" s="7"/>
      <c r="D173" s="7"/>
      <c r="E173" s="7"/>
      <c r="F173" s="7"/>
      <c r="G173" s="7"/>
      <c r="H173" s="7"/>
      <c r="I173" s="13"/>
      <c r="J173" s="13"/>
      <c r="K173" s="7"/>
      <c r="L173" s="7"/>
      <c r="M173" s="7"/>
      <c r="N173" s="7"/>
      <c r="O173" s="7"/>
    </row>
    <row r="174" spans="1:15" x14ac:dyDescent="0.2">
      <c r="A174" s="3"/>
      <c r="B174" s="7"/>
      <c r="D174" s="7"/>
      <c r="E174" s="7"/>
      <c r="F174" s="7"/>
      <c r="G174" s="7"/>
      <c r="H174" s="7"/>
      <c r="I174" s="13"/>
      <c r="J174" s="13"/>
      <c r="K174" s="7"/>
      <c r="L174" s="7"/>
      <c r="M174" s="7"/>
      <c r="N174" s="7"/>
      <c r="O174" s="7"/>
    </row>
    <row r="175" spans="1:15" x14ac:dyDescent="0.2">
      <c r="A175" s="3"/>
      <c r="B175" s="7"/>
      <c r="D175" s="7"/>
      <c r="E175" s="7"/>
      <c r="F175" s="7"/>
      <c r="G175" s="7"/>
      <c r="H175" s="7"/>
      <c r="I175" s="13"/>
      <c r="J175" s="13"/>
      <c r="K175" s="7"/>
      <c r="L175" s="7"/>
      <c r="M175" s="7"/>
      <c r="N175" s="7"/>
      <c r="O175" s="7"/>
    </row>
    <row r="176" spans="1:15" x14ac:dyDescent="0.2">
      <c r="A176" s="3"/>
      <c r="B176" s="7"/>
      <c r="D176" s="7"/>
      <c r="E176" s="7"/>
      <c r="F176" s="7"/>
      <c r="G176" s="7"/>
      <c r="H176" s="7"/>
      <c r="I176" s="13"/>
      <c r="J176" s="13"/>
      <c r="K176" s="7"/>
      <c r="L176" s="7"/>
      <c r="M176" s="7"/>
      <c r="N176" s="7"/>
      <c r="O176" s="7"/>
    </row>
    <row r="177" spans="1:15" x14ac:dyDescent="0.2">
      <c r="A177" s="3"/>
      <c r="B177" s="7"/>
      <c r="D177" s="7"/>
      <c r="E177" s="7"/>
      <c r="F177" s="7"/>
      <c r="G177" s="7"/>
      <c r="H177" s="7"/>
      <c r="I177" s="13"/>
      <c r="J177" s="13"/>
      <c r="K177" s="7"/>
      <c r="L177" s="7"/>
      <c r="M177" s="7"/>
      <c r="N177" s="7"/>
      <c r="O177" s="7"/>
    </row>
    <row r="178" spans="1:15" x14ac:dyDescent="0.2">
      <c r="A178" s="3"/>
      <c r="B178" s="7"/>
      <c r="D178" s="7"/>
      <c r="E178" s="7"/>
      <c r="F178" s="7"/>
      <c r="G178" s="7"/>
      <c r="H178" s="7"/>
      <c r="I178" s="13"/>
      <c r="J178" s="13"/>
      <c r="K178" s="7"/>
      <c r="L178" s="7"/>
      <c r="M178" s="7"/>
      <c r="N178" s="7"/>
      <c r="O178" s="7"/>
    </row>
    <row r="179" spans="1:15" x14ac:dyDescent="0.2">
      <c r="A179" s="3"/>
      <c r="B179" s="7"/>
      <c r="D179" s="7"/>
      <c r="E179" s="7"/>
      <c r="F179" s="7"/>
      <c r="G179" s="7"/>
      <c r="H179" s="7"/>
      <c r="I179" s="13"/>
      <c r="J179" s="13"/>
      <c r="K179" s="7"/>
      <c r="L179" s="7"/>
      <c r="M179" s="7"/>
      <c r="N179" s="7"/>
      <c r="O179" s="7"/>
    </row>
    <row r="180" spans="1:15" x14ac:dyDescent="0.2">
      <c r="A180" s="4"/>
      <c r="B180" s="8"/>
      <c r="D180" s="8"/>
      <c r="E180" s="8"/>
      <c r="F180" s="8"/>
      <c r="G180" s="8"/>
      <c r="H180" s="8"/>
      <c r="I180" s="13"/>
      <c r="J180" s="13"/>
      <c r="K180" s="8"/>
      <c r="L180" s="8"/>
      <c r="M180" s="8"/>
      <c r="N180" s="8"/>
      <c r="O180" s="8"/>
    </row>
    <row r="181" spans="1:15" x14ac:dyDescent="0.2">
      <c r="A181" s="4"/>
      <c r="B181" s="8"/>
      <c r="D181" s="8"/>
      <c r="E181" s="8"/>
      <c r="F181" s="8"/>
      <c r="G181" s="8"/>
      <c r="H181" s="8"/>
      <c r="I181" s="13"/>
      <c r="J181" s="13"/>
      <c r="K181" s="8"/>
      <c r="L181" s="8"/>
      <c r="M181" s="8"/>
      <c r="N181" s="8"/>
      <c r="O181" s="8"/>
    </row>
    <row r="182" spans="1:15" x14ac:dyDescent="0.2">
      <c r="A182" s="4"/>
      <c r="B182" s="8"/>
      <c r="D182" s="8"/>
      <c r="E182" s="8"/>
      <c r="F182" s="8"/>
      <c r="G182" s="8"/>
      <c r="H182" s="8"/>
      <c r="I182" s="13"/>
      <c r="J182" s="13"/>
      <c r="K182" s="8"/>
      <c r="L182" s="8"/>
      <c r="M182" s="8"/>
      <c r="N182" s="8"/>
      <c r="O182" s="8"/>
    </row>
    <row r="183" spans="1:15" x14ac:dyDescent="0.2">
      <c r="A183" s="4"/>
      <c r="B183" s="8"/>
      <c r="D183" s="8"/>
      <c r="E183" s="8"/>
      <c r="F183" s="8"/>
      <c r="G183" s="8"/>
      <c r="H183" s="8"/>
      <c r="I183" s="13"/>
      <c r="J183" s="13"/>
      <c r="K183" s="8"/>
      <c r="L183" s="8"/>
      <c r="M183" s="8"/>
      <c r="N183" s="8"/>
      <c r="O183" s="8"/>
    </row>
    <row r="184" spans="1:15" x14ac:dyDescent="0.2">
      <c r="A184" s="4"/>
      <c r="B184" s="8"/>
      <c r="D184" s="8"/>
      <c r="E184" s="8"/>
      <c r="F184" s="8"/>
      <c r="G184" s="8"/>
      <c r="H184" s="8"/>
      <c r="I184" s="13"/>
      <c r="J184" s="13"/>
      <c r="K184" s="8"/>
      <c r="L184" s="8"/>
      <c r="M184" s="8"/>
      <c r="N184" s="8"/>
      <c r="O184" s="8"/>
    </row>
    <row r="185" spans="1:15" x14ac:dyDescent="0.2">
      <c r="A185" s="4"/>
      <c r="B185" s="8"/>
      <c r="D185" s="8"/>
      <c r="E185" s="8"/>
      <c r="F185" s="8"/>
      <c r="G185" s="8"/>
      <c r="H185" s="8"/>
      <c r="I185" s="13"/>
      <c r="J185" s="13"/>
      <c r="K185" s="8"/>
      <c r="L185" s="8"/>
      <c r="M185" s="8"/>
      <c r="N185" s="8"/>
      <c r="O185" s="8"/>
    </row>
    <row r="186" spans="1:15" x14ac:dyDescent="0.2">
      <c r="A186" s="4"/>
      <c r="B186" s="8"/>
      <c r="D186" s="8"/>
      <c r="E186" s="8"/>
      <c r="F186" s="8"/>
      <c r="G186" s="8"/>
      <c r="H186" s="8"/>
      <c r="I186" s="13"/>
      <c r="J186" s="13"/>
      <c r="K186" s="8"/>
      <c r="L186" s="8"/>
      <c r="M186" s="8"/>
      <c r="N186" s="8"/>
      <c r="O186" s="8"/>
    </row>
    <row r="187" spans="1:15" x14ac:dyDescent="0.2">
      <c r="A187" s="4"/>
      <c r="B187" s="8"/>
      <c r="D187" s="8"/>
      <c r="E187" s="8"/>
      <c r="F187" s="8"/>
      <c r="G187" s="8"/>
      <c r="H187" s="8"/>
      <c r="I187" s="13"/>
      <c r="J187" s="13"/>
      <c r="K187" s="8"/>
      <c r="L187" s="8"/>
      <c r="M187" s="8"/>
      <c r="N187" s="8"/>
      <c r="O187" s="8"/>
    </row>
    <row r="188" spans="1:15" x14ac:dyDescent="0.2">
      <c r="A188" s="4"/>
      <c r="B188" s="8"/>
      <c r="D188" s="8"/>
      <c r="E188" s="8"/>
      <c r="F188" s="8"/>
      <c r="G188" s="8"/>
      <c r="H188" s="8"/>
      <c r="I188" s="13"/>
      <c r="J188" s="13"/>
      <c r="K188" s="8"/>
      <c r="L188" s="8"/>
      <c r="M188" s="8"/>
      <c r="N188" s="8"/>
      <c r="O188" s="8"/>
    </row>
    <row r="189" spans="1:15" x14ac:dyDescent="0.2">
      <c r="A189" s="4"/>
      <c r="B189" s="8"/>
      <c r="D189" s="8"/>
      <c r="E189" s="8"/>
      <c r="F189" s="8"/>
      <c r="G189" s="8"/>
      <c r="H189" s="8"/>
      <c r="I189" s="13"/>
      <c r="J189" s="13"/>
      <c r="K189" s="8"/>
      <c r="L189" s="8"/>
      <c r="M189" s="8"/>
      <c r="N189" s="8"/>
      <c r="O189" s="8"/>
    </row>
  </sheetData>
  <mergeCells count="12">
    <mergeCell ref="F88:H88"/>
    <mergeCell ref="F16:I16"/>
    <mergeCell ref="F21:I21"/>
    <mergeCell ref="F26:I26"/>
    <mergeCell ref="A46:C46"/>
    <mergeCell ref="A86:B86"/>
    <mergeCell ref="F41:I41"/>
    <mergeCell ref="F1:K1"/>
    <mergeCell ref="F6:I6"/>
    <mergeCell ref="F11:I11"/>
    <mergeCell ref="F31:I31"/>
    <mergeCell ref="F36:I3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6A4F8-B34C-0C4C-B9AA-3F8A7B0FA34C}">
  <sheetPr codeName="Sheet7"/>
  <dimension ref="A1:V189"/>
  <sheetViews>
    <sheetView tabSelected="1" topLeftCell="H56" zoomScale="120" zoomScaleNormal="120" workbookViewId="0">
      <selection activeCell="I73" sqref="I73"/>
    </sheetView>
  </sheetViews>
  <sheetFormatPr baseColWidth="10" defaultRowHeight="19" x14ac:dyDescent="0.2"/>
  <cols>
    <col min="1" max="1" width="30.83203125" style="1" customWidth="1"/>
    <col min="2" max="2" width="10.83203125" style="1" customWidth="1"/>
    <col min="3" max="3" width="30.83203125" style="1" customWidth="1"/>
    <col min="4" max="5" width="10.83203125" style="1" customWidth="1"/>
    <col min="6" max="6" width="30.83203125" style="1" customWidth="1"/>
    <col min="7" max="7" width="10.83203125" style="1" customWidth="1"/>
    <col min="8" max="8" width="30.83203125" style="1" customWidth="1"/>
    <col min="9" max="14" width="10.83203125" style="1" customWidth="1"/>
    <col min="15" max="15" width="30.83203125" style="1" customWidth="1"/>
    <col min="16" max="22" width="10.83203125" style="1" customWidth="1"/>
    <col min="23" max="36" width="30.83203125" style="1" customWidth="1"/>
    <col min="37" max="37" width="10.83203125" style="1"/>
    <col min="38" max="40" width="30.83203125" style="1" customWidth="1"/>
    <col min="41" max="41" width="10.83203125" style="1"/>
    <col min="42" max="44" width="30.83203125" style="1" customWidth="1"/>
    <col min="45" max="45" width="10.83203125" style="1"/>
    <col min="46" max="48" width="30.83203125" style="1" customWidth="1"/>
    <col min="49" max="16384" width="10.83203125" style="1"/>
  </cols>
  <sheetData>
    <row r="1" spans="6:15" ht="20" customHeight="1" x14ac:dyDescent="0.2">
      <c r="F1" s="42" t="s">
        <v>111</v>
      </c>
      <c r="G1" s="43"/>
      <c r="H1" s="43"/>
      <c r="I1" s="43"/>
      <c r="J1" s="43"/>
      <c r="K1" s="44"/>
      <c r="L1" s="22"/>
      <c r="M1" s="40" t="s">
        <v>173</v>
      </c>
      <c r="N1" s="39" t="s">
        <v>174</v>
      </c>
      <c r="O1" s="39" t="s">
        <v>175</v>
      </c>
    </row>
    <row r="2" spans="6:15" ht="20" x14ac:dyDescent="0.2">
      <c r="F2" s="4" t="s">
        <v>3</v>
      </c>
      <c r="G2" s="4"/>
      <c r="H2" s="4" t="s">
        <v>110</v>
      </c>
      <c r="I2" s="4" t="s">
        <v>1</v>
      </c>
      <c r="J2" s="4"/>
      <c r="K2" s="4" t="s">
        <v>2</v>
      </c>
      <c r="L2" s="23"/>
      <c r="M2" s="33">
        <v>1</v>
      </c>
      <c r="N2" s="34">
        <v>9</v>
      </c>
      <c r="O2" s="34" t="s">
        <v>179</v>
      </c>
    </row>
    <row r="3" spans="6:15" ht="20" x14ac:dyDescent="0.2">
      <c r="F3" s="4" t="s">
        <v>4</v>
      </c>
      <c r="G3" s="4"/>
      <c r="H3" s="33" t="s">
        <v>146</v>
      </c>
      <c r="I3" s="4">
        <v>0</v>
      </c>
      <c r="J3" s="4"/>
      <c r="K3" s="4">
        <v>0</v>
      </c>
      <c r="L3" s="23"/>
      <c r="M3" s="33">
        <v>5</v>
      </c>
      <c r="N3" s="34">
        <v>9</v>
      </c>
      <c r="O3" s="34" t="s">
        <v>180</v>
      </c>
    </row>
    <row r="4" spans="6:15" ht="20" x14ac:dyDescent="0.2">
      <c r="F4" s="4" t="s">
        <v>6</v>
      </c>
      <c r="G4" s="4"/>
      <c r="H4" s="33" t="s">
        <v>147</v>
      </c>
      <c r="I4" s="4">
        <v>1</v>
      </c>
      <c r="J4" s="4"/>
      <c r="K4" s="4">
        <v>0</v>
      </c>
      <c r="L4" s="23"/>
      <c r="M4" s="33">
        <v>9</v>
      </c>
      <c r="N4" s="34">
        <v>9</v>
      </c>
      <c r="O4" s="34" t="s">
        <v>181</v>
      </c>
    </row>
    <row r="5" spans="6:15" ht="20" x14ac:dyDescent="0.2">
      <c r="F5" s="4" t="s">
        <v>5</v>
      </c>
      <c r="G5" s="4"/>
      <c r="H5" s="33" t="s">
        <v>148</v>
      </c>
      <c r="I5" s="4">
        <v>2</v>
      </c>
      <c r="J5" s="4"/>
      <c r="K5" s="4">
        <v>0</v>
      </c>
      <c r="L5" s="23"/>
      <c r="M5" s="35">
        <v>13</v>
      </c>
      <c r="N5" s="36">
        <v>9</v>
      </c>
      <c r="O5" s="36" t="s">
        <v>176</v>
      </c>
    </row>
    <row r="6" spans="6:15" ht="19" customHeight="1" x14ac:dyDescent="0.2">
      <c r="F6" s="45" t="s">
        <v>112</v>
      </c>
      <c r="G6" s="46"/>
      <c r="H6" s="46"/>
      <c r="I6" s="47"/>
      <c r="J6" s="6"/>
      <c r="K6" s="5"/>
      <c r="L6" s="24"/>
      <c r="M6" s="35">
        <v>17</v>
      </c>
      <c r="N6" s="36">
        <v>9</v>
      </c>
      <c r="O6" s="36" t="s">
        <v>182</v>
      </c>
    </row>
    <row r="7" spans="6:15" ht="20" x14ac:dyDescent="0.2">
      <c r="F7" s="5" t="s">
        <v>3</v>
      </c>
      <c r="G7" s="5"/>
      <c r="H7" s="5" t="s">
        <v>110</v>
      </c>
      <c r="I7" s="5" t="s">
        <v>1</v>
      </c>
      <c r="J7" s="5"/>
      <c r="K7" s="5" t="s">
        <v>2</v>
      </c>
      <c r="L7" s="24"/>
      <c r="M7" s="35">
        <v>21</v>
      </c>
      <c r="N7" s="36">
        <v>9</v>
      </c>
      <c r="O7" s="36" t="s">
        <v>185</v>
      </c>
    </row>
    <row r="8" spans="6:15" ht="20" x14ac:dyDescent="0.2">
      <c r="F8" s="5" t="s">
        <v>19</v>
      </c>
      <c r="G8" s="5"/>
      <c r="H8" s="35" t="s">
        <v>149</v>
      </c>
      <c r="I8" s="5">
        <v>4</v>
      </c>
      <c r="J8" s="5"/>
      <c r="K8" s="5">
        <v>0</v>
      </c>
      <c r="L8" s="24"/>
      <c r="M8" s="37">
        <v>25</v>
      </c>
      <c r="N8" s="38">
        <v>9</v>
      </c>
      <c r="O8" s="38" t="s">
        <v>184</v>
      </c>
    </row>
    <row r="9" spans="6:15" ht="20" x14ac:dyDescent="0.2">
      <c r="F9" s="5" t="s">
        <v>15</v>
      </c>
      <c r="G9" s="5"/>
      <c r="H9" s="35" t="s">
        <v>150</v>
      </c>
      <c r="I9" s="5">
        <v>5</v>
      </c>
      <c r="J9" s="5"/>
      <c r="K9" s="5">
        <v>0</v>
      </c>
      <c r="L9" s="24"/>
      <c r="M9" s="37">
        <v>29</v>
      </c>
      <c r="N9" s="38">
        <v>9</v>
      </c>
      <c r="O9" s="38" t="s">
        <v>186</v>
      </c>
    </row>
    <row r="10" spans="6:15" ht="40" x14ac:dyDescent="0.2">
      <c r="F10" s="5" t="s">
        <v>16</v>
      </c>
      <c r="G10" s="5"/>
      <c r="H10" s="35" t="s">
        <v>151</v>
      </c>
      <c r="I10" s="5">
        <v>6</v>
      </c>
      <c r="J10" s="5"/>
      <c r="K10" s="5">
        <v>0</v>
      </c>
      <c r="L10" s="24"/>
      <c r="M10" s="37">
        <v>33</v>
      </c>
      <c r="N10" s="38">
        <v>9</v>
      </c>
      <c r="O10" s="38" t="s">
        <v>177</v>
      </c>
    </row>
    <row r="11" spans="6:15" ht="19" customHeight="1" x14ac:dyDescent="0.2">
      <c r="F11" s="48" t="s">
        <v>113</v>
      </c>
      <c r="G11" s="49"/>
      <c r="H11" s="49"/>
      <c r="I11" s="50"/>
      <c r="J11" s="2"/>
      <c r="K11" s="3"/>
      <c r="L11" s="20"/>
    </row>
    <row r="12" spans="6:15" ht="20" x14ac:dyDescent="0.2">
      <c r="F12" s="3" t="s">
        <v>3</v>
      </c>
      <c r="G12" s="3"/>
      <c r="H12" s="3" t="s">
        <v>110</v>
      </c>
      <c r="I12" s="3" t="s">
        <v>1</v>
      </c>
      <c r="J12" s="3"/>
      <c r="K12" s="3" t="s">
        <v>2</v>
      </c>
      <c r="L12" s="20"/>
    </row>
    <row r="13" spans="6:15" ht="20" x14ac:dyDescent="0.2">
      <c r="F13" s="3" t="s">
        <v>9</v>
      </c>
      <c r="G13" s="3"/>
      <c r="H13" s="37" t="s">
        <v>152</v>
      </c>
      <c r="I13" s="3">
        <v>8</v>
      </c>
      <c r="J13" s="3"/>
      <c r="K13" s="3">
        <v>0</v>
      </c>
      <c r="L13" s="20"/>
    </row>
    <row r="14" spans="6:15" ht="20" x14ac:dyDescent="0.2">
      <c r="F14" s="3" t="s">
        <v>10</v>
      </c>
      <c r="G14" s="3"/>
      <c r="H14" s="37" t="s">
        <v>153</v>
      </c>
      <c r="I14" s="3">
        <v>9</v>
      </c>
      <c r="J14" s="3"/>
      <c r="K14" s="3">
        <v>0</v>
      </c>
      <c r="L14" s="20"/>
    </row>
    <row r="15" spans="6:15" ht="20" x14ac:dyDescent="0.2">
      <c r="F15" s="3" t="s">
        <v>11</v>
      </c>
      <c r="G15" s="3"/>
      <c r="H15" s="37" t="s">
        <v>154</v>
      </c>
      <c r="I15" s="3">
        <v>10</v>
      </c>
      <c r="J15" s="3"/>
      <c r="K15" s="3">
        <v>0</v>
      </c>
      <c r="L15" s="20"/>
    </row>
    <row r="16" spans="6:15" ht="19" customHeight="1" x14ac:dyDescent="0.2">
      <c r="F16" s="42" t="s">
        <v>114</v>
      </c>
      <c r="G16" s="43"/>
      <c r="H16" s="43"/>
      <c r="I16" s="44"/>
      <c r="J16" s="21"/>
      <c r="K16" s="4"/>
      <c r="L16" s="23"/>
    </row>
    <row r="17" spans="6:12" ht="20" x14ac:dyDescent="0.2">
      <c r="F17" s="4" t="s">
        <v>3</v>
      </c>
      <c r="G17" s="4"/>
      <c r="H17" s="4" t="s">
        <v>110</v>
      </c>
      <c r="I17" s="4" t="s">
        <v>1</v>
      </c>
      <c r="J17" s="4"/>
      <c r="K17" s="4" t="s">
        <v>2</v>
      </c>
      <c r="L17" s="23"/>
    </row>
    <row r="18" spans="6:12" ht="20" x14ac:dyDescent="0.2">
      <c r="F18" s="4" t="s">
        <v>20</v>
      </c>
      <c r="G18" s="4"/>
      <c r="H18" s="33" t="s">
        <v>155</v>
      </c>
      <c r="I18" s="4">
        <v>12</v>
      </c>
      <c r="J18" s="4"/>
      <c r="K18" s="4">
        <v>0</v>
      </c>
      <c r="L18" s="23"/>
    </row>
    <row r="19" spans="6:12" ht="40" x14ac:dyDescent="0.2">
      <c r="F19" s="4" t="s">
        <v>22</v>
      </c>
      <c r="G19" s="4"/>
      <c r="H19" s="33" t="s">
        <v>156</v>
      </c>
      <c r="I19" s="4">
        <v>13</v>
      </c>
      <c r="J19" s="4"/>
      <c r="K19" s="4">
        <v>0</v>
      </c>
      <c r="L19" s="23"/>
    </row>
    <row r="20" spans="6:12" ht="20" x14ac:dyDescent="0.2">
      <c r="F20" s="4" t="s">
        <v>21</v>
      </c>
      <c r="G20" s="4"/>
      <c r="H20" s="33" t="s">
        <v>157</v>
      </c>
      <c r="I20" s="4">
        <v>14</v>
      </c>
      <c r="J20" s="4"/>
      <c r="K20" s="4">
        <v>0</v>
      </c>
      <c r="L20" s="23"/>
    </row>
    <row r="21" spans="6:12" ht="19" customHeight="1" x14ac:dyDescent="0.2">
      <c r="F21" s="45" t="s">
        <v>115</v>
      </c>
      <c r="G21" s="46"/>
      <c r="H21" s="46"/>
      <c r="I21" s="47"/>
      <c r="J21" s="6"/>
      <c r="K21" s="5"/>
      <c r="L21" s="24"/>
    </row>
    <row r="22" spans="6:12" ht="20" x14ac:dyDescent="0.2">
      <c r="F22" s="5" t="s">
        <v>3</v>
      </c>
      <c r="G22" s="5"/>
      <c r="H22" s="5" t="s">
        <v>110</v>
      </c>
      <c r="I22" s="5" t="s">
        <v>1</v>
      </c>
      <c r="J22" s="5"/>
      <c r="K22" s="5" t="s">
        <v>2</v>
      </c>
      <c r="L22" s="24"/>
    </row>
    <row r="23" spans="6:12" ht="20" x14ac:dyDescent="0.2">
      <c r="F23" s="5" t="s">
        <v>12</v>
      </c>
      <c r="G23" s="5"/>
      <c r="H23" s="35" t="s">
        <v>158</v>
      </c>
      <c r="I23" s="5">
        <v>16</v>
      </c>
      <c r="J23" s="5"/>
      <c r="K23" s="5">
        <v>0</v>
      </c>
      <c r="L23" s="24"/>
    </row>
    <row r="24" spans="6:12" ht="20" x14ac:dyDescent="0.2">
      <c r="F24" s="5" t="s">
        <v>13</v>
      </c>
      <c r="G24" s="5"/>
      <c r="H24" s="35" t="s">
        <v>159</v>
      </c>
      <c r="I24" s="5">
        <v>17</v>
      </c>
      <c r="J24" s="5"/>
      <c r="K24" s="5">
        <v>0</v>
      </c>
      <c r="L24" s="24"/>
    </row>
    <row r="25" spans="6:12" ht="20" x14ac:dyDescent="0.2">
      <c r="F25" s="5" t="s">
        <v>14</v>
      </c>
      <c r="G25" s="5"/>
      <c r="H25" s="35" t="s">
        <v>160</v>
      </c>
      <c r="I25" s="5">
        <v>18</v>
      </c>
      <c r="J25" s="5"/>
      <c r="K25" s="5">
        <v>0</v>
      </c>
      <c r="L25" s="24"/>
    </row>
    <row r="26" spans="6:12" ht="19" customHeight="1" x14ac:dyDescent="0.2">
      <c r="F26" s="48" t="s">
        <v>116</v>
      </c>
      <c r="G26" s="49"/>
      <c r="H26" s="49"/>
      <c r="I26" s="50"/>
      <c r="J26" s="2"/>
      <c r="K26" s="3"/>
      <c r="L26" s="20"/>
    </row>
    <row r="27" spans="6:12" ht="20" x14ac:dyDescent="0.2">
      <c r="F27" s="3" t="s">
        <v>3</v>
      </c>
      <c r="G27" s="3"/>
      <c r="H27" s="3" t="s">
        <v>110</v>
      </c>
      <c r="I27" s="3" t="s">
        <v>1</v>
      </c>
      <c r="J27" s="3"/>
      <c r="K27" s="3" t="s">
        <v>2</v>
      </c>
      <c r="L27" s="20"/>
    </row>
    <row r="28" spans="6:12" ht="60" x14ac:dyDescent="0.2">
      <c r="F28" s="3" t="s">
        <v>98</v>
      </c>
      <c r="G28" s="3"/>
      <c r="H28" s="37" t="s">
        <v>161</v>
      </c>
      <c r="I28" s="3">
        <v>20</v>
      </c>
      <c r="J28" s="3"/>
      <c r="K28" s="3">
        <v>0</v>
      </c>
      <c r="L28" s="20"/>
    </row>
    <row r="29" spans="6:12" ht="60" x14ac:dyDescent="0.2">
      <c r="F29" s="3" t="s">
        <v>26</v>
      </c>
      <c r="G29" s="3"/>
      <c r="H29" s="37" t="s">
        <v>162</v>
      </c>
      <c r="I29" s="3">
        <v>21</v>
      </c>
      <c r="J29" s="3"/>
      <c r="K29" s="3">
        <v>0</v>
      </c>
      <c r="L29" s="20"/>
    </row>
    <row r="30" spans="6:12" ht="40" x14ac:dyDescent="0.2">
      <c r="F30" s="3" t="s">
        <v>25</v>
      </c>
      <c r="G30" s="3"/>
      <c r="H30" s="37" t="s">
        <v>163</v>
      </c>
      <c r="I30" s="3">
        <v>22</v>
      </c>
      <c r="J30" s="3"/>
      <c r="K30" s="3">
        <v>0</v>
      </c>
      <c r="L30" s="20"/>
    </row>
    <row r="31" spans="6:12" ht="19" customHeight="1" x14ac:dyDescent="0.2">
      <c r="F31" s="42" t="s">
        <v>117</v>
      </c>
      <c r="G31" s="43"/>
      <c r="H31" s="43"/>
      <c r="I31" s="44"/>
      <c r="J31" s="21"/>
      <c r="K31" s="4"/>
      <c r="L31" s="23"/>
    </row>
    <row r="32" spans="6:12" ht="20" x14ac:dyDescent="0.2">
      <c r="F32" s="4" t="s">
        <v>3</v>
      </c>
      <c r="G32" s="4"/>
      <c r="H32" s="4" t="s">
        <v>110</v>
      </c>
      <c r="I32" s="4" t="s">
        <v>1</v>
      </c>
      <c r="J32" s="4"/>
      <c r="K32" s="4" t="s">
        <v>2</v>
      </c>
      <c r="L32" s="23"/>
    </row>
    <row r="33" spans="1:12" ht="40" x14ac:dyDescent="0.2">
      <c r="F33" s="4" t="s">
        <v>99</v>
      </c>
      <c r="G33" s="4"/>
      <c r="H33" s="33" t="s">
        <v>164</v>
      </c>
      <c r="I33" s="4">
        <v>24</v>
      </c>
      <c r="J33" s="4"/>
      <c r="K33" s="4">
        <v>0</v>
      </c>
      <c r="L33" s="23"/>
    </row>
    <row r="34" spans="1:12" ht="20" x14ac:dyDescent="0.2">
      <c r="F34" s="4" t="s">
        <v>100</v>
      </c>
      <c r="G34" s="4"/>
      <c r="H34" s="33" t="s">
        <v>165</v>
      </c>
      <c r="I34" s="4">
        <v>25</v>
      </c>
      <c r="J34" s="4"/>
      <c r="K34" s="4">
        <v>0</v>
      </c>
      <c r="L34" s="23"/>
    </row>
    <row r="35" spans="1:12" ht="20" x14ac:dyDescent="0.2">
      <c r="F35" s="4" t="s">
        <v>101</v>
      </c>
      <c r="G35" s="4"/>
      <c r="H35" s="33" t="s">
        <v>166</v>
      </c>
      <c r="I35" s="4">
        <v>26</v>
      </c>
      <c r="J35" s="4"/>
      <c r="K35" s="4">
        <v>0</v>
      </c>
      <c r="L35" s="23"/>
    </row>
    <row r="36" spans="1:12" ht="19" customHeight="1" x14ac:dyDescent="0.2">
      <c r="F36" s="45" t="s">
        <v>118</v>
      </c>
      <c r="G36" s="46"/>
      <c r="H36" s="46"/>
      <c r="I36" s="47"/>
      <c r="J36" s="6"/>
      <c r="K36" s="5"/>
      <c r="L36" s="24"/>
    </row>
    <row r="37" spans="1:12" ht="20" x14ac:dyDescent="0.2">
      <c r="F37" s="5" t="s">
        <v>3</v>
      </c>
      <c r="G37" s="5"/>
      <c r="H37" s="5" t="s">
        <v>110</v>
      </c>
      <c r="I37" s="5" t="s">
        <v>1</v>
      </c>
      <c r="J37" s="5"/>
      <c r="K37" s="5" t="s">
        <v>2</v>
      </c>
      <c r="L37" s="24"/>
    </row>
    <row r="38" spans="1:12" ht="20" x14ac:dyDescent="0.2">
      <c r="F38" s="5" t="s">
        <v>102</v>
      </c>
      <c r="G38" s="5"/>
      <c r="H38" s="35" t="s">
        <v>167</v>
      </c>
      <c r="I38" s="5">
        <v>28</v>
      </c>
      <c r="J38" s="5"/>
      <c r="K38" s="5">
        <v>0</v>
      </c>
      <c r="L38" s="24"/>
    </row>
    <row r="39" spans="1:12" ht="20" x14ac:dyDescent="0.2">
      <c r="F39" s="5" t="s">
        <v>103</v>
      </c>
      <c r="G39" s="5"/>
      <c r="H39" s="35" t="s">
        <v>168</v>
      </c>
      <c r="I39" s="5">
        <v>29</v>
      </c>
      <c r="J39" s="5"/>
      <c r="K39" s="5">
        <v>0</v>
      </c>
      <c r="L39" s="24"/>
    </row>
    <row r="40" spans="1:12" ht="20" x14ac:dyDescent="0.2">
      <c r="F40" s="5" t="s">
        <v>104</v>
      </c>
      <c r="G40" s="5"/>
      <c r="H40" s="35" t="s">
        <v>169</v>
      </c>
      <c r="I40" s="5">
        <v>30</v>
      </c>
      <c r="J40" s="5"/>
      <c r="K40" s="5">
        <v>0</v>
      </c>
      <c r="L40" s="24"/>
    </row>
    <row r="41" spans="1:12" ht="19" customHeight="1" x14ac:dyDescent="0.2">
      <c r="F41" s="55" t="s">
        <v>119</v>
      </c>
      <c r="G41" s="55"/>
      <c r="H41" s="55"/>
      <c r="I41" s="55"/>
      <c r="J41" s="2"/>
      <c r="K41" s="3"/>
      <c r="L41" s="20"/>
    </row>
    <row r="42" spans="1:12" ht="20" x14ac:dyDescent="0.2">
      <c r="F42" s="3" t="s">
        <v>3</v>
      </c>
      <c r="G42" s="3"/>
      <c r="H42" s="3" t="s">
        <v>110</v>
      </c>
      <c r="I42" s="3" t="s">
        <v>1</v>
      </c>
      <c r="J42" s="3"/>
      <c r="K42" s="3" t="s">
        <v>2</v>
      </c>
      <c r="L42" s="20"/>
    </row>
    <row r="43" spans="1:12" ht="20" x14ac:dyDescent="0.2">
      <c r="F43" s="3" t="s">
        <v>105</v>
      </c>
      <c r="G43" s="3"/>
      <c r="H43" s="37" t="s">
        <v>170</v>
      </c>
      <c r="I43" s="3">
        <v>32</v>
      </c>
      <c r="J43" s="3"/>
      <c r="K43" s="3">
        <v>0</v>
      </c>
      <c r="L43" s="20"/>
    </row>
    <row r="44" spans="1:12" ht="20" x14ac:dyDescent="0.2">
      <c r="F44" s="3" t="s">
        <v>106</v>
      </c>
      <c r="G44" s="3"/>
      <c r="H44" s="37" t="s">
        <v>171</v>
      </c>
      <c r="I44" s="3">
        <v>33</v>
      </c>
      <c r="J44" s="3"/>
      <c r="K44" s="3">
        <v>0</v>
      </c>
      <c r="L44" s="20"/>
    </row>
    <row r="45" spans="1:12" ht="20" x14ac:dyDescent="0.2">
      <c r="F45" s="3" t="s">
        <v>107</v>
      </c>
      <c r="G45" s="3"/>
      <c r="H45" s="37" t="s">
        <v>172</v>
      </c>
      <c r="I45" s="3">
        <v>34</v>
      </c>
      <c r="J45" s="3"/>
      <c r="K45" s="3">
        <v>0</v>
      </c>
      <c r="L45" s="20"/>
    </row>
    <row r="46" spans="1:12" ht="21" customHeight="1" x14ac:dyDescent="0.2">
      <c r="A46" s="52" t="s">
        <v>17</v>
      </c>
      <c r="B46" s="52"/>
      <c r="C46" s="52"/>
      <c r="D46" s="11"/>
      <c r="E46" s="11"/>
    </row>
    <row r="47" spans="1:12" ht="20" x14ac:dyDescent="0.2">
      <c r="A47" s="4" t="s">
        <v>3</v>
      </c>
      <c r="B47" s="4" t="s">
        <v>1</v>
      </c>
      <c r="C47" s="4" t="s">
        <v>2</v>
      </c>
    </row>
    <row r="48" spans="1:12" ht="20" x14ac:dyDescent="0.2">
      <c r="A48" s="4" t="s">
        <v>18</v>
      </c>
      <c r="B48" s="4">
        <v>0</v>
      </c>
      <c r="C48" s="4">
        <v>0</v>
      </c>
    </row>
    <row r="49" spans="1:22" ht="20" x14ac:dyDescent="0.2">
      <c r="A49" s="4" t="s">
        <v>129</v>
      </c>
      <c r="B49" s="4">
        <v>0</v>
      </c>
      <c r="C49" s="4">
        <v>1</v>
      </c>
    </row>
    <row r="50" spans="1:22" ht="20" x14ac:dyDescent="0.2">
      <c r="A50" s="4" t="s">
        <v>130</v>
      </c>
      <c r="B50" s="4">
        <v>0</v>
      </c>
      <c r="C50" s="4">
        <v>2</v>
      </c>
    </row>
    <row r="51" spans="1:22" ht="20" x14ac:dyDescent="0.2">
      <c r="A51" s="4" t="s">
        <v>131</v>
      </c>
      <c r="B51" s="4">
        <v>0</v>
      </c>
      <c r="C51" s="4">
        <v>3</v>
      </c>
    </row>
    <row r="52" spans="1:22" ht="20" x14ac:dyDescent="0.2">
      <c r="A52" s="4" t="s">
        <v>132</v>
      </c>
      <c r="B52" s="4">
        <v>0</v>
      </c>
      <c r="C52" s="4">
        <v>4</v>
      </c>
    </row>
    <row r="53" spans="1:22" ht="20" x14ac:dyDescent="0.2">
      <c r="A53" s="4" t="s">
        <v>133</v>
      </c>
      <c r="B53" s="4">
        <v>0</v>
      </c>
      <c r="C53" s="4">
        <v>5</v>
      </c>
    </row>
    <row r="54" spans="1:22" ht="20" x14ac:dyDescent="0.2">
      <c r="A54" s="4" t="s">
        <v>134</v>
      </c>
      <c r="B54" s="4">
        <v>0</v>
      </c>
      <c r="C54" s="4">
        <v>6</v>
      </c>
    </row>
    <row r="55" spans="1:22" ht="67" customHeight="1" x14ac:dyDescent="0.2">
      <c r="A55" s="4" t="s">
        <v>135</v>
      </c>
      <c r="B55" s="4">
        <v>0</v>
      </c>
      <c r="C55" s="4">
        <v>7</v>
      </c>
    </row>
    <row r="56" spans="1:22" ht="78" customHeight="1" x14ac:dyDescent="0.2">
      <c r="A56" s="4" t="s">
        <v>136</v>
      </c>
      <c r="B56" s="4">
        <v>0</v>
      </c>
      <c r="C56" s="4">
        <v>8</v>
      </c>
    </row>
    <row r="57" spans="1:22" ht="90" customHeight="1" x14ac:dyDescent="0.2">
      <c r="T57" s="15"/>
      <c r="U57" s="15"/>
    </row>
    <row r="58" spans="1:22" ht="54" customHeight="1" x14ac:dyDescent="0.2">
      <c r="A58" s="2" t="s">
        <v>7</v>
      </c>
      <c r="C58" s="2" t="s">
        <v>120</v>
      </c>
      <c r="D58" s="2" t="s">
        <v>137</v>
      </c>
      <c r="E58" s="25" t="s">
        <v>121</v>
      </c>
      <c r="F58" s="2" t="s">
        <v>138</v>
      </c>
      <c r="G58" s="2" t="s">
        <v>122</v>
      </c>
      <c r="H58" s="2" t="s">
        <v>139</v>
      </c>
      <c r="I58" s="12"/>
      <c r="J58" s="2" t="s">
        <v>123</v>
      </c>
      <c r="K58" s="2" t="s">
        <v>140</v>
      </c>
      <c r="L58" s="29" t="s">
        <v>124</v>
      </c>
      <c r="M58" s="2" t="s">
        <v>141</v>
      </c>
      <c r="N58" s="29" t="s">
        <v>125</v>
      </c>
      <c r="O58" s="2" t="s">
        <v>142</v>
      </c>
      <c r="Q58" s="2" t="s">
        <v>126</v>
      </c>
      <c r="R58" s="2" t="s">
        <v>143</v>
      </c>
      <c r="S58" s="2" t="s">
        <v>128</v>
      </c>
      <c r="T58" s="2" t="s">
        <v>144</v>
      </c>
      <c r="U58" s="29" t="s">
        <v>127</v>
      </c>
      <c r="V58" s="2" t="s">
        <v>145</v>
      </c>
    </row>
    <row r="59" spans="1:22" x14ac:dyDescent="0.2">
      <c r="A59" s="4">
        <v>0</v>
      </c>
      <c r="C59" s="4">
        <v>0</v>
      </c>
      <c r="D59" s="4">
        <f>COUNTIFS(D90:D189, "=0",$B$90:$B$189, "&lt;2000")</f>
        <v>0</v>
      </c>
      <c r="E59" s="26">
        <v>4</v>
      </c>
      <c r="F59" s="4">
        <f>COUNTIFS(F90:F189, "=0",$B$90:$B$189, "&lt;2000")</f>
        <v>0</v>
      </c>
      <c r="G59" s="4">
        <v>8</v>
      </c>
      <c r="H59" s="4">
        <f>COUNTIFS(H90:H189, "=0",$B$90:$B$189, "&lt;2000")</f>
        <v>0</v>
      </c>
      <c r="I59" s="16"/>
      <c r="J59" s="4">
        <v>12</v>
      </c>
      <c r="K59" s="4">
        <f>COUNTIFS(K90:K189, "=0",$B$90:$B$189, "&lt;2000")</f>
        <v>2</v>
      </c>
      <c r="L59" s="30">
        <v>16</v>
      </c>
      <c r="M59" s="4">
        <f>COUNTIFS(M90:M189, "=0",$B$90:$B$189, "&lt;2000")</f>
        <v>0</v>
      </c>
      <c r="N59" s="30">
        <v>20</v>
      </c>
      <c r="O59" s="4">
        <f>COUNTIFS(O90:O189, "=0",$B$90:$B$189, "&lt;2000")</f>
        <v>0</v>
      </c>
      <c r="Q59" s="4">
        <v>24</v>
      </c>
      <c r="R59" s="4">
        <f>COUNTIFS(R90:R189, "=0",$B$90:$B$189, "&lt;2000")</f>
        <v>2</v>
      </c>
      <c r="S59" s="30">
        <v>28</v>
      </c>
      <c r="T59" s="4">
        <f>COUNTIFS(T90:T189, "=0",$B$90:$B$189, "&lt;2000")</f>
        <v>2</v>
      </c>
      <c r="U59" s="30">
        <v>32</v>
      </c>
      <c r="V59" s="4">
        <f>COUNTIFS(V90:V189, "=0",$B$90:$B$189, "&lt;2000")</f>
        <v>0</v>
      </c>
    </row>
    <row r="60" spans="1:22" x14ac:dyDescent="0.2">
      <c r="A60" s="4">
        <v>1</v>
      </c>
      <c r="C60" s="4">
        <v>0</v>
      </c>
      <c r="D60" s="4">
        <f>COUNTIFS(D90:D189, "=0",$B$90:$B$189, "&gt;=2000",$B$90:$B$189, "&lt;=2002")</f>
        <v>0</v>
      </c>
      <c r="E60" s="26">
        <v>4</v>
      </c>
      <c r="F60" s="4">
        <f>COUNTIFS(F90:F189, "=0",$B$90:$B$189, "&gt;=2000",$B$90:$B$189, "&lt;=2002")</f>
        <v>0</v>
      </c>
      <c r="G60" s="4">
        <v>8</v>
      </c>
      <c r="H60" s="4">
        <f>COUNTIFS(H90:H189, "=0",$B$90:$B$189, "&gt;=2000",$B$90:$B$189, "&lt;=2002")</f>
        <v>0</v>
      </c>
      <c r="I60" s="16"/>
      <c r="J60" s="4">
        <v>12</v>
      </c>
      <c r="K60" s="4">
        <f>COUNTIFS(K90:K189, "=0",$B$90:$B$189, "&gt;=2000",$B$90:$B$189, "&lt;=2002")</f>
        <v>5</v>
      </c>
      <c r="L60" s="30">
        <v>16</v>
      </c>
      <c r="M60" s="4">
        <f>COUNTIFS(M90:M189, "=0",$B$90:$B$189, "&gt;=2000",$B$90:$B$189, "&lt;=2002")</f>
        <v>0</v>
      </c>
      <c r="N60" s="30">
        <v>20</v>
      </c>
      <c r="O60" s="4">
        <f>COUNTIFS(O90:O189, "=0",$B$90:$B$189, "&gt;=2000",$B$90:$B$189, "&lt;=2002")</f>
        <v>0</v>
      </c>
      <c r="Q60" s="4">
        <v>24</v>
      </c>
      <c r="R60" s="4">
        <f>COUNTIFS(R90:R189, "=0",$B$90:$B$189, "&gt;=2000",$B$90:$B$189, "&lt;=2002")</f>
        <v>5</v>
      </c>
      <c r="S60" s="30">
        <v>28</v>
      </c>
      <c r="T60" s="4">
        <f>COUNTIFS(T90:T189, "=0",$B$90:$B$189, "&gt;=2000",$B$90:$B$189, "&lt;=2002")</f>
        <v>5</v>
      </c>
      <c r="U60" s="30">
        <v>32</v>
      </c>
      <c r="V60" s="4">
        <f>COUNTIFS(V90:V189, "=0",$B$90:$B$189, "&gt;=2000",$B$90:$B$189, "&lt;=2002")</f>
        <v>0</v>
      </c>
    </row>
    <row r="61" spans="1:22" x14ac:dyDescent="0.2">
      <c r="A61" s="4">
        <v>2</v>
      </c>
      <c r="C61" s="4">
        <v>0</v>
      </c>
      <c r="D61" s="4">
        <f>COUNTIFS(D90:D189, "=0",$B$90:$B$189, "&gt;=2003",$B$90:$B$189, "&lt;=2005")</f>
        <v>0</v>
      </c>
      <c r="E61" s="26">
        <v>4</v>
      </c>
      <c r="F61" s="4">
        <f>COUNTIFS(F90:F189, "=0",$B$90:$B$189, "&gt;=2003",$B$90:$B$189, "&lt;=2005")</f>
        <v>0</v>
      </c>
      <c r="G61" s="4">
        <v>8</v>
      </c>
      <c r="H61" s="4">
        <f>COUNTIFS(H90:H189, "=0",$B$90:$B$189, "&gt;=2003",$B$90:$B$189, "&lt;=2005")</f>
        <v>0</v>
      </c>
      <c r="I61" s="16"/>
      <c r="J61" s="4">
        <v>12</v>
      </c>
      <c r="K61" s="4">
        <f>COUNTIFS(K90:K189, "=0",$B$90:$B$189, "&gt;=2003",$B$90:$B$189, "&lt;=2005")</f>
        <v>6</v>
      </c>
      <c r="L61" s="30">
        <v>16</v>
      </c>
      <c r="M61" s="4">
        <f>COUNTIFS(M90:M189, "=0",$B$90:$B$189, "&gt;=2003",$B$90:$B$189, "&lt;=2005")</f>
        <v>0</v>
      </c>
      <c r="N61" s="30">
        <v>20</v>
      </c>
      <c r="O61" s="4">
        <f>COUNTIFS(O90:O189, "=0",$B$90:$B$189, "&gt;=2003",$B$90:$B$189, "&lt;=2005")</f>
        <v>0</v>
      </c>
      <c r="Q61" s="4">
        <v>24</v>
      </c>
      <c r="R61" s="4">
        <f>COUNTIFS(R90:R189, "=0",$B$90:$B$189, "&gt;=2003",$B$90:$B$189, "&lt;=2005")</f>
        <v>6</v>
      </c>
      <c r="S61" s="30">
        <v>28</v>
      </c>
      <c r="T61" s="4">
        <f>COUNTIFS(T90:T189, "=0",$B$90:$B$189, "&gt;=2003",$B$90:$B$189, "&lt;=2005")</f>
        <v>6</v>
      </c>
      <c r="U61" s="30">
        <v>32</v>
      </c>
      <c r="V61" s="4">
        <f>COUNTIFS(V90:V189, "=0",$B$90:$B$189, "&gt;=2003",$B$90:$B$189, "&lt;=2005")</f>
        <v>0</v>
      </c>
    </row>
    <row r="62" spans="1:22" x14ac:dyDescent="0.2">
      <c r="A62" s="4">
        <v>3</v>
      </c>
      <c r="C62" s="4">
        <v>0</v>
      </c>
      <c r="D62" s="4">
        <f>COUNTIFS(D90:D189, "=0",$B$90:$B$189, "&gt;=2006",$B$90:$B$189, "&lt;=2008")</f>
        <v>0</v>
      </c>
      <c r="E62" s="26">
        <v>4</v>
      </c>
      <c r="F62" s="4">
        <f>COUNTIFS(F90:F189, "=0",$B$90:$B$189, "&gt;=2006",$B$90:$B$189, "&lt;=2008")</f>
        <v>0</v>
      </c>
      <c r="G62" s="4">
        <v>8</v>
      </c>
      <c r="H62" s="4">
        <f>COUNTIFS(H90:H189, "=0",$B$90:$B$189, "&gt;=2006",$B$90:$B$189, "&lt;=2008")</f>
        <v>0</v>
      </c>
      <c r="I62" s="16"/>
      <c r="J62" s="4">
        <v>12</v>
      </c>
      <c r="K62" s="4">
        <f>COUNTIFS(K90:K189, "=0",$B$90:$B$189, "&gt;=2006",$B$90:$B$189, "&lt;=2008")</f>
        <v>6</v>
      </c>
      <c r="L62" s="30">
        <v>16</v>
      </c>
      <c r="M62" s="4">
        <f>COUNTIFS(M90:M189, "=0",$B$90:$B$189, "&gt;=2006",$B$90:$B$189, "&lt;=2008")</f>
        <v>0</v>
      </c>
      <c r="N62" s="30">
        <v>20</v>
      </c>
      <c r="O62" s="4">
        <f>COUNTIFS(O90:O189, "=0",$B$90:$B$189, "&gt;=2006",$B$90:$B$189, "&lt;=2008")</f>
        <v>0</v>
      </c>
      <c r="Q62" s="4">
        <v>24</v>
      </c>
      <c r="R62" s="4">
        <f>COUNTIFS(R90:R189, "=0",$B$90:$B$189, "&gt;=2006",$B$90:$B$189, "&lt;=2008")</f>
        <v>6</v>
      </c>
      <c r="S62" s="30">
        <v>28</v>
      </c>
      <c r="T62" s="4">
        <f>COUNTIFS(T90:T189, "=0",$B$90:$B$189, "&gt;=2006",$B$90:$B$189, "&lt;=2008")</f>
        <v>6</v>
      </c>
      <c r="U62" s="30">
        <v>32</v>
      </c>
      <c r="V62" s="4">
        <f>COUNTIFS(V90:V189, "=0",$B$90:$B$189, "&gt;=2006",$B$90:$B$189, "&lt;=2008")</f>
        <v>0</v>
      </c>
    </row>
    <row r="63" spans="1:22" x14ac:dyDescent="0.2">
      <c r="A63" s="4">
        <v>4</v>
      </c>
      <c r="C63" s="4">
        <v>0</v>
      </c>
      <c r="D63" s="4">
        <f>COUNTIFS(D90:D189, "=0",$B$90:$B$189, "&gt;=2009",$B$90:$B$189, "&lt;=2011")</f>
        <v>0</v>
      </c>
      <c r="E63" s="26">
        <v>4</v>
      </c>
      <c r="F63" s="4">
        <f>COUNTIFS(F90:F189, "=0",$B$90:$B$189, "&gt;=2009",$B$90:$B$189, "&lt;=2011")</f>
        <v>0</v>
      </c>
      <c r="G63" s="4">
        <v>8</v>
      </c>
      <c r="H63" s="4">
        <f>COUNTIFS(H90:H189, "=0",$B$90:$B$189, "&gt;=2009",$B$90:$B$189, "&lt;=2011")</f>
        <v>0</v>
      </c>
      <c r="I63" s="16"/>
      <c r="J63" s="4">
        <v>12</v>
      </c>
      <c r="K63" s="4">
        <f>COUNTIFS(K90:K189, "=0",$B$90:$B$189, "&gt;=2009",$B$90:$B$189, "&lt;=2011")</f>
        <v>7</v>
      </c>
      <c r="L63" s="30">
        <v>16</v>
      </c>
      <c r="M63" s="4">
        <f>COUNTIFS(M90:M189, "=0",$B$90:$B$189, "&gt;=2009",$B$90:$B$189, "&lt;=2011")</f>
        <v>0</v>
      </c>
      <c r="N63" s="30">
        <v>20</v>
      </c>
      <c r="O63" s="4">
        <f>COUNTIFS(O90:O189, "=0",$B$90:$B$189, "&gt;=2009",$B$90:$B$189, "&lt;=2011")</f>
        <v>0</v>
      </c>
      <c r="Q63" s="4">
        <v>24</v>
      </c>
      <c r="R63" s="4">
        <f>COUNTIFS(R90:R189, "=0",$B$90:$B$189, "&gt;=2009",$B$90:$B$189, "&lt;=2011")</f>
        <v>7</v>
      </c>
      <c r="S63" s="30">
        <v>28</v>
      </c>
      <c r="T63" s="4">
        <f>COUNTIFS(T90:T189, "=0",$B$90:$B$189, "&gt;=2009",$B$90:$B$189, "&lt;=2011")</f>
        <v>3</v>
      </c>
      <c r="U63" s="30">
        <v>32</v>
      </c>
      <c r="V63" s="4">
        <f>COUNTIFS(V90:V189, "=0",$B$90:$B$189, "&gt;=2009",$B$90:$B$189, "&lt;=2011")</f>
        <v>0</v>
      </c>
    </row>
    <row r="64" spans="1:22" x14ac:dyDescent="0.2">
      <c r="A64" s="4">
        <v>5</v>
      </c>
      <c r="C64" s="4">
        <v>0</v>
      </c>
      <c r="D64" s="4">
        <f>COUNTIFS(D90:D189, "=0",$B$90:$B$189, "&gt;=2012",$B$90:$B$189, "&lt;=2014")</f>
        <v>0</v>
      </c>
      <c r="E64" s="26">
        <v>4</v>
      </c>
      <c r="F64" s="4">
        <f>COUNTIFS(F90:F189, "=0",$B$90:$B$189, "&gt;=2012",$B$90:$B$189, "&lt;=2014")</f>
        <v>0</v>
      </c>
      <c r="G64" s="4">
        <v>8</v>
      </c>
      <c r="H64" s="4">
        <f>COUNTIFS(H90:H189, "=0",$B$90:$B$189, "&gt;=2012",$B$90:$B$189, "&lt;=2014")</f>
        <v>0</v>
      </c>
      <c r="I64" s="16"/>
      <c r="J64" s="4">
        <v>12</v>
      </c>
      <c r="K64" s="4">
        <f>COUNTIFS(K90:K189, "=0",$B$90:$B$189, "&gt;=2012",$B$90:$B$189, "&lt;=2014")</f>
        <v>6</v>
      </c>
      <c r="L64" s="30">
        <v>16</v>
      </c>
      <c r="M64" s="4">
        <f>COUNTIFS(M90:M189, "=0",$B$90:$B$189, "&gt;=2012",$B$90:$B$189, "&lt;=2014")</f>
        <v>0</v>
      </c>
      <c r="N64" s="30">
        <v>20</v>
      </c>
      <c r="O64" s="4">
        <f>COUNTIFS(O90:O189, "=0",$B$90:$B$189, "&gt;=2012",$B$90:$B$189, "&lt;=2014")</f>
        <v>0</v>
      </c>
      <c r="Q64" s="4">
        <v>24</v>
      </c>
      <c r="R64" s="4">
        <f>COUNTIFS(R90:R189, "=0",$B$90:$B$189, "&gt;=2012",$B$90:$B$189, "&lt;=2014")</f>
        <v>6</v>
      </c>
      <c r="S64" s="30">
        <v>28</v>
      </c>
      <c r="T64" s="4">
        <f>COUNTIFS(T90:T189, "=0",$B$90:$B$189, "&gt;=2012",$B$90:$B$189, "&lt;=2014")</f>
        <v>0</v>
      </c>
      <c r="U64" s="30">
        <v>32</v>
      </c>
      <c r="V64" s="4">
        <f>COUNTIFS(V90:V189, "=0",$B$90:$B$189, "&gt;=2012",$B$90:$B$189, "&lt;=2014")</f>
        <v>0</v>
      </c>
    </row>
    <row r="65" spans="1:22" x14ac:dyDescent="0.2">
      <c r="A65" s="4">
        <v>6</v>
      </c>
      <c r="C65" s="4">
        <v>0</v>
      </c>
      <c r="D65" s="4">
        <f>COUNTIFS(D90:D189, "=0",$B$90:$B$189, "&gt;=2015",$B$90:$B$189, "&lt;=2017")</f>
        <v>0</v>
      </c>
      <c r="E65" s="26">
        <v>4</v>
      </c>
      <c r="F65" s="4">
        <f>COUNTIFS(F90:F189, "=0",$B$90:$B$189, "&gt;=2015",$B$90:$B$189, "&lt;=2017")</f>
        <v>0</v>
      </c>
      <c r="G65" s="4">
        <v>8</v>
      </c>
      <c r="H65" s="4">
        <f>COUNTIFS(H90:H189, "=0",$B$90:$B$189, "&gt;=2015",$B$90:$B$189, "&lt;=2017")</f>
        <v>0</v>
      </c>
      <c r="I65" s="16"/>
      <c r="J65" s="4">
        <v>12</v>
      </c>
      <c r="K65" s="4">
        <f>COUNTIFS(K90:K189, "=0",$B$90:$B$189, "&gt;=2015",$B$90:$B$189, "&lt;=2017")</f>
        <v>1</v>
      </c>
      <c r="L65" s="30">
        <v>16</v>
      </c>
      <c r="M65" s="4">
        <f>COUNTIFS(M90:M189, "=0",$B$90:$B$189, "&gt;=2015",$B$90:$B$189, "&lt;=2017")</f>
        <v>0</v>
      </c>
      <c r="N65" s="30">
        <v>20</v>
      </c>
      <c r="O65" s="4">
        <f>COUNTIFS(O90:O189, "=0",$B$90:$B$189, "&gt;=2015",$B$90:$B$189, "&lt;=2017")</f>
        <v>0</v>
      </c>
      <c r="Q65" s="4">
        <v>24</v>
      </c>
      <c r="R65" s="4">
        <f>COUNTIFS(R90:R189, "=0",$B$90:$B$189, "&gt;=2015",$B$90:$B$189, "&lt;=2017")</f>
        <v>1</v>
      </c>
      <c r="S65" s="30">
        <v>28</v>
      </c>
      <c r="T65" s="4">
        <f>COUNTIFS(T90:T189, "=0",$B$90:$B$189, "&gt;=2015",$B$90:$B$189, "&lt;=2017")</f>
        <v>0</v>
      </c>
      <c r="U65" s="30">
        <v>32</v>
      </c>
      <c r="V65" s="4">
        <f>COUNTIFS(V90:V189, "=0",$B$90:$B$189, "&gt;=2015",$B$90:$B$189, "&lt;=2017")</f>
        <v>0</v>
      </c>
    </row>
    <row r="66" spans="1:22" x14ac:dyDescent="0.2">
      <c r="A66" s="4">
        <v>7</v>
      </c>
      <c r="C66" s="4">
        <v>0</v>
      </c>
      <c r="D66" s="4">
        <f>COUNTIFS(D90:D189, "=0",$B$90:$B$189, "&gt;=2018",$B$90:$B$189, "&lt;=2020")</f>
        <v>0</v>
      </c>
      <c r="E66" s="26">
        <v>4</v>
      </c>
      <c r="F66" s="4">
        <f>COUNTIFS(F90:F189, "=0",$B$90:$B$189, "&gt;=2018",$B$90:$B$189, "&lt;=2020")</f>
        <v>0</v>
      </c>
      <c r="G66" s="4">
        <v>8</v>
      </c>
      <c r="H66" s="4">
        <f>COUNTIFS(H90:H189, "=0",$B$90:$B$189, "&gt;=2018",$B$90:$B$189, "&lt;=2020")</f>
        <v>0</v>
      </c>
      <c r="I66" s="16"/>
      <c r="J66" s="4">
        <v>12</v>
      </c>
      <c r="K66" s="4">
        <f>COUNTIFS(K90:K189, "=0",$B$90:$B$189, "&gt;=2018",$B$90:$B$189, "&lt;=2020")</f>
        <v>1</v>
      </c>
      <c r="L66" s="30">
        <v>16</v>
      </c>
      <c r="M66" s="4">
        <f>COUNTIFS(M90:M189, "=0",$B$90:$B$189, "&gt;=2018",$B$90:$B$189, "&lt;=2020")</f>
        <v>0</v>
      </c>
      <c r="N66" s="30">
        <v>20</v>
      </c>
      <c r="O66" s="4">
        <f>COUNTIFS(O90:O189, "=0",$B$90:$B$189, "&gt;=2018",$B$90:$B$189, "&lt;=2020")</f>
        <v>0</v>
      </c>
      <c r="Q66" s="4">
        <v>24</v>
      </c>
      <c r="R66" s="4">
        <f>COUNTIFS(R90:R189, "=0",$B$90:$B$189, "&gt;=2018",$B$90:$B$189, "&lt;=2020")</f>
        <v>1</v>
      </c>
      <c r="S66" s="30">
        <v>28</v>
      </c>
      <c r="T66" s="4">
        <f>COUNTIFS(T90:T189, "=0",$B$90:$B$189, "&gt;=2018",$B$90:$B$189, "&lt;=2020")</f>
        <v>0</v>
      </c>
      <c r="U66" s="30">
        <v>32</v>
      </c>
      <c r="V66" s="4">
        <f>COUNTIFS(V90:V189, "=0",$B$90:$B$189, "&gt;=2018",$B$90:$B$189, "&lt;=2020")</f>
        <v>0</v>
      </c>
    </row>
    <row r="67" spans="1:22" x14ac:dyDescent="0.2">
      <c r="A67" s="4">
        <v>8</v>
      </c>
      <c r="C67" s="4">
        <v>0</v>
      </c>
      <c r="D67" s="4">
        <f>COUNTIFS(D90:D189, "=0",$B$90:$B$189, "&gt;=2021",$B$90:$B$189, "&lt;=2024")</f>
        <v>0</v>
      </c>
      <c r="E67" s="26">
        <v>4</v>
      </c>
      <c r="F67" s="4">
        <f>COUNTIFS(F90:F189, "=0",$B$90:$B$189, "&gt;=2021",$B$90:$B$189, "&lt;=2024")</f>
        <v>0</v>
      </c>
      <c r="G67" s="4">
        <v>8</v>
      </c>
      <c r="H67" s="4">
        <f>COUNTIFS(H90:H189, "=0",$B$90:$B$189, "&gt;=2021",$B$90:$B$189, "&lt;=2024")</f>
        <v>0</v>
      </c>
      <c r="I67" s="16"/>
      <c r="J67" s="4">
        <v>12</v>
      </c>
      <c r="K67" s="4">
        <f>COUNTIFS(K90:K189, "=0",$B$90:$B$189, "&gt;=2021",$B$90:$B$189, "&lt;=2024")</f>
        <v>1</v>
      </c>
      <c r="L67" s="30">
        <v>16</v>
      </c>
      <c r="M67" s="4">
        <f>COUNTIFS(M90:M189, "=0",$B$90:$B$189, "&gt;=2021",$B$90:$B$189, "&lt;=2024")</f>
        <v>0</v>
      </c>
      <c r="N67" s="30">
        <v>20</v>
      </c>
      <c r="O67" s="4">
        <f>COUNTIFS(O90:O189, "=0",$B$90:$B$189, "&gt;=2021",$B$90:$B$189, "&lt;=2024")</f>
        <v>0</v>
      </c>
      <c r="Q67" s="4">
        <v>24</v>
      </c>
      <c r="R67" s="4">
        <f>COUNTIFS(R90:R189, "=0",$B$90:$B$189, "&gt;=2021",$B$90:$B$189, "&lt;=2024")</f>
        <v>1</v>
      </c>
      <c r="S67" s="30">
        <v>28</v>
      </c>
      <c r="T67" s="4">
        <f>COUNTIFS(T90:T189, "=0",$B$90:$B$189, "&gt;=2021",$B$90:$B$189, "&lt;=2024")</f>
        <v>0</v>
      </c>
      <c r="U67" s="30">
        <v>32</v>
      </c>
      <c r="V67" s="4">
        <f>COUNTIFS(V90:V189, "=0",$B$90:$B$189, "&gt;=2021",$B$90:$B$189, "&lt;=2024")</f>
        <v>0</v>
      </c>
    </row>
    <row r="68" spans="1:22" x14ac:dyDescent="0.2">
      <c r="A68" s="5">
        <v>0</v>
      </c>
      <c r="C68" s="5">
        <v>1</v>
      </c>
      <c r="D68" s="5">
        <f>COUNTIFS(D90:D189, "=1",$B$90:$B$189, "&lt;2000")</f>
        <v>0</v>
      </c>
      <c r="E68" s="27">
        <v>5</v>
      </c>
      <c r="F68" s="5">
        <f>COUNTIFS(F90:F189, "=1",$B$90:$B$189, "&lt;2000")</f>
        <v>1</v>
      </c>
      <c r="G68" s="5">
        <v>9</v>
      </c>
      <c r="H68" s="5">
        <f>COUNTIFS(H90:H189, "=1",$B$90:$B$189, "&lt;2000")</f>
        <v>2</v>
      </c>
      <c r="I68" s="16"/>
      <c r="J68" s="5">
        <v>13</v>
      </c>
      <c r="K68" s="5">
        <f>COUNTIFS(K90:K189, "=1",$B$90:$B$189, "&lt;2000")</f>
        <v>0</v>
      </c>
      <c r="L68" s="31">
        <v>17</v>
      </c>
      <c r="M68" s="5">
        <f>COUNTIFS(M90:M189, "=1",$B$90:$B$189, "&lt;2000")</f>
        <v>0</v>
      </c>
      <c r="N68" s="31">
        <v>21</v>
      </c>
      <c r="O68" s="5">
        <f>COUNTIFS(O90:O189, "=1",$B$90:$B$189, "&lt;2000")</f>
        <v>2</v>
      </c>
      <c r="Q68" s="5">
        <v>25</v>
      </c>
      <c r="R68" s="5">
        <f>COUNTIFS(R90:R189, "=1",$B$90:$B$189, "&lt;2000")</f>
        <v>0</v>
      </c>
      <c r="S68" s="31">
        <v>29</v>
      </c>
      <c r="T68" s="5">
        <f>COUNTIFS(T90:T189, "=1",$B$90:$B$189, "&lt;2000")</f>
        <v>0</v>
      </c>
      <c r="U68" s="31">
        <v>33</v>
      </c>
      <c r="V68" s="5">
        <f>COUNTIFS(V90:V189, "=1",$B$90:$B$189, "&lt;2000")</f>
        <v>2</v>
      </c>
    </row>
    <row r="69" spans="1:22" x14ac:dyDescent="0.2">
      <c r="A69" s="5">
        <v>1</v>
      </c>
      <c r="C69" s="5">
        <v>1</v>
      </c>
      <c r="D69" s="5">
        <f>COUNTIFS(D90:D189, "=1",$B$90:$B$189, "&gt;=2000",$B$90:$B$189, "&lt;=2002")</f>
        <v>0</v>
      </c>
      <c r="E69" s="27">
        <v>5</v>
      </c>
      <c r="F69" s="5">
        <f>COUNTIFS(F90:F189, "=1",$B$90:$B$189, "&gt;=2000",$B$90:$B$189, "&lt;=2002")</f>
        <v>0</v>
      </c>
      <c r="G69" s="5">
        <v>9</v>
      </c>
      <c r="H69" s="5">
        <f>COUNTIFS(H90:H189, "=1",$B$90:$B$189, "&gt;=2000",$B$90:$B$189, "&lt;=2002")</f>
        <v>5</v>
      </c>
      <c r="I69" s="16"/>
      <c r="J69" s="5">
        <v>13</v>
      </c>
      <c r="K69" s="5">
        <f>COUNTIFS(K90:K189, "=1",$B$90:$B$189, "&gt;=2000",$B$90:$B$189, "&lt;=2002")</f>
        <v>0</v>
      </c>
      <c r="L69" s="31">
        <v>17</v>
      </c>
      <c r="M69" s="5">
        <f>COUNTIFS(M90:M189, "=1",$B$90:$B$189, "&gt;=2000",$B$90:$B$189, "&lt;=2002")</f>
        <v>0</v>
      </c>
      <c r="N69" s="31">
        <v>21</v>
      </c>
      <c r="O69" s="5">
        <f>COUNTIFS(O90:O189, "=1",$B$90:$B$189, "&gt;=2000",$B$90:$B$189, "&lt;=2002")</f>
        <v>5</v>
      </c>
      <c r="Q69" s="5">
        <v>25</v>
      </c>
      <c r="R69" s="5">
        <f>COUNTIFS(R90:R189, "=1",$B$90:$B$189, "&gt;=2000",$B$90:$B$189, "&lt;=2002")</f>
        <v>0</v>
      </c>
      <c r="S69" s="31">
        <v>29</v>
      </c>
      <c r="T69" s="5">
        <f>COUNTIFS(T90:T189, "=1",$B$90:$B$189, "&gt;=2000",$B$90:$B$189, "&lt;=2002")</f>
        <v>0</v>
      </c>
      <c r="U69" s="31">
        <v>33</v>
      </c>
      <c r="V69" s="5">
        <f>COUNTIFS(V90:V189, "=1",$B$90:$B$189, "&gt;=2000",$B$90:$B$189, "&lt;=2002")</f>
        <v>5</v>
      </c>
    </row>
    <row r="70" spans="1:22" x14ac:dyDescent="0.2">
      <c r="A70" s="5">
        <v>2</v>
      </c>
      <c r="C70" s="5">
        <v>1</v>
      </c>
      <c r="D70" s="5">
        <f>COUNTIFS(D90:D189, "=1",$B$90:$B$189, "&gt;=2003",$B$90:$B$189, "&lt;=2005")</f>
        <v>0</v>
      </c>
      <c r="E70" s="27">
        <v>5</v>
      </c>
      <c r="F70" s="5">
        <f>COUNTIFS(F90:F189, "=1",$B$90:$B$189, "&gt;=2003",$B$90:$B$189, "&lt;=2005")</f>
        <v>0</v>
      </c>
      <c r="G70" s="5">
        <v>9</v>
      </c>
      <c r="H70" s="5">
        <f>COUNTIFS(H90:H189, "=1",$B$90:$B$189, "&gt;=2003",$B$90:$B$189, "&lt;=2005")</f>
        <v>6</v>
      </c>
      <c r="I70" s="16"/>
      <c r="J70" s="5">
        <v>13</v>
      </c>
      <c r="K70" s="5">
        <f>COUNTIFS(K90:K189, "=1",$B$90:$B$189, "&gt;=2003",$B$90:$B$189, "&lt;=2005")</f>
        <v>0</v>
      </c>
      <c r="L70" s="31">
        <v>17</v>
      </c>
      <c r="M70" s="5">
        <f>COUNTIFS(M90:M189, "=1",$B$90:$B$189, "&gt;=2003",$B$90:$B$189, "&lt;=2005")</f>
        <v>1</v>
      </c>
      <c r="N70" s="31">
        <v>21</v>
      </c>
      <c r="O70" s="5">
        <f>COUNTIFS(O90:O189, "=1",$B$90:$B$189, "&gt;=2003",$B$90:$B$189, "&lt;=2005")</f>
        <v>6</v>
      </c>
      <c r="Q70" s="5">
        <v>25</v>
      </c>
      <c r="R70" s="5">
        <f>COUNTIFS(R90:R189, "=1",$B$90:$B$189, "&gt;=2003",$B$90:$B$189, "&lt;=2005")</f>
        <v>0</v>
      </c>
      <c r="S70" s="31">
        <v>29</v>
      </c>
      <c r="T70" s="5">
        <f>COUNTIFS(T90:T189, "=1",$B$90:$B$189, "&gt;=2003",$B$90:$B$189, "&lt;=2005")</f>
        <v>0</v>
      </c>
      <c r="U70" s="31">
        <v>33</v>
      </c>
      <c r="V70" s="5">
        <f>COUNTIFS(V90:V189, "=1",$B$90:$B$189, "&gt;=2003",$B$90:$B$189, "&lt;=2005")</f>
        <v>6</v>
      </c>
    </row>
    <row r="71" spans="1:22" x14ac:dyDescent="0.2">
      <c r="A71" s="5">
        <v>3</v>
      </c>
      <c r="C71" s="5">
        <v>1</v>
      </c>
      <c r="D71" s="5">
        <f>COUNTIFS(D90:D189, "=1",$B$90:$B$189, "&gt;=2006",$B$90:$B$189, "&lt;=2008")</f>
        <v>0</v>
      </c>
      <c r="E71" s="27">
        <v>5</v>
      </c>
      <c r="F71" s="5">
        <f>COUNTIFS(F90:F189, "=1",$B$90:$B$189, "&gt;=2006",$B$90:$B$189, "&lt;=2008")</f>
        <v>0</v>
      </c>
      <c r="G71" s="5">
        <v>9</v>
      </c>
      <c r="H71" s="5">
        <f>COUNTIFS(H90:H189, "=1",$B$90:$B$189, "&gt;=2006",$B$90:$B$189, "&lt;=2008")</f>
        <v>6</v>
      </c>
      <c r="I71" s="16"/>
      <c r="J71" s="5">
        <v>13</v>
      </c>
      <c r="K71" s="5">
        <f>COUNTIFS(K90:K189, "=1",$B$90:$B$189, "&gt;=2006",$B$90:$B$189, "&lt;=2008")</f>
        <v>0</v>
      </c>
      <c r="L71" s="31">
        <v>17</v>
      </c>
      <c r="M71" s="5">
        <f>COUNTIFS(M90:M189, "=1",$B$90:$B$189, "&gt;=2006",$B$90:$B$189, "&lt;=2008")</f>
        <v>0</v>
      </c>
      <c r="N71" s="31">
        <v>21</v>
      </c>
      <c r="O71" s="5">
        <f>COUNTIFS(O90:O189, "=1",$B$90:$B$189, "&gt;=2006",$B$90:$B$189, "&lt;=2008")</f>
        <v>6</v>
      </c>
      <c r="Q71" s="5">
        <v>25</v>
      </c>
      <c r="R71" s="5">
        <f>COUNTIFS(R90:R189, "=1",$B$90:$B$189, "&gt;=2006",$B$90:$B$189, "&lt;=2008")</f>
        <v>0</v>
      </c>
      <c r="S71" s="31">
        <v>29</v>
      </c>
      <c r="T71" s="5">
        <f>COUNTIFS(T90:T189, "=1",$B$90:$B$189, "&gt;=2006",$B$90:$B$189, "&lt;=2008")</f>
        <v>0</v>
      </c>
      <c r="U71" s="31">
        <v>33</v>
      </c>
      <c r="V71" s="5">
        <f>COUNTIFS(V90:V189, "=1",$B$90:$B$189, "&gt;=2006",$B$90:$B$189, "&lt;=2008")</f>
        <v>6</v>
      </c>
    </row>
    <row r="72" spans="1:22" x14ac:dyDescent="0.2">
      <c r="A72" s="5">
        <v>4</v>
      </c>
      <c r="C72" s="5">
        <v>1</v>
      </c>
      <c r="D72" s="5">
        <f>COUNTIFS(D90:D189, "=1",$B$90:$B$189, "&gt;=2009",$B$90:$B$189, "&lt;=2011")</f>
        <v>0</v>
      </c>
      <c r="E72" s="27">
        <v>5</v>
      </c>
      <c r="F72" s="5">
        <f>COUNTIFS(F90:F189, "=1",$B$90:$B$189, "&gt;=2009",$B$90:$B$189, "&lt;=2011")</f>
        <v>0</v>
      </c>
      <c r="G72" s="5">
        <v>9</v>
      </c>
      <c r="H72" s="5">
        <f>COUNTIFS(H90:H189, "=1",$B$90:$B$189, "&gt;=2009",$B$90:$B$189, "&lt;=2011")</f>
        <v>7</v>
      </c>
      <c r="I72" s="16"/>
      <c r="J72" s="5">
        <v>13</v>
      </c>
      <c r="K72" s="5">
        <f>COUNTIFS(K90:K189, "=1",$B$90:$B$189, "&gt;=2009",$B$90:$B$189, "&lt;=2011")</f>
        <v>0</v>
      </c>
      <c r="L72" s="31">
        <v>17</v>
      </c>
      <c r="M72" s="5">
        <f>COUNTIFS(M90:M189, "=1",$B$90:$B$189, "&gt;=2009",$B$90:$B$189, "&lt;=2011")</f>
        <v>1</v>
      </c>
      <c r="N72" s="31">
        <v>21</v>
      </c>
      <c r="O72" s="5">
        <f>COUNTIFS(O90:O189, "=1",$B$90:$B$189, "&gt;=2009",$B$90:$B$189, "&lt;=2011")</f>
        <v>7</v>
      </c>
      <c r="Q72" s="5">
        <v>25</v>
      </c>
      <c r="R72" s="5">
        <f>COUNTIFS(R90:R189, "=1",$B$90:$B$189, "&gt;=2009",$B$90:$B$189, "&lt;=2011")</f>
        <v>0</v>
      </c>
      <c r="S72" s="31">
        <v>29</v>
      </c>
      <c r="T72" s="5">
        <f>COUNTIFS(T90:T189, "=1",$B$90:$B$189, "&gt;=2009",$B$90:$B$189, "&lt;=2011")</f>
        <v>0</v>
      </c>
      <c r="U72" s="31">
        <v>33</v>
      </c>
      <c r="V72" s="5">
        <f>COUNTIFS(V90:V189, "=1",$B$90:$B$189, "&gt;=2009",$B$90:$B$189, "&lt;=2011")</f>
        <v>7</v>
      </c>
    </row>
    <row r="73" spans="1:22" x14ac:dyDescent="0.2">
      <c r="A73" s="5">
        <v>5</v>
      </c>
      <c r="C73" s="5">
        <v>1</v>
      </c>
      <c r="D73" s="5">
        <f>COUNTIFS(D90:D189, "=1",$B$90:$B$189, "&gt;=2012",$B$90:$B$189, "&lt;=2014")</f>
        <v>0</v>
      </c>
      <c r="E73" s="27">
        <v>5</v>
      </c>
      <c r="F73" s="5">
        <f>COUNTIFS(F90:F189, "=1",$B$90:$B$189, "&gt;=2012",$B$90:$B$189, "&lt;=2014")</f>
        <v>0</v>
      </c>
      <c r="G73" s="5">
        <v>9</v>
      </c>
      <c r="H73" s="5">
        <f>COUNTIFS(H90:H189, "=1",$B$90:$B$189, "&gt;=2012",$B$90:$B$189, "&lt;=2014")</f>
        <v>6</v>
      </c>
      <c r="I73" s="16"/>
      <c r="J73" s="5">
        <v>13</v>
      </c>
      <c r="K73" s="5">
        <f>COUNTIFS(K90:K189, "=1",$B$90:$B$189, "&gt;=2012",$B$90:$B$189, "&lt;=2014")</f>
        <v>0</v>
      </c>
      <c r="L73" s="31">
        <v>17</v>
      </c>
      <c r="M73" s="5">
        <f>COUNTIFS(M90:M189, "=1",$B$90:$B$189, "&gt;=2012",$B$90:$B$189, "&lt;=2014")</f>
        <v>0</v>
      </c>
      <c r="N73" s="31">
        <v>21</v>
      </c>
      <c r="O73" s="5">
        <f>COUNTIFS(O90:O189, "=1",$B$90:$B$189, "&gt;=2012",$B$90:$B$189, "&lt;=2014")</f>
        <v>6</v>
      </c>
      <c r="Q73" s="5">
        <v>25</v>
      </c>
      <c r="R73" s="5">
        <f>COUNTIFS(R90:R189, "=1",$B$90:$B$189, "&gt;=2012",$B$90:$B$189, "&lt;=2014")</f>
        <v>0</v>
      </c>
      <c r="S73" s="31">
        <v>29</v>
      </c>
      <c r="T73" s="5">
        <f>COUNTIFS(T90:T189, "=1",$B$90:$B$189, "&gt;=2012",$B$90:$B$189, "&lt;=2014")</f>
        <v>0</v>
      </c>
      <c r="U73" s="31">
        <v>33</v>
      </c>
      <c r="V73" s="5">
        <f>COUNTIFS(V90:V189, "=1",$B$90:$B$189, "&gt;=2012",$B$90:$B$189, "&lt;=2014")</f>
        <v>6</v>
      </c>
    </row>
    <row r="74" spans="1:22" x14ac:dyDescent="0.2">
      <c r="A74" s="5">
        <v>6</v>
      </c>
      <c r="C74" s="5">
        <v>1</v>
      </c>
      <c r="D74" s="5">
        <f>COUNTIFS(D90:D189, "=1",$B$90:$B$189, "&gt;=2015",$B$90:$B$189, "&lt;=2017")</f>
        <v>0</v>
      </c>
      <c r="E74" s="27">
        <v>5</v>
      </c>
      <c r="F74" s="5">
        <f>COUNTIFS(F90:F189, "=1",$B$90:$B$189, "&gt;=2015",$B$90:$B$189, "&lt;=2017")</f>
        <v>0</v>
      </c>
      <c r="G74" s="5">
        <v>9</v>
      </c>
      <c r="H74" s="5">
        <f>COUNTIFS(H90:H189, "=1",$B$90:$B$189, "&gt;=2015",$B$90:$B$189, "&lt;=2017")</f>
        <v>1</v>
      </c>
      <c r="I74" s="16"/>
      <c r="J74" s="5">
        <v>13</v>
      </c>
      <c r="K74" s="5">
        <f>COUNTIFS(K90:K189, "=1",$B$90:$B$189, "&gt;=2015",$B$90:$B$189, "&lt;=2017")</f>
        <v>0</v>
      </c>
      <c r="L74" s="31">
        <v>17</v>
      </c>
      <c r="M74" s="5">
        <f>COUNTIFS(M90:M189, "=1",$B$90:$B$189, "&gt;=2015",$B$90:$B$189, "&lt;=2017")</f>
        <v>0</v>
      </c>
      <c r="N74" s="31">
        <v>21</v>
      </c>
      <c r="O74" s="5">
        <f>COUNTIFS(O90:O189, "=1",$B$90:$B$189, "&gt;=2015",$B$90:$B$189, "&lt;=2017")</f>
        <v>1</v>
      </c>
      <c r="Q74" s="5">
        <v>25</v>
      </c>
      <c r="R74" s="5">
        <f>COUNTIFS(R90:R189, "=1",$B$90:$B$189, "&gt;=2015",$B$90:$B$189, "&lt;=2017")</f>
        <v>0</v>
      </c>
      <c r="S74" s="31">
        <v>29</v>
      </c>
      <c r="T74" s="5">
        <f>COUNTIFS(T90:T189, "=1",$B$90:$B$189, "&gt;=2015",$B$90:$B$189, "&lt;=2017")</f>
        <v>0</v>
      </c>
      <c r="U74" s="31">
        <v>33</v>
      </c>
      <c r="V74" s="5">
        <f>COUNTIFS(V90:V189, "=1",$B$90:$B$189, "&gt;=2015",$B$90:$B$189, "&lt;=2017")</f>
        <v>1</v>
      </c>
    </row>
    <row r="75" spans="1:22" x14ac:dyDescent="0.2">
      <c r="A75" s="5">
        <v>7</v>
      </c>
      <c r="C75" s="5">
        <v>1</v>
      </c>
      <c r="D75" s="5">
        <f>COUNTIFS(D90:D189, "=1",$B$90:$B$189, "&gt;=2018",$B$90:$B$189, "&lt;=2020")</f>
        <v>0</v>
      </c>
      <c r="E75" s="27">
        <v>5</v>
      </c>
      <c r="F75" s="5">
        <f>COUNTIFS(F90:F189, "=1",$B$90:$B$189, "&gt;=2018",$B$90:$B$189, "&lt;=2020")</f>
        <v>0</v>
      </c>
      <c r="G75" s="5">
        <v>9</v>
      </c>
      <c r="H75" s="5">
        <f>COUNTIFS(H90:H189, "=1",$B$90:$B$189, "&gt;=2018",$B$90:$B$189, "&lt;=2020")</f>
        <v>1</v>
      </c>
      <c r="I75" s="16"/>
      <c r="J75" s="5">
        <v>13</v>
      </c>
      <c r="K75" s="5">
        <f>COUNTIFS(K90:K189, "=1",$B$90:$B$189, "&gt;=2018",$B$90:$B$189, "&lt;=2020")</f>
        <v>0</v>
      </c>
      <c r="L75" s="31">
        <v>17</v>
      </c>
      <c r="M75" s="5">
        <f>COUNTIFS(M90:M189, "=1",$B$90:$B$189, "&gt;=2018",$B$90:$B$189, "&lt;=2020")</f>
        <v>0</v>
      </c>
      <c r="N75" s="31">
        <v>21</v>
      </c>
      <c r="O75" s="5">
        <f>COUNTIFS(O90:O189, "=1",$B$90:$B$189, "&gt;=2018",$B$90:$B$189, "&lt;=2020")</f>
        <v>1</v>
      </c>
      <c r="Q75" s="5">
        <v>25</v>
      </c>
      <c r="R75" s="5">
        <f>COUNTIFS(R90:R189, "=1",$B$90:$B$189, "&gt;=2018",$B$90:$B$189, "&lt;=2020")</f>
        <v>0</v>
      </c>
      <c r="S75" s="31">
        <v>29</v>
      </c>
      <c r="T75" s="5">
        <f>COUNTIFS(T90:T189, "=1",$B$90:$B$189, "&gt;=2018",$B$90:$B$189, "&lt;=2020")</f>
        <v>0</v>
      </c>
      <c r="U75" s="31">
        <v>33</v>
      </c>
      <c r="V75" s="5">
        <f>COUNTIFS(V90:V189, "=1",$B$90:$B$189, "&gt;=2018",$B$90:$B$189, "&lt;=2020")</f>
        <v>1</v>
      </c>
    </row>
    <row r="76" spans="1:22" x14ac:dyDescent="0.2">
      <c r="A76" s="5">
        <v>8</v>
      </c>
      <c r="C76" s="5">
        <v>1</v>
      </c>
      <c r="D76" s="5">
        <f>COUNTIFS(D90:D189, "=1",$B$90:$B$189, "&gt;=2021",$B$90:$B$189, "&lt;=2024")</f>
        <v>0</v>
      </c>
      <c r="E76" s="27">
        <v>5</v>
      </c>
      <c r="F76" s="5">
        <f>COUNTIFS(F90:F189, "=1",$B$90:$B$189, "&gt;=2021",$B$90:$B$189, "&lt;=2024")</f>
        <v>0</v>
      </c>
      <c r="G76" s="5">
        <v>9</v>
      </c>
      <c r="H76" s="5">
        <f>COUNTIFS(H90:H189, "=1",$B$90:$B$189, "&gt;=2021",$B$90:$B$189, "&lt;=2024")</f>
        <v>1</v>
      </c>
      <c r="I76" s="16"/>
      <c r="J76" s="5">
        <v>13</v>
      </c>
      <c r="K76" s="5">
        <f>COUNTIFS(K90:K189, "=1",$B$90:$B$189, "&gt;=2021",$B$90:$B$189, "&lt;=2024")</f>
        <v>0</v>
      </c>
      <c r="L76" s="31">
        <v>17</v>
      </c>
      <c r="M76" s="5">
        <f>COUNTIFS(M90:M189, "=1",$B$90:$B$189, "&gt;=2021",$B$90:$B$189, "&lt;=2024")</f>
        <v>0</v>
      </c>
      <c r="N76" s="31">
        <v>21</v>
      </c>
      <c r="O76" s="5">
        <f>COUNTIFS(O90:O189, "=1",$B$90:$B$189, "&gt;=2021",$B$90:$B$189, "&lt;=2024")</f>
        <v>1</v>
      </c>
      <c r="Q76" s="5">
        <v>25</v>
      </c>
      <c r="R76" s="5">
        <f>COUNTIFS(R90:R189, "=1",$B$90:$B$189, "&gt;=2021",$B$90:$B$189, "&lt;=2024")</f>
        <v>0</v>
      </c>
      <c r="S76" s="31">
        <v>29</v>
      </c>
      <c r="T76" s="5">
        <f>COUNTIFS(T90:T189, "=1",$B$90:$B$189, "&gt;=2021",$B$90:$B$189, "&lt;=2024")</f>
        <v>0</v>
      </c>
      <c r="U76" s="31">
        <v>33</v>
      </c>
      <c r="V76" s="5">
        <f>COUNTIFS(V90:V189, "=1",$B$90:$B$189, "&gt;=2021",$B$90:$B$189, "&lt;=2024")</f>
        <v>1</v>
      </c>
    </row>
    <row r="77" spans="1:22" x14ac:dyDescent="0.2">
      <c r="A77" s="3">
        <v>0</v>
      </c>
      <c r="C77" s="3">
        <v>2</v>
      </c>
      <c r="D77" s="3">
        <f>COUNTIFS(D90:D189, "=2",$B$90:$B$189, "&lt;2000")</f>
        <v>2</v>
      </c>
      <c r="E77" s="28">
        <v>6</v>
      </c>
      <c r="F77" s="3">
        <f>COUNTIFS(F90:F189, "=2",$B$90:$B$189, "&lt;2000")</f>
        <v>1</v>
      </c>
      <c r="G77" s="3">
        <v>10</v>
      </c>
      <c r="H77" s="3">
        <f>COUNTIFS(H90:H189, "=2",$B$90:$B$189, "&lt;2000")</f>
        <v>0</v>
      </c>
      <c r="I77" s="16"/>
      <c r="J77" s="3">
        <v>14</v>
      </c>
      <c r="K77" s="3">
        <f>COUNTIFS(K90:K189, "=2",$B$90:$B$189, "&lt;2000")</f>
        <v>0</v>
      </c>
      <c r="L77" s="32">
        <v>18</v>
      </c>
      <c r="M77" s="3">
        <f>COUNTIFS(M90:M189, "=2",$B$90:$B$189, "&lt;2000")</f>
        <v>2</v>
      </c>
      <c r="N77" s="32">
        <v>22</v>
      </c>
      <c r="O77" s="3">
        <f>COUNTIFS(O90:O189, "=2",$B$90:$B$189, "&lt;2000")</f>
        <v>0</v>
      </c>
      <c r="Q77" s="3">
        <v>26</v>
      </c>
      <c r="R77" s="3">
        <f>COUNTIFS(R90:R189, "=2",$B$90:$B$189, "&lt;2000")</f>
        <v>0</v>
      </c>
      <c r="S77" s="32">
        <v>30</v>
      </c>
      <c r="T77" s="3">
        <f>COUNTIFS(T90:T189, "=2",$B$90:$B$189, "&lt;2000")</f>
        <v>0</v>
      </c>
      <c r="U77" s="32">
        <v>34</v>
      </c>
      <c r="V77" s="3">
        <f>COUNTIFS(V90:V189, "=2",$B$90:$B$189, "&lt;2000")</f>
        <v>0</v>
      </c>
    </row>
    <row r="78" spans="1:22" x14ac:dyDescent="0.2">
      <c r="A78" s="3">
        <v>1</v>
      </c>
      <c r="C78" s="3">
        <v>2</v>
      </c>
      <c r="D78" s="3">
        <f>COUNTIFS(D90:D189, "=2",$B$90:$B$189, "&gt;=2000",$B$90:$B$189, "&lt;=2002")</f>
        <v>5</v>
      </c>
      <c r="E78" s="28">
        <v>6</v>
      </c>
      <c r="F78" s="3">
        <f>COUNTIFS(F90:F189, "=2",$B$90:$B$189, "&gt;=2000",$B$90:$B$189, "&lt;=2002")</f>
        <v>5</v>
      </c>
      <c r="G78" s="3">
        <v>10</v>
      </c>
      <c r="H78" s="3">
        <f>COUNTIFS(H90:H189, "=2",$B$90:$B$189, "&gt;=2000",$B$90:$B$189, "&lt;=2002")</f>
        <v>0</v>
      </c>
      <c r="I78" s="16"/>
      <c r="J78" s="3">
        <v>14</v>
      </c>
      <c r="K78" s="3">
        <f>COUNTIFS(K90:K189, "=2",$B$90:$B$189, "&gt;=2000",$B$90:$B$189, "&lt;=2002")</f>
        <v>0</v>
      </c>
      <c r="L78" s="32">
        <v>18</v>
      </c>
      <c r="M78" s="3">
        <f>COUNTIFS(M90:M189, "=2",$B$90:$B$189, "&gt;=2000",$B$90:$B$189, "&lt;=2002")</f>
        <v>5</v>
      </c>
      <c r="N78" s="32">
        <v>22</v>
      </c>
      <c r="O78" s="3">
        <f>COUNTIFS(O90:O189, "=2",$B$90:$B$189, "&gt;=2000",$B$90:$B$189, "&lt;=2002")</f>
        <v>0</v>
      </c>
      <c r="Q78" s="3">
        <v>26</v>
      </c>
      <c r="R78" s="3">
        <f>COUNTIFS(R90:R189, "=2",$B$90:$B$189, "&gt;=2000",$B$90:$B$189, "&lt;=2002")</f>
        <v>0</v>
      </c>
      <c r="S78" s="32">
        <v>30</v>
      </c>
      <c r="T78" s="3">
        <f>COUNTIFS(T90:T189, "=2",$B$90:$B$189, "&gt;=2000",$B$90:$B$189, "&lt;=2002")</f>
        <v>0</v>
      </c>
      <c r="U78" s="32">
        <v>34</v>
      </c>
      <c r="V78" s="3">
        <f>COUNTIFS(V90:V189, "=2",$B$90:$B$189, "&gt;=2000",$B$90:$B$189, "&lt;=2002")</f>
        <v>0</v>
      </c>
    </row>
    <row r="79" spans="1:22" x14ac:dyDescent="0.2">
      <c r="A79" s="3">
        <v>2</v>
      </c>
      <c r="C79" s="3">
        <v>2</v>
      </c>
      <c r="D79" s="3">
        <f>COUNTIFS(D90:D189, "=2",$B$90:$B$189, "&gt;=2003",$B$90:$B$189, "&lt;=2005")</f>
        <v>6</v>
      </c>
      <c r="E79" s="28">
        <v>6</v>
      </c>
      <c r="F79" s="3">
        <f>COUNTIFS(F90:F189, "=2",$B$90:$B$189, "&gt;=2003",$B$90:$B$189, "&lt;=2005")</f>
        <v>6</v>
      </c>
      <c r="G79" s="3">
        <v>10</v>
      </c>
      <c r="H79" s="3">
        <f>COUNTIFS(H90:H189, "=2",$B$90:$B$189, "&gt;=2003",$B$90:$B$189, "&lt;=2005")</f>
        <v>0</v>
      </c>
      <c r="I79" s="16"/>
      <c r="J79" s="3">
        <v>14</v>
      </c>
      <c r="K79" s="3">
        <f>COUNTIFS(K90:K189, "=2",$B$90:$B$189, "&gt;=2003",$B$90:$B$189, "&lt;=2005")</f>
        <v>0</v>
      </c>
      <c r="L79" s="32">
        <v>18</v>
      </c>
      <c r="M79" s="3">
        <f>COUNTIFS(M90:M189, "=2",$B$90:$B$189, "&gt;=2003",$B$90:$B$189, "&lt;=2005")</f>
        <v>5</v>
      </c>
      <c r="N79" s="32">
        <v>22</v>
      </c>
      <c r="O79" s="3">
        <f>COUNTIFS(O90:O189, "=2",$B$90:$B$189, "&gt;=2003",$B$90:$B$189, "&lt;=2005")</f>
        <v>0</v>
      </c>
      <c r="Q79" s="3">
        <v>26</v>
      </c>
      <c r="R79" s="3">
        <f>COUNTIFS(R90:R189, "=2",$B$90:$B$189, "&gt;=2003",$B$90:$B$189, "&lt;=2005")</f>
        <v>0</v>
      </c>
      <c r="S79" s="32">
        <v>30</v>
      </c>
      <c r="T79" s="3">
        <f>COUNTIFS(T90:T189, "=2",$B$90:$B$189, "&gt;=2003",$B$90:$B$189, "&lt;=2005")</f>
        <v>0</v>
      </c>
      <c r="U79" s="32">
        <v>34</v>
      </c>
      <c r="V79" s="3">
        <f>COUNTIFS(V90:V189, "=2",$B$90:$B$189, "&gt;=2003",$B$90:$B$189, "&lt;=2005")</f>
        <v>0</v>
      </c>
    </row>
    <row r="80" spans="1:22" x14ac:dyDescent="0.2">
      <c r="A80" s="14">
        <v>3</v>
      </c>
      <c r="C80" s="14">
        <v>2</v>
      </c>
      <c r="D80" s="14">
        <f>COUNTIFS(D90:D189, "=2",$B$90:$B$189, "&gt;=2006",$B$90:$B$189, "&lt;=2008")</f>
        <v>6</v>
      </c>
      <c r="E80" s="28">
        <v>6</v>
      </c>
      <c r="F80" s="14">
        <f>COUNTIFS(F90:F189, "=2",$B$90:$B$189, "&gt;=2006",$B$90:$B$189, "&lt;=2008")</f>
        <v>6</v>
      </c>
      <c r="G80" s="3">
        <v>10</v>
      </c>
      <c r="H80" s="14">
        <f>COUNTIFS(H90:H189, "=2",$B$90:$B$189, "&gt;=2006",$B$90:$B$189, "&lt;=2008")</f>
        <v>0</v>
      </c>
      <c r="I80" s="17"/>
      <c r="J80" s="3">
        <v>14</v>
      </c>
      <c r="K80" s="14">
        <f>COUNTIFS(K90:K189, "=2",$B$90:$B$189, "&gt;=2006",$B$90:$B$189, "&lt;=2008")</f>
        <v>0</v>
      </c>
      <c r="L80" s="32">
        <v>18</v>
      </c>
      <c r="M80" s="14">
        <f>COUNTIFS(M90:M189, "=2",$B$90:$B$189, "&gt;=2006",$B$90:$B$189, "&lt;=2008")</f>
        <v>6</v>
      </c>
      <c r="N80" s="32">
        <v>22</v>
      </c>
      <c r="O80" s="14">
        <f>COUNTIFS(O90:O189, "=2",$B$90:$B$189, "&gt;=2006",$B$90:$B$189, "&lt;=2008")</f>
        <v>0</v>
      </c>
      <c r="Q80" s="3">
        <v>26</v>
      </c>
      <c r="R80" s="14">
        <f>COUNTIFS(R90:R189, "=2",$B$90:$B$189, "&gt;=2006",$B$90:$B$189, "&lt;=2008")</f>
        <v>0</v>
      </c>
      <c r="S80" s="32">
        <v>30</v>
      </c>
      <c r="T80" s="14">
        <f>COUNTIFS(T90:T189, "=2",$B$90:$B$189, "&gt;=2006",$B$90:$B$189, "&lt;=2008")</f>
        <v>0</v>
      </c>
      <c r="U80" s="32">
        <v>34</v>
      </c>
      <c r="V80" s="14">
        <f>COUNTIFS(V90:V189, "=2",$B$90:$B$189, "&gt;=2006",$B$90:$B$189, "&lt;=2008")</f>
        <v>0</v>
      </c>
    </row>
    <row r="81" spans="1:22" x14ac:dyDescent="0.2">
      <c r="A81" s="3">
        <v>4</v>
      </c>
      <c r="C81" s="3">
        <v>2</v>
      </c>
      <c r="D81" s="3">
        <f>COUNTIFS(D90:D189, "=2",$B$90:$B$189, "&gt;=2009",$B$90:$B$189, "&lt;=2011")</f>
        <v>7</v>
      </c>
      <c r="E81" s="28">
        <v>6</v>
      </c>
      <c r="F81" s="3">
        <f>COUNTIFS(F90:F189, "=2",$B$90:$B$189, "&gt;=2009",$B$90:$B$189, "&lt;=2011")</f>
        <v>7</v>
      </c>
      <c r="G81" s="3">
        <v>10</v>
      </c>
      <c r="H81" s="3">
        <f>COUNTIFS(H90:H189, "=2",$B$90:$B$189, "&gt;=2009",$B$90:$B$189, "&lt;=2011")</f>
        <v>0</v>
      </c>
      <c r="I81" s="16"/>
      <c r="J81" s="3">
        <v>14</v>
      </c>
      <c r="K81" s="3">
        <f>COUNTIFS(K90:K189, "=2",$B$90:$B$189, "&gt;=2009",$B$90:$B$189, "&lt;=2011")</f>
        <v>0</v>
      </c>
      <c r="L81" s="32">
        <v>18</v>
      </c>
      <c r="M81" s="3">
        <f>COUNTIFS(M90:M189, "=2",$B$90:$B$189, "&gt;=2009",$B$90:$B$189, "&lt;=2011")</f>
        <v>6</v>
      </c>
      <c r="N81" s="32">
        <v>22</v>
      </c>
      <c r="O81" s="3">
        <f>COUNTIFS(O90:O189, "=2",$B$90:$B$189, "&gt;=2009",$B$90:$B$189, "&lt;=2011")</f>
        <v>0</v>
      </c>
      <c r="Q81" s="3">
        <v>26</v>
      </c>
      <c r="R81" s="3">
        <f>COUNTIFS(R90:R189, "=2",$B$90:$B$189, "&gt;=2009",$B$90:$B$189, "&lt;=2011")</f>
        <v>0</v>
      </c>
      <c r="S81" s="32">
        <v>30</v>
      </c>
      <c r="T81" s="3">
        <f>COUNTIFS(T90:T189, "=2",$B$90:$B$189, "&gt;=2009",$B$90:$B$189, "&lt;=2011")</f>
        <v>4</v>
      </c>
      <c r="U81" s="32">
        <v>34</v>
      </c>
      <c r="V81" s="3">
        <f>COUNTIFS(V90:V189, "=2",$B$90:$B$189, "&gt;=2009",$B$90:$B$189, "&lt;=2011")</f>
        <v>0</v>
      </c>
    </row>
    <row r="82" spans="1:22" x14ac:dyDescent="0.2">
      <c r="A82" s="3">
        <v>5</v>
      </c>
      <c r="C82" s="3">
        <v>2</v>
      </c>
      <c r="D82" s="3">
        <f>COUNTIFS(D90:D189, "=2",$B$90:$B$189, "&gt;=2012",$B$90:$B$189, "&lt;=2014")</f>
        <v>6</v>
      </c>
      <c r="E82" s="28">
        <v>6</v>
      </c>
      <c r="F82" s="3">
        <f>COUNTIFS(F90:F189, "=2",$B$90:$B$189, "&gt;=2012",$B$90:$B$189, "&lt;=2014")</f>
        <v>6</v>
      </c>
      <c r="G82" s="3">
        <v>10</v>
      </c>
      <c r="H82" s="3">
        <f>COUNTIFS(H90:H189, "=2",$B$90:$B$189, "&gt;=2012",$B$90:$B$189, "&lt;=2014")</f>
        <v>0</v>
      </c>
      <c r="I82" s="16"/>
      <c r="J82" s="3">
        <v>14</v>
      </c>
      <c r="K82" s="3">
        <f>COUNTIFS(K90:K189, "=2",$B$90:$B$189, "&gt;=2012",$B$90:$B$189, "&lt;=2014")</f>
        <v>0</v>
      </c>
      <c r="L82" s="32">
        <v>18</v>
      </c>
      <c r="M82" s="3">
        <f>COUNTIFS(M90:M189, "=2",$B$90:$B$189, "&gt;=2012",$B$90:$B$189, "&lt;=2014")</f>
        <v>6</v>
      </c>
      <c r="N82" s="32">
        <v>22</v>
      </c>
      <c r="O82" s="3">
        <f>COUNTIFS(O90:O189, "=2",$B$90:$B$189, "&gt;=2012",$B$90:$B$189, "&lt;=2014")</f>
        <v>0</v>
      </c>
      <c r="Q82" s="3">
        <v>26</v>
      </c>
      <c r="R82" s="3">
        <f>COUNTIFS(R90:R189, "=2",$B$90:$B$189, "&gt;=2012",$B$90:$B$189, "&lt;=2014")</f>
        <v>0</v>
      </c>
      <c r="S82" s="32">
        <v>30</v>
      </c>
      <c r="T82" s="3">
        <f>COUNTIFS(T90:T189, "=2",$B$90:$B$189, "&gt;=2012",$B$90:$B$189, "&lt;=2014")</f>
        <v>6</v>
      </c>
      <c r="U82" s="32">
        <v>34</v>
      </c>
      <c r="V82" s="3">
        <f>COUNTIFS(V90:V189, "=2",$B$90:$B$189, "&gt;=2012",$B$90:$B$189, "&lt;=2014")</f>
        <v>0</v>
      </c>
    </row>
    <row r="83" spans="1:22" x14ac:dyDescent="0.2">
      <c r="A83" s="3">
        <v>6</v>
      </c>
      <c r="C83" s="3">
        <v>2</v>
      </c>
      <c r="D83" s="3">
        <f>COUNTIFS(D90:D189, "=2",$B$90:$B$189, "&gt;=2015",$B$90:$B$189, "&lt;=2017")</f>
        <v>1</v>
      </c>
      <c r="E83" s="28">
        <v>6</v>
      </c>
      <c r="F83" s="3">
        <f>COUNTIFS(F90:F189, "=2",$B$90:$B$189, "&gt;=2015",$B$90:$B$189, "&lt;=2017")</f>
        <v>1</v>
      </c>
      <c r="G83" s="3">
        <v>10</v>
      </c>
      <c r="H83" s="3">
        <f>COUNTIFS(H90:H189, "=2",$B$90:$B$189, "&gt;=2015",$B$90:$B$189, "&lt;=2017")</f>
        <v>0</v>
      </c>
      <c r="I83" s="16"/>
      <c r="J83" s="3">
        <v>14</v>
      </c>
      <c r="K83" s="3">
        <f>COUNTIFS(K90:K189, "=2",$B$90:$B$189, "&gt;=2015",$B$90:$B$189, "&lt;=2017")</f>
        <v>0</v>
      </c>
      <c r="L83" s="32">
        <v>18</v>
      </c>
      <c r="M83" s="3">
        <f>COUNTIFS(M90:M189, "=2",$B$90:$B$189, "&gt;=2015",$B$90:$B$189, "&lt;=2017")</f>
        <v>1</v>
      </c>
      <c r="N83" s="32">
        <v>22</v>
      </c>
      <c r="O83" s="3">
        <f>COUNTIFS(O90:O189, "=2",$B$90:$B$189, "&gt;=2015",$B$90:$B$189, "&lt;=2017")</f>
        <v>0</v>
      </c>
      <c r="Q83" s="3">
        <v>26</v>
      </c>
      <c r="R83" s="3">
        <f>COUNTIFS(R90:R189, "=2",$B$90:$B$189, "&gt;=2015",$B$90:$B$189, "&lt;=2017")</f>
        <v>0</v>
      </c>
      <c r="S83" s="32">
        <v>30</v>
      </c>
      <c r="T83" s="3">
        <f>COUNTIFS(T90:T189, "=2",$B$90:$B$189, "&gt;=2015",$B$90:$B$189, "&lt;=2017")</f>
        <v>1</v>
      </c>
      <c r="U83" s="32">
        <v>34</v>
      </c>
      <c r="V83" s="3">
        <f>COUNTIFS(V90:V189, "=2",$B$90:$B$189, "&gt;=2015",$B$90:$B$189, "&lt;=2017")</f>
        <v>0</v>
      </c>
    </row>
    <row r="84" spans="1:22" x14ac:dyDescent="0.2">
      <c r="A84" s="3">
        <v>7</v>
      </c>
      <c r="C84" s="3">
        <v>2</v>
      </c>
      <c r="D84" s="3">
        <f>COUNTIFS(D90:D189, "=2",$B$90:$B$189, "&gt;=2018",$B$90:$B$189, "&lt;=2020")</f>
        <v>1</v>
      </c>
      <c r="E84" s="28">
        <v>6</v>
      </c>
      <c r="F84" s="3">
        <f>COUNTIFS(F90:F189, "=2",$B$90:$B$189, "&gt;=2018",$B$90:$B$189, "&lt;=2020")</f>
        <v>1</v>
      </c>
      <c r="G84" s="3">
        <v>10</v>
      </c>
      <c r="H84" s="3">
        <f>COUNTIFS(H90:H189, "=2",$B$90:$B$189, "&gt;=2018",$B$90:$B$189, "&lt;=2020")</f>
        <v>0</v>
      </c>
      <c r="I84" s="16"/>
      <c r="J84" s="3">
        <v>14</v>
      </c>
      <c r="K84" s="3">
        <f>COUNTIFS(K90:K189, "=2",$B$90:$B$189, "&gt;=2018",$B$90:$B$189, "&lt;=2020")</f>
        <v>0</v>
      </c>
      <c r="L84" s="32">
        <v>18</v>
      </c>
      <c r="M84" s="3">
        <f>COUNTIFS(M90:M189, "=2",$B$90:$B$189, "&gt;=2018",$B$90:$B$189, "&lt;=2020")</f>
        <v>1</v>
      </c>
      <c r="N84" s="32">
        <v>22</v>
      </c>
      <c r="O84" s="3">
        <f>COUNTIFS(O90:O189, "=2",$B$90:$B$189, "&gt;=2018",$B$90:$B$189, "&lt;=2020")</f>
        <v>0</v>
      </c>
      <c r="Q84" s="3">
        <v>26</v>
      </c>
      <c r="R84" s="3">
        <f>COUNTIFS(R90:R189, "=2",$B$90:$B$189, "&gt;=2018",$B$90:$B$189, "&lt;=2020")</f>
        <v>0</v>
      </c>
      <c r="S84" s="32">
        <v>30</v>
      </c>
      <c r="T84" s="3">
        <f>COUNTIFS(T90:T189, "=2",$B$90:$B$189, "&gt;=2018",$B$90:$B$189, "&lt;=2020")</f>
        <v>1</v>
      </c>
      <c r="U84" s="32">
        <v>34</v>
      </c>
      <c r="V84" s="3">
        <f>COUNTIFS(V90:V189, "=2",$B$90:$B$189, "&gt;=2018",$B$90:$B$189, "&lt;=2020")</f>
        <v>0</v>
      </c>
    </row>
    <row r="85" spans="1:22" x14ac:dyDescent="0.2">
      <c r="A85" s="3">
        <v>8</v>
      </c>
      <c r="C85" s="3">
        <v>2</v>
      </c>
      <c r="D85" s="3">
        <f>COUNTIFS(D90:D189, "=2",$B$90:$B$189, "&gt;=2021",$B$90:$B$189, "&lt;=2024")</f>
        <v>1</v>
      </c>
      <c r="E85" s="28">
        <v>6</v>
      </c>
      <c r="F85" s="3">
        <f>COUNTIFS(F90:F189, "=2",$B$90:$B$189, "&gt;=2021",$B$90:$B$189, "&lt;=2024")</f>
        <v>1</v>
      </c>
      <c r="G85" s="3">
        <v>10</v>
      </c>
      <c r="H85" s="3">
        <f>COUNTIFS(H90:H189, "=2",$B$90:$B$189, "&gt;=2021",$B$90:$B$189, "&lt;=2024")</f>
        <v>0</v>
      </c>
      <c r="I85" s="16"/>
      <c r="J85" s="3">
        <v>14</v>
      </c>
      <c r="K85" s="3">
        <f>COUNTIFS(K90:K189, "=2",$B$90:$B$189, "&gt;=2021",$B$90:$B$189, "&lt;=2024")</f>
        <v>0</v>
      </c>
      <c r="L85" s="32">
        <v>18</v>
      </c>
      <c r="M85" s="3">
        <f>COUNTIFS(M90:M189, "=2",$B$90:$B$189, "&gt;=2021",$B$90:$B$189, "&lt;=2024")</f>
        <v>1</v>
      </c>
      <c r="N85" s="32">
        <v>22</v>
      </c>
      <c r="O85" s="3">
        <f>COUNTIFS(O90:O189, "=2",$B$90:$B$189, "&gt;=2021",$B$90:$B$189, "&lt;=2024")</f>
        <v>0</v>
      </c>
      <c r="Q85" s="3">
        <v>26</v>
      </c>
      <c r="R85" s="3">
        <f>COUNTIFS(R90:R189, "=2",$B$90:$B$189, "&gt;=2021",$B$90:$B$189, "&lt;=2024")</f>
        <v>0</v>
      </c>
      <c r="S85" s="32">
        <v>30</v>
      </c>
      <c r="T85" s="3">
        <f>COUNTIFS(T90:T189, "=2",$B$90:$B$189, "&gt;=2021",$B$90:$B$189, "&lt;=2024")</f>
        <v>1</v>
      </c>
      <c r="U85" s="32">
        <v>34</v>
      </c>
      <c r="V85" s="3">
        <f>COUNTIFS(V90:V189, "=2",$B$90:$B$189, "&gt;=2021",$B$90:$B$189, "&lt;=2024")</f>
        <v>0</v>
      </c>
    </row>
    <row r="86" spans="1:22" x14ac:dyDescent="0.2">
      <c r="A86" s="53" t="s">
        <v>24</v>
      </c>
      <c r="B86" s="54"/>
      <c r="D86" s="4">
        <f>SUM(D59:D85)</f>
        <v>35</v>
      </c>
      <c r="E86" s="4"/>
      <c r="F86" s="4">
        <f>SUM(F59:F85)</f>
        <v>35</v>
      </c>
      <c r="G86" s="4"/>
      <c r="H86" s="4">
        <f>SUM(H59:H85)</f>
        <v>35</v>
      </c>
      <c r="I86" s="16"/>
      <c r="J86" s="16"/>
      <c r="K86" s="4">
        <f>SUM(K59:K85)</f>
        <v>35</v>
      </c>
      <c r="L86" s="4"/>
      <c r="M86" s="4">
        <f>SUM(M59:M85)</f>
        <v>35</v>
      </c>
      <c r="N86" s="4"/>
      <c r="O86" s="4">
        <f>SUM(O59:O85)</f>
        <v>35</v>
      </c>
      <c r="R86" s="4">
        <f>SUM(R59:R85)</f>
        <v>35</v>
      </c>
      <c r="S86" s="4"/>
      <c r="T86" s="4">
        <f>SUM(T59:T85)</f>
        <v>35</v>
      </c>
      <c r="U86" s="4"/>
      <c r="V86" s="4">
        <f>SUM(V59:V85)</f>
        <v>35</v>
      </c>
    </row>
    <row r="88" spans="1:22" ht="40" customHeight="1" x14ac:dyDescent="0.2">
      <c r="A88" s="19"/>
      <c r="B88" s="19"/>
      <c r="D88" s="18"/>
      <c r="E88" s="18"/>
      <c r="F88" s="51"/>
      <c r="G88" s="51"/>
      <c r="H88" s="51"/>
    </row>
    <row r="89" spans="1:22" ht="60" x14ac:dyDescent="0.2">
      <c r="A89" s="10" t="s">
        <v>0</v>
      </c>
      <c r="B89" s="10" t="s">
        <v>97</v>
      </c>
      <c r="D89" s="6" t="s">
        <v>179</v>
      </c>
      <c r="E89" s="6"/>
      <c r="F89" s="6" t="s">
        <v>180</v>
      </c>
      <c r="G89" s="6"/>
      <c r="H89" s="6" t="s">
        <v>181</v>
      </c>
      <c r="I89" s="12"/>
      <c r="J89" s="6"/>
      <c r="K89" s="6" t="s">
        <v>23</v>
      </c>
      <c r="L89" s="6"/>
      <c r="M89" s="6" t="s">
        <v>182</v>
      </c>
      <c r="N89" s="6"/>
      <c r="O89" s="6" t="s">
        <v>185</v>
      </c>
      <c r="Q89" s="6"/>
      <c r="R89" s="6" t="s">
        <v>184</v>
      </c>
      <c r="S89" s="6"/>
      <c r="T89" s="6" t="s">
        <v>108</v>
      </c>
      <c r="U89" s="6"/>
      <c r="V89" s="6" t="s">
        <v>109</v>
      </c>
    </row>
    <row r="90" spans="1:22" ht="51" x14ac:dyDescent="0.2">
      <c r="A90" s="3" t="s">
        <v>28</v>
      </c>
      <c r="B90" s="7">
        <v>1998</v>
      </c>
      <c r="C90" s="41" t="s">
        <v>188</v>
      </c>
      <c r="D90" s="7">
        <v>2</v>
      </c>
      <c r="E90" s="7"/>
      <c r="F90" s="7">
        <v>1</v>
      </c>
      <c r="G90" s="7"/>
      <c r="H90" s="7">
        <v>1</v>
      </c>
      <c r="I90" s="13"/>
      <c r="J90" s="7"/>
      <c r="K90" s="7">
        <v>0</v>
      </c>
      <c r="L90" s="7"/>
      <c r="M90" s="7">
        <v>2</v>
      </c>
      <c r="N90" s="7"/>
      <c r="O90" s="7">
        <v>1</v>
      </c>
      <c r="Q90" s="7"/>
      <c r="R90" s="7">
        <v>0</v>
      </c>
      <c r="S90" s="7"/>
      <c r="T90" s="7">
        <v>0</v>
      </c>
      <c r="U90" s="7"/>
      <c r="V90" s="7">
        <v>1</v>
      </c>
    </row>
    <row r="91" spans="1:22" ht="51" x14ac:dyDescent="0.2">
      <c r="A91" s="3" t="s">
        <v>30</v>
      </c>
      <c r="B91" s="7">
        <v>2010</v>
      </c>
      <c r="C91" s="41" t="s">
        <v>189</v>
      </c>
      <c r="D91" s="7">
        <v>2</v>
      </c>
      <c r="E91" s="7"/>
      <c r="F91" s="7">
        <v>2</v>
      </c>
      <c r="G91" s="7"/>
      <c r="H91" s="7">
        <v>1</v>
      </c>
      <c r="I91" s="13"/>
      <c r="J91" s="7"/>
      <c r="K91" s="7">
        <v>0</v>
      </c>
      <c r="L91" s="7"/>
      <c r="M91" s="7">
        <v>1</v>
      </c>
      <c r="N91" s="7"/>
      <c r="O91" s="7">
        <v>1</v>
      </c>
      <c r="Q91" s="7"/>
      <c r="R91" s="7">
        <v>0</v>
      </c>
      <c r="S91" s="7"/>
      <c r="T91" s="7">
        <v>0</v>
      </c>
      <c r="U91" s="7"/>
      <c r="V91" s="7">
        <v>1</v>
      </c>
    </row>
    <row r="92" spans="1:22" ht="51" x14ac:dyDescent="0.2">
      <c r="A92" s="3" t="s">
        <v>29</v>
      </c>
      <c r="B92" s="7">
        <v>1999</v>
      </c>
      <c r="C92" s="41" t="s">
        <v>190</v>
      </c>
      <c r="D92" s="7">
        <v>2</v>
      </c>
      <c r="E92" s="7"/>
      <c r="F92" s="7">
        <v>2</v>
      </c>
      <c r="G92" s="7"/>
      <c r="H92" s="7">
        <v>1</v>
      </c>
      <c r="I92" s="13"/>
      <c r="J92" s="7"/>
      <c r="K92" s="7">
        <v>0</v>
      </c>
      <c r="L92" s="7"/>
      <c r="M92" s="7">
        <v>2</v>
      </c>
      <c r="N92" s="7"/>
      <c r="O92" s="7">
        <v>1</v>
      </c>
      <c r="Q92" s="7"/>
      <c r="R92" s="7">
        <v>0</v>
      </c>
      <c r="S92" s="7"/>
      <c r="T92" s="7">
        <v>0</v>
      </c>
      <c r="U92" s="7"/>
      <c r="V92" s="7">
        <v>1</v>
      </c>
    </row>
    <row r="93" spans="1:22" ht="51" x14ac:dyDescent="0.2">
      <c r="A93" s="3" t="s">
        <v>31</v>
      </c>
      <c r="B93" s="7">
        <v>2000</v>
      </c>
      <c r="C93" s="41" t="s">
        <v>191</v>
      </c>
      <c r="D93" s="7">
        <v>2</v>
      </c>
      <c r="E93" s="7"/>
      <c r="F93" s="7">
        <v>2</v>
      </c>
      <c r="G93" s="7"/>
      <c r="H93" s="7">
        <v>1</v>
      </c>
      <c r="I93" s="13"/>
      <c r="J93" s="7"/>
      <c r="K93" s="7">
        <v>0</v>
      </c>
      <c r="L93" s="7"/>
      <c r="M93" s="7">
        <v>2</v>
      </c>
      <c r="N93" s="7"/>
      <c r="O93" s="7">
        <v>1</v>
      </c>
      <c r="Q93" s="7"/>
      <c r="R93" s="7">
        <v>0</v>
      </c>
      <c r="S93" s="7"/>
      <c r="T93" s="7">
        <v>0</v>
      </c>
      <c r="U93" s="7"/>
      <c r="V93" s="7">
        <v>1</v>
      </c>
    </row>
    <row r="94" spans="1:22" ht="51" x14ac:dyDescent="0.2">
      <c r="A94" s="3" t="s">
        <v>32</v>
      </c>
      <c r="B94" s="7">
        <v>2001</v>
      </c>
      <c r="C94" s="41" t="s">
        <v>192</v>
      </c>
      <c r="D94" s="7">
        <v>2</v>
      </c>
      <c r="E94" s="7"/>
      <c r="F94" s="7">
        <v>2</v>
      </c>
      <c r="G94" s="7"/>
      <c r="H94" s="7">
        <v>1</v>
      </c>
      <c r="I94" s="13"/>
      <c r="J94" s="7"/>
      <c r="K94" s="7">
        <v>0</v>
      </c>
      <c r="L94" s="7"/>
      <c r="M94" s="7">
        <v>2</v>
      </c>
      <c r="N94" s="7"/>
      <c r="O94" s="7">
        <v>1</v>
      </c>
      <c r="Q94" s="7"/>
      <c r="R94" s="7">
        <v>0</v>
      </c>
      <c r="S94" s="7"/>
      <c r="T94" s="7">
        <v>0</v>
      </c>
      <c r="U94" s="7"/>
      <c r="V94" s="7">
        <v>1</v>
      </c>
    </row>
    <row r="95" spans="1:22" ht="51" x14ac:dyDescent="0.2">
      <c r="A95" s="3" t="s">
        <v>33</v>
      </c>
      <c r="B95" s="7">
        <v>2001</v>
      </c>
      <c r="C95" s="41" t="s">
        <v>193</v>
      </c>
      <c r="D95" s="7">
        <v>2</v>
      </c>
      <c r="E95" s="7"/>
      <c r="F95" s="7">
        <v>2</v>
      </c>
      <c r="G95" s="7"/>
      <c r="H95" s="7">
        <v>1</v>
      </c>
      <c r="I95" s="13"/>
      <c r="J95" s="7"/>
      <c r="K95" s="7">
        <v>0</v>
      </c>
      <c r="L95" s="7"/>
      <c r="M95" s="7">
        <v>2</v>
      </c>
      <c r="N95" s="7"/>
      <c r="O95" s="7">
        <v>1</v>
      </c>
      <c r="Q95" s="7"/>
      <c r="R95" s="7">
        <v>0</v>
      </c>
      <c r="S95" s="7"/>
      <c r="T95" s="7">
        <v>0</v>
      </c>
      <c r="U95" s="7"/>
      <c r="V95" s="7">
        <v>1</v>
      </c>
    </row>
    <row r="96" spans="1:22" ht="51" x14ac:dyDescent="0.2">
      <c r="A96" s="3" t="s">
        <v>34</v>
      </c>
      <c r="B96" s="7">
        <v>2002</v>
      </c>
      <c r="C96" s="41" t="s">
        <v>194</v>
      </c>
      <c r="D96" s="7">
        <v>2</v>
      </c>
      <c r="E96" s="7"/>
      <c r="F96" s="7">
        <v>2</v>
      </c>
      <c r="G96" s="7"/>
      <c r="H96" s="7">
        <v>1</v>
      </c>
      <c r="I96" s="13"/>
      <c r="J96" s="7"/>
      <c r="K96" s="7">
        <v>0</v>
      </c>
      <c r="L96" s="7"/>
      <c r="M96" s="7">
        <v>2</v>
      </c>
      <c r="N96" s="7"/>
      <c r="O96" s="7">
        <v>1</v>
      </c>
      <c r="Q96" s="7"/>
      <c r="R96" s="7">
        <v>0</v>
      </c>
      <c r="S96" s="7"/>
      <c r="T96" s="7">
        <v>0</v>
      </c>
      <c r="U96" s="7"/>
      <c r="V96" s="7">
        <v>1</v>
      </c>
    </row>
    <row r="97" spans="1:22" ht="51" x14ac:dyDescent="0.2">
      <c r="A97" s="3" t="s">
        <v>35</v>
      </c>
      <c r="B97" s="7">
        <v>2002</v>
      </c>
      <c r="C97" s="41" t="s">
        <v>195</v>
      </c>
      <c r="D97" s="7">
        <v>2</v>
      </c>
      <c r="E97" s="7"/>
      <c r="F97" s="7">
        <v>2</v>
      </c>
      <c r="G97" s="7"/>
      <c r="H97" s="7">
        <v>1</v>
      </c>
      <c r="I97" s="13"/>
      <c r="J97" s="7"/>
      <c r="K97" s="7">
        <v>0</v>
      </c>
      <c r="L97" s="7"/>
      <c r="M97" s="7">
        <v>2</v>
      </c>
      <c r="N97" s="7"/>
      <c r="O97" s="7">
        <v>1</v>
      </c>
      <c r="Q97" s="7"/>
      <c r="R97" s="7">
        <v>0</v>
      </c>
      <c r="S97" s="7"/>
      <c r="T97" s="7">
        <v>0</v>
      </c>
      <c r="U97" s="7"/>
      <c r="V97" s="7">
        <v>1</v>
      </c>
    </row>
    <row r="98" spans="1:22" ht="51" x14ac:dyDescent="0.2">
      <c r="A98" s="3" t="s">
        <v>36</v>
      </c>
      <c r="B98" s="7">
        <v>2003</v>
      </c>
      <c r="C98" s="41" t="s">
        <v>196</v>
      </c>
      <c r="D98" s="7">
        <v>2</v>
      </c>
      <c r="E98" s="7"/>
      <c r="F98" s="7">
        <v>2</v>
      </c>
      <c r="G98" s="7"/>
      <c r="H98" s="7">
        <v>1</v>
      </c>
      <c r="I98" s="13"/>
      <c r="J98" s="7"/>
      <c r="K98" s="7">
        <v>0</v>
      </c>
      <c r="L98" s="7"/>
      <c r="M98" s="7">
        <v>1</v>
      </c>
      <c r="N98" s="7"/>
      <c r="O98" s="7">
        <v>1</v>
      </c>
      <c r="Q98" s="7"/>
      <c r="R98" s="7">
        <v>0</v>
      </c>
      <c r="S98" s="7"/>
      <c r="T98" s="7">
        <v>0</v>
      </c>
      <c r="U98" s="7"/>
      <c r="V98" s="7">
        <v>1</v>
      </c>
    </row>
    <row r="99" spans="1:22" ht="51" x14ac:dyDescent="0.2">
      <c r="A99" s="4" t="s">
        <v>37</v>
      </c>
      <c r="B99" s="8">
        <v>2003</v>
      </c>
      <c r="C99" s="41" t="s">
        <v>197</v>
      </c>
      <c r="D99" s="8">
        <v>2</v>
      </c>
      <c r="E99" s="8"/>
      <c r="F99" s="8">
        <v>2</v>
      </c>
      <c r="G99" s="8"/>
      <c r="H99" s="8">
        <v>1</v>
      </c>
      <c r="I99" s="13"/>
      <c r="J99" s="8"/>
      <c r="K99" s="8">
        <v>0</v>
      </c>
      <c r="L99" s="8"/>
      <c r="M99" s="8">
        <v>2</v>
      </c>
      <c r="N99" s="8"/>
      <c r="O99" s="8">
        <v>1</v>
      </c>
      <c r="Q99" s="8"/>
      <c r="R99" s="8">
        <v>0</v>
      </c>
      <c r="S99" s="8"/>
      <c r="T99" s="8">
        <v>0</v>
      </c>
      <c r="U99" s="8"/>
      <c r="V99" s="8">
        <v>1</v>
      </c>
    </row>
    <row r="100" spans="1:22" ht="51" x14ac:dyDescent="0.2">
      <c r="A100" s="4" t="s">
        <v>38</v>
      </c>
      <c r="B100" s="8">
        <v>2004</v>
      </c>
      <c r="C100" s="41" t="s">
        <v>198</v>
      </c>
      <c r="D100" s="8">
        <v>2</v>
      </c>
      <c r="E100" s="8"/>
      <c r="F100" s="8">
        <v>2</v>
      </c>
      <c r="G100" s="8"/>
      <c r="H100" s="8">
        <v>1</v>
      </c>
      <c r="I100" s="13"/>
      <c r="J100" s="8"/>
      <c r="K100" s="8">
        <v>0</v>
      </c>
      <c r="L100" s="8"/>
      <c r="M100" s="8">
        <v>2</v>
      </c>
      <c r="N100" s="8"/>
      <c r="O100" s="8">
        <v>1</v>
      </c>
      <c r="Q100" s="8"/>
      <c r="R100" s="8">
        <v>0</v>
      </c>
      <c r="S100" s="8"/>
      <c r="T100" s="8">
        <v>0</v>
      </c>
      <c r="U100" s="8"/>
      <c r="V100" s="8">
        <v>1</v>
      </c>
    </row>
    <row r="101" spans="1:22" ht="51" x14ac:dyDescent="0.2">
      <c r="A101" s="4" t="s">
        <v>39</v>
      </c>
      <c r="B101" s="8">
        <v>2004</v>
      </c>
      <c r="C101" s="41" t="s">
        <v>199</v>
      </c>
      <c r="D101" s="8">
        <v>2</v>
      </c>
      <c r="E101" s="8"/>
      <c r="F101" s="8">
        <v>2</v>
      </c>
      <c r="G101" s="8"/>
      <c r="H101" s="8">
        <v>1</v>
      </c>
      <c r="I101" s="13"/>
      <c r="J101" s="8"/>
      <c r="K101" s="8">
        <v>0</v>
      </c>
      <c r="L101" s="8"/>
      <c r="M101" s="8">
        <v>2</v>
      </c>
      <c r="N101" s="8"/>
      <c r="O101" s="8">
        <v>1</v>
      </c>
      <c r="Q101" s="8"/>
      <c r="R101" s="8">
        <v>0</v>
      </c>
      <c r="S101" s="8"/>
      <c r="T101" s="8">
        <v>0</v>
      </c>
      <c r="U101" s="8"/>
      <c r="V101" s="8">
        <v>1</v>
      </c>
    </row>
    <row r="102" spans="1:22" ht="51" x14ac:dyDescent="0.2">
      <c r="A102" s="4" t="s">
        <v>40</v>
      </c>
      <c r="B102" s="8">
        <v>2005</v>
      </c>
      <c r="C102" s="41" t="s">
        <v>200</v>
      </c>
      <c r="D102" s="8">
        <v>2</v>
      </c>
      <c r="E102" s="8"/>
      <c r="F102" s="8">
        <v>2</v>
      </c>
      <c r="G102" s="8"/>
      <c r="H102" s="8">
        <v>1</v>
      </c>
      <c r="I102" s="13"/>
      <c r="J102" s="8"/>
      <c r="K102" s="8">
        <v>0</v>
      </c>
      <c r="L102" s="8"/>
      <c r="M102" s="8">
        <v>2</v>
      </c>
      <c r="N102" s="8"/>
      <c r="O102" s="8">
        <v>1</v>
      </c>
      <c r="Q102" s="8"/>
      <c r="R102" s="8">
        <v>0</v>
      </c>
      <c r="S102" s="8"/>
      <c r="T102" s="8">
        <v>0</v>
      </c>
      <c r="U102" s="8"/>
      <c r="V102" s="8">
        <v>1</v>
      </c>
    </row>
    <row r="103" spans="1:22" ht="51" x14ac:dyDescent="0.2">
      <c r="A103" s="4" t="s">
        <v>41</v>
      </c>
      <c r="B103" s="8">
        <v>2005</v>
      </c>
      <c r="C103" s="41" t="s">
        <v>201</v>
      </c>
      <c r="D103" s="8">
        <v>2</v>
      </c>
      <c r="E103" s="8"/>
      <c r="F103" s="8">
        <v>2</v>
      </c>
      <c r="G103" s="8"/>
      <c r="H103" s="8">
        <v>1</v>
      </c>
      <c r="I103" s="13"/>
      <c r="J103" s="8"/>
      <c r="K103" s="8">
        <v>0</v>
      </c>
      <c r="L103" s="8"/>
      <c r="M103" s="8">
        <v>2</v>
      </c>
      <c r="N103" s="8"/>
      <c r="O103" s="8">
        <v>1</v>
      </c>
      <c r="Q103" s="8"/>
      <c r="R103" s="8">
        <v>0</v>
      </c>
      <c r="S103" s="8"/>
      <c r="T103" s="8">
        <v>0</v>
      </c>
      <c r="U103" s="8"/>
      <c r="V103" s="8">
        <v>1</v>
      </c>
    </row>
    <row r="104" spans="1:22" ht="51" x14ac:dyDescent="0.2">
      <c r="A104" s="4" t="s">
        <v>42</v>
      </c>
      <c r="B104" s="8">
        <v>2006</v>
      </c>
      <c r="C104" s="41" t="s">
        <v>202</v>
      </c>
      <c r="D104" s="8">
        <v>2</v>
      </c>
      <c r="E104" s="8"/>
      <c r="F104" s="8">
        <v>2</v>
      </c>
      <c r="G104" s="8"/>
      <c r="H104" s="8">
        <v>1</v>
      </c>
      <c r="I104" s="13"/>
      <c r="J104" s="8"/>
      <c r="K104" s="8">
        <v>0</v>
      </c>
      <c r="L104" s="8"/>
      <c r="M104" s="8">
        <v>2</v>
      </c>
      <c r="N104" s="8"/>
      <c r="O104" s="8">
        <v>1</v>
      </c>
      <c r="Q104" s="8"/>
      <c r="R104" s="8">
        <v>0</v>
      </c>
      <c r="S104" s="8"/>
      <c r="T104" s="8">
        <v>0</v>
      </c>
      <c r="U104" s="8"/>
      <c r="V104" s="8">
        <v>1</v>
      </c>
    </row>
    <row r="105" spans="1:22" ht="51" x14ac:dyDescent="0.2">
      <c r="A105" s="4" t="s">
        <v>43</v>
      </c>
      <c r="B105" s="8">
        <v>2006</v>
      </c>
      <c r="C105" s="41" t="s">
        <v>203</v>
      </c>
      <c r="D105" s="8">
        <v>2</v>
      </c>
      <c r="E105" s="8"/>
      <c r="F105" s="8">
        <v>2</v>
      </c>
      <c r="G105" s="8"/>
      <c r="H105" s="8">
        <v>1</v>
      </c>
      <c r="I105" s="13"/>
      <c r="J105" s="8"/>
      <c r="K105" s="8">
        <v>0</v>
      </c>
      <c r="L105" s="8"/>
      <c r="M105" s="8">
        <v>2</v>
      </c>
      <c r="N105" s="8"/>
      <c r="O105" s="8">
        <v>1</v>
      </c>
      <c r="Q105" s="8"/>
      <c r="R105" s="8">
        <v>0</v>
      </c>
      <c r="S105" s="8"/>
      <c r="T105" s="8">
        <v>0</v>
      </c>
      <c r="U105" s="8"/>
      <c r="V105" s="8">
        <v>1</v>
      </c>
    </row>
    <row r="106" spans="1:22" ht="51" x14ac:dyDescent="0.2">
      <c r="A106" s="4" t="s">
        <v>44</v>
      </c>
      <c r="B106" s="8">
        <v>2007</v>
      </c>
      <c r="C106" s="41" t="s">
        <v>204</v>
      </c>
      <c r="D106" s="8">
        <v>2</v>
      </c>
      <c r="E106" s="8"/>
      <c r="F106" s="8">
        <v>2</v>
      </c>
      <c r="G106" s="8"/>
      <c r="H106" s="8">
        <v>1</v>
      </c>
      <c r="I106" s="13"/>
      <c r="J106" s="8"/>
      <c r="K106" s="8">
        <v>0</v>
      </c>
      <c r="L106" s="8"/>
      <c r="M106" s="8">
        <v>2</v>
      </c>
      <c r="N106" s="8"/>
      <c r="O106" s="8">
        <v>1</v>
      </c>
      <c r="Q106" s="8"/>
      <c r="R106" s="8">
        <v>0</v>
      </c>
      <c r="S106" s="8"/>
      <c r="T106" s="8">
        <v>0</v>
      </c>
      <c r="U106" s="8"/>
      <c r="V106" s="8">
        <v>1</v>
      </c>
    </row>
    <row r="107" spans="1:22" ht="51" x14ac:dyDescent="0.2">
      <c r="A107" s="4" t="s">
        <v>45</v>
      </c>
      <c r="B107" s="8">
        <v>2007</v>
      </c>
      <c r="C107" s="41" t="s">
        <v>205</v>
      </c>
      <c r="D107" s="8">
        <v>2</v>
      </c>
      <c r="E107" s="8"/>
      <c r="F107" s="8">
        <v>2</v>
      </c>
      <c r="G107" s="8"/>
      <c r="H107" s="8">
        <v>1</v>
      </c>
      <c r="I107" s="13"/>
      <c r="J107" s="8"/>
      <c r="K107" s="8">
        <v>0</v>
      </c>
      <c r="L107" s="8"/>
      <c r="M107" s="8">
        <v>2</v>
      </c>
      <c r="N107" s="8"/>
      <c r="O107" s="8">
        <v>1</v>
      </c>
      <c r="Q107" s="8"/>
      <c r="R107" s="8">
        <v>0</v>
      </c>
      <c r="S107" s="8"/>
      <c r="T107" s="8">
        <v>0</v>
      </c>
      <c r="U107" s="8"/>
      <c r="V107" s="8">
        <v>1</v>
      </c>
    </row>
    <row r="108" spans="1:22" ht="51" x14ac:dyDescent="0.2">
      <c r="A108" s="5" t="s">
        <v>46</v>
      </c>
      <c r="B108" s="9">
        <v>2008</v>
      </c>
      <c r="C108" s="41" t="s">
        <v>206</v>
      </c>
      <c r="D108" s="9">
        <v>2</v>
      </c>
      <c r="E108" s="9"/>
      <c r="F108" s="9">
        <v>2</v>
      </c>
      <c r="G108" s="9"/>
      <c r="H108" s="9">
        <v>1</v>
      </c>
      <c r="I108" s="13"/>
      <c r="J108" s="9"/>
      <c r="K108" s="9">
        <v>0</v>
      </c>
      <c r="L108" s="9"/>
      <c r="M108" s="9">
        <v>2</v>
      </c>
      <c r="N108" s="9"/>
      <c r="O108" s="9">
        <v>1</v>
      </c>
      <c r="Q108" s="9"/>
      <c r="R108" s="9">
        <v>0</v>
      </c>
      <c r="S108" s="9"/>
      <c r="T108" s="9">
        <v>0</v>
      </c>
      <c r="U108" s="9"/>
      <c r="V108" s="9">
        <v>1</v>
      </c>
    </row>
    <row r="109" spans="1:22" ht="51" x14ac:dyDescent="0.2">
      <c r="A109" s="5" t="s">
        <v>47</v>
      </c>
      <c r="B109" s="9">
        <v>2008</v>
      </c>
      <c r="C109" s="41" t="s">
        <v>207</v>
      </c>
      <c r="D109" s="9">
        <v>2</v>
      </c>
      <c r="E109" s="9"/>
      <c r="F109" s="9">
        <v>2</v>
      </c>
      <c r="G109" s="9"/>
      <c r="H109" s="9">
        <v>1</v>
      </c>
      <c r="I109" s="13"/>
      <c r="J109" s="9"/>
      <c r="K109" s="9">
        <v>0</v>
      </c>
      <c r="L109" s="9"/>
      <c r="M109" s="9">
        <v>2</v>
      </c>
      <c r="N109" s="9"/>
      <c r="O109" s="9">
        <v>1</v>
      </c>
      <c r="Q109" s="9"/>
      <c r="R109" s="9">
        <v>0</v>
      </c>
      <c r="S109" s="9"/>
      <c r="T109" s="9">
        <v>0</v>
      </c>
      <c r="U109" s="9"/>
      <c r="V109" s="9">
        <v>1</v>
      </c>
    </row>
    <row r="110" spans="1:22" ht="51" x14ac:dyDescent="0.2">
      <c r="A110" s="5" t="s">
        <v>48</v>
      </c>
      <c r="B110" s="9">
        <v>2009</v>
      </c>
      <c r="C110" s="41" t="s">
        <v>208</v>
      </c>
      <c r="D110" s="9">
        <v>2</v>
      </c>
      <c r="E110" s="9"/>
      <c r="F110" s="9">
        <v>2</v>
      </c>
      <c r="G110" s="9"/>
      <c r="H110" s="9">
        <v>1</v>
      </c>
      <c r="I110" s="13"/>
      <c r="J110" s="9"/>
      <c r="K110" s="9">
        <v>0</v>
      </c>
      <c r="L110" s="9"/>
      <c r="M110" s="9">
        <v>2</v>
      </c>
      <c r="N110" s="9"/>
      <c r="O110" s="9">
        <v>1</v>
      </c>
      <c r="Q110" s="9"/>
      <c r="R110" s="9">
        <v>0</v>
      </c>
      <c r="S110" s="9"/>
      <c r="T110" s="9">
        <v>0</v>
      </c>
      <c r="U110" s="9"/>
      <c r="V110" s="9">
        <v>1</v>
      </c>
    </row>
    <row r="111" spans="1:22" ht="51" x14ac:dyDescent="0.2">
      <c r="A111" s="5" t="s">
        <v>49</v>
      </c>
      <c r="B111" s="9">
        <v>2009</v>
      </c>
      <c r="C111" s="41" t="s">
        <v>209</v>
      </c>
      <c r="D111" s="9">
        <v>2</v>
      </c>
      <c r="E111" s="9"/>
      <c r="F111" s="9">
        <v>2</v>
      </c>
      <c r="G111" s="9"/>
      <c r="H111" s="9">
        <v>1</v>
      </c>
      <c r="I111" s="13"/>
      <c r="J111" s="9"/>
      <c r="K111" s="9">
        <v>0</v>
      </c>
      <c r="L111" s="9"/>
      <c r="M111" s="9">
        <v>2</v>
      </c>
      <c r="N111" s="9"/>
      <c r="O111" s="9">
        <v>1</v>
      </c>
      <c r="Q111" s="9"/>
      <c r="R111" s="9">
        <v>0</v>
      </c>
      <c r="S111" s="9"/>
      <c r="T111" s="9">
        <v>0</v>
      </c>
      <c r="U111" s="9"/>
      <c r="V111" s="9">
        <v>1</v>
      </c>
    </row>
    <row r="112" spans="1:22" ht="51" x14ac:dyDescent="0.2">
      <c r="A112" s="5" t="s">
        <v>50</v>
      </c>
      <c r="B112" s="9">
        <v>2010</v>
      </c>
      <c r="C112" s="41" t="s">
        <v>210</v>
      </c>
      <c r="D112" s="9">
        <v>2</v>
      </c>
      <c r="E112" s="9"/>
      <c r="F112" s="9">
        <v>2</v>
      </c>
      <c r="G112" s="9"/>
      <c r="H112" s="9">
        <v>1</v>
      </c>
      <c r="I112" s="13"/>
      <c r="J112" s="9"/>
      <c r="K112" s="9">
        <v>0</v>
      </c>
      <c r="L112" s="9"/>
      <c r="M112" s="9">
        <v>2</v>
      </c>
      <c r="N112" s="9"/>
      <c r="O112" s="9">
        <v>1</v>
      </c>
      <c r="Q112" s="9"/>
      <c r="R112" s="9">
        <v>0</v>
      </c>
      <c r="S112" s="9"/>
      <c r="T112" s="9">
        <v>2</v>
      </c>
      <c r="U112" s="9"/>
      <c r="V112" s="9">
        <v>1</v>
      </c>
    </row>
    <row r="113" spans="1:22" ht="51" x14ac:dyDescent="0.2">
      <c r="A113" s="5" t="s">
        <v>51</v>
      </c>
      <c r="B113" s="9">
        <v>2010</v>
      </c>
      <c r="C113" s="41" t="s">
        <v>211</v>
      </c>
      <c r="D113" s="9">
        <v>2</v>
      </c>
      <c r="E113" s="9"/>
      <c r="F113" s="9">
        <v>2</v>
      </c>
      <c r="G113" s="9"/>
      <c r="H113" s="9">
        <v>1</v>
      </c>
      <c r="I113" s="13"/>
      <c r="J113" s="9"/>
      <c r="K113" s="9">
        <v>0</v>
      </c>
      <c r="L113" s="9"/>
      <c r="M113" s="9">
        <v>2</v>
      </c>
      <c r="N113" s="9"/>
      <c r="O113" s="9">
        <v>1</v>
      </c>
      <c r="Q113" s="9"/>
      <c r="R113" s="9">
        <v>0</v>
      </c>
      <c r="S113" s="9"/>
      <c r="T113" s="9">
        <v>2</v>
      </c>
      <c r="U113" s="9"/>
      <c r="V113" s="9">
        <v>1</v>
      </c>
    </row>
    <row r="114" spans="1:22" ht="51" x14ac:dyDescent="0.2">
      <c r="A114" s="5" t="s">
        <v>52</v>
      </c>
      <c r="B114" s="9">
        <v>2011</v>
      </c>
      <c r="C114" s="41" t="s">
        <v>212</v>
      </c>
      <c r="D114" s="9">
        <v>2</v>
      </c>
      <c r="E114" s="9"/>
      <c r="F114" s="9">
        <v>2</v>
      </c>
      <c r="G114" s="9"/>
      <c r="H114" s="9">
        <v>1</v>
      </c>
      <c r="I114" s="13"/>
      <c r="J114" s="9"/>
      <c r="K114" s="9">
        <v>0</v>
      </c>
      <c r="L114" s="9"/>
      <c r="M114" s="9">
        <v>2</v>
      </c>
      <c r="N114" s="9"/>
      <c r="O114" s="9">
        <v>1</v>
      </c>
      <c r="Q114" s="9"/>
      <c r="R114" s="9">
        <v>0</v>
      </c>
      <c r="S114" s="9"/>
      <c r="T114" s="9">
        <v>2</v>
      </c>
      <c r="U114" s="9"/>
      <c r="V114" s="9">
        <v>1</v>
      </c>
    </row>
    <row r="115" spans="1:22" ht="51" x14ac:dyDescent="0.2">
      <c r="A115" s="5" t="s">
        <v>53</v>
      </c>
      <c r="B115" s="9">
        <v>2011</v>
      </c>
      <c r="C115" s="41" t="s">
        <v>213</v>
      </c>
      <c r="D115" s="9">
        <v>2</v>
      </c>
      <c r="E115" s="9"/>
      <c r="F115" s="9">
        <v>2</v>
      </c>
      <c r="G115" s="9"/>
      <c r="H115" s="9">
        <v>1</v>
      </c>
      <c r="I115" s="13"/>
      <c r="J115" s="9"/>
      <c r="K115" s="9">
        <v>0</v>
      </c>
      <c r="L115" s="9"/>
      <c r="M115" s="9">
        <v>2</v>
      </c>
      <c r="N115" s="9"/>
      <c r="O115" s="9">
        <v>1</v>
      </c>
      <c r="Q115" s="9"/>
      <c r="R115" s="9">
        <v>0</v>
      </c>
      <c r="S115" s="9"/>
      <c r="T115" s="9">
        <v>2</v>
      </c>
      <c r="U115" s="9"/>
      <c r="V115" s="9">
        <v>1</v>
      </c>
    </row>
    <row r="116" spans="1:22" ht="51" x14ac:dyDescent="0.2">
      <c r="A116" s="5" t="s">
        <v>54</v>
      </c>
      <c r="B116" s="9">
        <v>2012</v>
      </c>
      <c r="C116" s="41" t="s">
        <v>214</v>
      </c>
      <c r="D116" s="9">
        <v>2</v>
      </c>
      <c r="E116" s="9"/>
      <c r="F116" s="9">
        <v>2</v>
      </c>
      <c r="G116" s="9"/>
      <c r="H116" s="9">
        <v>1</v>
      </c>
      <c r="I116" s="13"/>
      <c r="J116" s="9"/>
      <c r="K116" s="9">
        <v>0</v>
      </c>
      <c r="L116" s="9"/>
      <c r="M116" s="9">
        <v>2</v>
      </c>
      <c r="N116" s="9"/>
      <c r="O116" s="9">
        <v>1</v>
      </c>
      <c r="Q116" s="9"/>
      <c r="R116" s="9">
        <v>0</v>
      </c>
      <c r="S116" s="9"/>
      <c r="T116" s="9">
        <v>2</v>
      </c>
      <c r="U116" s="9"/>
      <c r="V116" s="9">
        <v>1</v>
      </c>
    </row>
    <row r="117" spans="1:22" ht="51" x14ac:dyDescent="0.2">
      <c r="A117" s="3" t="s">
        <v>55</v>
      </c>
      <c r="B117" s="7">
        <v>2012</v>
      </c>
      <c r="C117" s="41" t="s">
        <v>215</v>
      </c>
      <c r="D117" s="7">
        <v>2</v>
      </c>
      <c r="E117" s="7"/>
      <c r="F117" s="7">
        <v>2</v>
      </c>
      <c r="G117" s="7"/>
      <c r="H117" s="7">
        <v>1</v>
      </c>
      <c r="I117" s="13"/>
      <c r="J117" s="7"/>
      <c r="K117" s="7">
        <v>0</v>
      </c>
      <c r="L117" s="7"/>
      <c r="M117" s="7">
        <v>2</v>
      </c>
      <c r="N117" s="7"/>
      <c r="O117" s="7">
        <v>1</v>
      </c>
      <c r="Q117" s="7"/>
      <c r="R117" s="7">
        <v>0</v>
      </c>
      <c r="S117" s="7"/>
      <c r="T117" s="7">
        <v>2</v>
      </c>
      <c r="U117" s="7"/>
      <c r="V117" s="7">
        <v>1</v>
      </c>
    </row>
    <row r="118" spans="1:22" ht="51" x14ac:dyDescent="0.2">
      <c r="A118" s="3" t="s">
        <v>56</v>
      </c>
      <c r="B118" s="7">
        <v>2013</v>
      </c>
      <c r="C118" s="41" t="s">
        <v>216</v>
      </c>
      <c r="D118" s="7">
        <v>2</v>
      </c>
      <c r="E118" s="7"/>
      <c r="F118" s="7">
        <v>2</v>
      </c>
      <c r="G118" s="7"/>
      <c r="H118" s="7">
        <v>1</v>
      </c>
      <c r="I118" s="13"/>
      <c r="J118" s="7"/>
      <c r="K118" s="7">
        <v>0</v>
      </c>
      <c r="L118" s="7"/>
      <c r="M118" s="7">
        <v>2</v>
      </c>
      <c r="N118" s="7"/>
      <c r="O118" s="7">
        <v>1</v>
      </c>
      <c r="Q118" s="7"/>
      <c r="R118" s="7">
        <v>0</v>
      </c>
      <c r="S118" s="7"/>
      <c r="T118" s="7">
        <v>2</v>
      </c>
      <c r="U118" s="7"/>
      <c r="V118" s="7">
        <v>1</v>
      </c>
    </row>
    <row r="119" spans="1:22" ht="51" x14ac:dyDescent="0.2">
      <c r="A119" s="3" t="s">
        <v>57</v>
      </c>
      <c r="B119" s="7">
        <v>2013</v>
      </c>
      <c r="C119" s="41" t="s">
        <v>217</v>
      </c>
      <c r="D119" s="7">
        <v>2</v>
      </c>
      <c r="E119" s="7"/>
      <c r="F119" s="7">
        <v>2</v>
      </c>
      <c r="G119" s="7"/>
      <c r="H119" s="7">
        <v>1</v>
      </c>
      <c r="I119" s="13"/>
      <c r="J119" s="7"/>
      <c r="K119" s="7">
        <v>0</v>
      </c>
      <c r="L119" s="7"/>
      <c r="M119" s="7">
        <v>2</v>
      </c>
      <c r="N119" s="7"/>
      <c r="O119" s="7">
        <v>1</v>
      </c>
      <c r="Q119" s="7"/>
      <c r="R119" s="7">
        <v>0</v>
      </c>
      <c r="S119" s="7"/>
      <c r="T119" s="7">
        <v>2</v>
      </c>
      <c r="U119" s="7"/>
      <c r="V119" s="7">
        <v>1</v>
      </c>
    </row>
    <row r="120" spans="1:22" ht="51" x14ac:dyDescent="0.2">
      <c r="A120" s="3" t="s">
        <v>58</v>
      </c>
      <c r="B120" s="7">
        <v>2014</v>
      </c>
      <c r="C120" s="41" t="s">
        <v>218</v>
      </c>
      <c r="D120" s="7">
        <v>2</v>
      </c>
      <c r="E120" s="7"/>
      <c r="F120" s="7">
        <v>2</v>
      </c>
      <c r="G120" s="7"/>
      <c r="H120" s="7">
        <v>1</v>
      </c>
      <c r="I120" s="13"/>
      <c r="J120" s="7"/>
      <c r="K120" s="7">
        <v>0</v>
      </c>
      <c r="L120" s="7"/>
      <c r="M120" s="7">
        <v>2</v>
      </c>
      <c r="N120" s="7"/>
      <c r="O120" s="7">
        <v>1</v>
      </c>
      <c r="Q120" s="7"/>
      <c r="R120" s="7">
        <v>0</v>
      </c>
      <c r="S120" s="7"/>
      <c r="T120" s="7">
        <v>2</v>
      </c>
      <c r="U120" s="7"/>
      <c r="V120" s="7">
        <v>1</v>
      </c>
    </row>
    <row r="121" spans="1:22" ht="51" x14ac:dyDescent="0.2">
      <c r="A121" s="3" t="s">
        <v>59</v>
      </c>
      <c r="B121" s="7">
        <v>2014</v>
      </c>
      <c r="C121" s="41" t="s">
        <v>219</v>
      </c>
      <c r="D121" s="7">
        <v>2</v>
      </c>
      <c r="E121" s="7"/>
      <c r="F121" s="7">
        <v>2</v>
      </c>
      <c r="G121" s="7"/>
      <c r="H121" s="7">
        <v>1</v>
      </c>
      <c r="I121" s="13"/>
      <c r="J121" s="7"/>
      <c r="K121" s="7">
        <v>0</v>
      </c>
      <c r="L121" s="7"/>
      <c r="M121" s="7">
        <v>2</v>
      </c>
      <c r="N121" s="7"/>
      <c r="O121" s="7">
        <v>1</v>
      </c>
      <c r="Q121" s="7"/>
      <c r="R121" s="7">
        <v>0</v>
      </c>
      <c r="S121" s="7"/>
      <c r="T121" s="7">
        <v>2</v>
      </c>
      <c r="U121" s="7"/>
      <c r="V121" s="7">
        <v>1</v>
      </c>
    </row>
    <row r="122" spans="1:22" ht="51" x14ac:dyDescent="0.2">
      <c r="A122" s="3" t="s">
        <v>60</v>
      </c>
      <c r="B122" s="7">
        <v>2015</v>
      </c>
      <c r="C122" s="41" t="s">
        <v>220</v>
      </c>
      <c r="D122" s="7">
        <v>2</v>
      </c>
      <c r="E122" s="7"/>
      <c r="F122" s="7">
        <v>2</v>
      </c>
      <c r="G122" s="7"/>
      <c r="H122" s="7">
        <v>1</v>
      </c>
      <c r="I122" s="13"/>
      <c r="J122" s="7"/>
      <c r="K122" s="7">
        <v>0</v>
      </c>
      <c r="L122" s="7"/>
      <c r="M122" s="7">
        <v>2</v>
      </c>
      <c r="N122" s="7"/>
      <c r="O122" s="7">
        <v>1</v>
      </c>
      <c r="Q122" s="7"/>
      <c r="R122" s="7">
        <v>0</v>
      </c>
      <c r="S122" s="7"/>
      <c r="T122" s="7">
        <v>2</v>
      </c>
      <c r="U122" s="7"/>
      <c r="V122" s="7">
        <v>1</v>
      </c>
    </row>
    <row r="123" spans="1:22" ht="51" x14ac:dyDescent="0.2">
      <c r="A123" s="3" t="s">
        <v>61</v>
      </c>
      <c r="B123" s="7">
        <v>2019</v>
      </c>
      <c r="C123" s="41" t="s">
        <v>221</v>
      </c>
      <c r="D123" s="7">
        <v>2</v>
      </c>
      <c r="E123" s="7"/>
      <c r="F123" s="7">
        <v>2</v>
      </c>
      <c r="G123" s="7"/>
      <c r="H123" s="7">
        <v>1</v>
      </c>
      <c r="I123" s="13"/>
      <c r="J123" s="7"/>
      <c r="K123" s="7">
        <v>0</v>
      </c>
      <c r="L123" s="7"/>
      <c r="M123" s="7">
        <v>2</v>
      </c>
      <c r="N123" s="7"/>
      <c r="O123" s="7">
        <v>1</v>
      </c>
      <c r="Q123" s="7"/>
      <c r="R123" s="7">
        <v>0</v>
      </c>
      <c r="S123" s="7"/>
      <c r="T123" s="7">
        <v>2</v>
      </c>
      <c r="U123" s="7"/>
      <c r="V123" s="7">
        <v>1</v>
      </c>
    </row>
    <row r="124" spans="1:22" ht="51" x14ac:dyDescent="0.2">
      <c r="A124" s="3" t="s">
        <v>187</v>
      </c>
      <c r="B124" s="7">
        <v>2024</v>
      </c>
      <c r="C124" s="41" t="s">
        <v>222</v>
      </c>
      <c r="D124" s="7">
        <v>2</v>
      </c>
      <c r="E124" s="7"/>
      <c r="F124" s="7">
        <v>2</v>
      </c>
      <c r="G124" s="7"/>
      <c r="H124" s="7">
        <v>1</v>
      </c>
      <c r="I124" s="13"/>
      <c r="J124" s="7"/>
      <c r="K124" s="7">
        <v>0</v>
      </c>
      <c r="L124" s="7"/>
      <c r="M124" s="7">
        <v>2</v>
      </c>
      <c r="N124" s="7"/>
      <c r="O124" s="7">
        <v>1</v>
      </c>
      <c r="Q124" s="7"/>
      <c r="R124" s="7">
        <v>0</v>
      </c>
      <c r="S124" s="7"/>
      <c r="T124" s="7">
        <v>2</v>
      </c>
      <c r="U124" s="7"/>
      <c r="V124" s="7">
        <v>1</v>
      </c>
    </row>
    <row r="125" spans="1:22" x14ac:dyDescent="0.2">
      <c r="A125" s="3"/>
      <c r="B125" s="7"/>
      <c r="D125" s="7"/>
      <c r="E125" s="7"/>
      <c r="F125" s="7"/>
      <c r="G125" s="7"/>
      <c r="H125" s="7"/>
      <c r="I125" s="13"/>
      <c r="J125" s="13"/>
      <c r="K125" s="7"/>
      <c r="L125" s="7"/>
      <c r="M125" s="7"/>
      <c r="N125" s="7"/>
      <c r="O125" s="7"/>
      <c r="R125" s="7"/>
      <c r="S125" s="7"/>
      <c r="T125" s="7"/>
      <c r="U125" s="7"/>
      <c r="V125" s="7"/>
    </row>
    <row r="126" spans="1:22" x14ac:dyDescent="0.2">
      <c r="A126" s="4"/>
      <c r="B126" s="8"/>
      <c r="D126" s="8"/>
      <c r="E126" s="8"/>
      <c r="F126" s="8"/>
      <c r="G126" s="8"/>
      <c r="H126" s="8"/>
      <c r="I126" s="13"/>
      <c r="J126" s="13"/>
      <c r="K126" s="8"/>
      <c r="L126" s="8"/>
      <c r="M126" s="8"/>
      <c r="N126" s="8"/>
      <c r="O126" s="8"/>
      <c r="R126" s="8"/>
      <c r="S126" s="8"/>
      <c r="T126" s="8"/>
      <c r="U126" s="8"/>
      <c r="V126" s="8"/>
    </row>
    <row r="127" spans="1:22" x14ac:dyDescent="0.2">
      <c r="A127" s="4"/>
      <c r="B127" s="8"/>
      <c r="D127" s="8"/>
      <c r="E127" s="8"/>
      <c r="F127" s="8"/>
      <c r="G127" s="8"/>
      <c r="H127" s="8"/>
      <c r="I127" s="13"/>
      <c r="J127" s="13"/>
      <c r="K127" s="8"/>
      <c r="L127" s="8"/>
      <c r="M127" s="8"/>
      <c r="N127" s="8"/>
      <c r="O127" s="8"/>
    </row>
    <row r="128" spans="1:22" x14ac:dyDescent="0.2">
      <c r="A128" s="4"/>
      <c r="B128" s="8"/>
      <c r="D128" s="8"/>
      <c r="E128" s="8"/>
      <c r="F128" s="8"/>
      <c r="G128" s="8"/>
      <c r="H128" s="8"/>
      <c r="I128" s="13"/>
      <c r="J128" s="13"/>
      <c r="K128" s="8"/>
      <c r="L128" s="8"/>
      <c r="M128" s="8"/>
      <c r="N128" s="8"/>
      <c r="O128" s="8"/>
    </row>
    <row r="129" spans="1:15" x14ac:dyDescent="0.2">
      <c r="A129" s="4"/>
      <c r="B129" s="8"/>
      <c r="D129" s="8"/>
      <c r="E129" s="8"/>
      <c r="F129" s="8"/>
      <c r="G129" s="8"/>
      <c r="H129" s="8"/>
      <c r="I129" s="13"/>
      <c r="J129" s="13"/>
      <c r="K129" s="8"/>
      <c r="L129" s="8"/>
      <c r="M129" s="8"/>
      <c r="N129" s="8"/>
      <c r="O129" s="8"/>
    </row>
    <row r="130" spans="1:15" x14ac:dyDescent="0.2">
      <c r="A130" s="4"/>
      <c r="B130" s="8"/>
      <c r="D130" s="8"/>
      <c r="E130" s="8"/>
      <c r="F130" s="8"/>
      <c r="G130" s="8"/>
      <c r="H130" s="8"/>
      <c r="I130" s="13"/>
      <c r="J130" s="13"/>
      <c r="K130" s="8"/>
      <c r="L130" s="8"/>
      <c r="M130" s="8"/>
      <c r="N130" s="8"/>
      <c r="O130" s="8"/>
    </row>
    <row r="131" spans="1:15" x14ac:dyDescent="0.2">
      <c r="A131" s="4"/>
      <c r="B131" s="8"/>
      <c r="D131" s="8"/>
      <c r="E131" s="8"/>
      <c r="F131" s="8"/>
      <c r="G131" s="8"/>
      <c r="H131" s="8"/>
      <c r="I131" s="13"/>
      <c r="J131" s="13"/>
      <c r="K131" s="8"/>
      <c r="L131" s="8"/>
      <c r="M131" s="8"/>
      <c r="N131" s="8"/>
      <c r="O131" s="8"/>
    </row>
    <row r="132" spans="1:15" x14ac:dyDescent="0.2">
      <c r="A132" s="4"/>
      <c r="B132" s="8"/>
      <c r="D132" s="8"/>
      <c r="E132" s="8"/>
      <c r="F132" s="8"/>
      <c r="G132" s="8"/>
      <c r="H132" s="8"/>
      <c r="I132" s="13"/>
      <c r="J132" s="13"/>
      <c r="K132" s="8"/>
      <c r="L132" s="8"/>
      <c r="M132" s="8"/>
      <c r="N132" s="8"/>
      <c r="O132" s="8"/>
    </row>
    <row r="133" spans="1:15" x14ac:dyDescent="0.2">
      <c r="A133" s="4"/>
      <c r="B133" s="8"/>
      <c r="D133" s="8"/>
      <c r="E133" s="8"/>
      <c r="F133" s="8"/>
      <c r="G133" s="8"/>
      <c r="H133" s="8"/>
      <c r="I133" s="13"/>
      <c r="J133" s="13"/>
      <c r="K133" s="8"/>
      <c r="L133" s="8"/>
      <c r="M133" s="8"/>
      <c r="N133" s="8"/>
      <c r="O133" s="8"/>
    </row>
    <row r="134" spans="1:15" x14ac:dyDescent="0.2">
      <c r="A134" s="4"/>
      <c r="B134" s="8"/>
      <c r="D134" s="8"/>
      <c r="E134" s="8"/>
      <c r="F134" s="8"/>
      <c r="G134" s="8"/>
      <c r="H134" s="8"/>
      <c r="I134" s="13"/>
      <c r="J134" s="13"/>
      <c r="K134" s="8"/>
      <c r="L134" s="8"/>
      <c r="M134" s="8"/>
      <c r="N134" s="8"/>
      <c r="O134" s="8"/>
    </row>
    <row r="135" spans="1:15" x14ac:dyDescent="0.2">
      <c r="A135" s="5"/>
      <c r="B135" s="9"/>
      <c r="D135" s="9"/>
      <c r="E135" s="9"/>
      <c r="F135" s="9"/>
      <c r="G135" s="9"/>
      <c r="H135" s="9"/>
      <c r="I135" s="13"/>
      <c r="J135" s="13"/>
      <c r="K135" s="9"/>
      <c r="L135" s="9"/>
      <c r="M135" s="9"/>
      <c r="N135" s="9"/>
      <c r="O135" s="9"/>
    </row>
    <row r="136" spans="1:15" x14ac:dyDescent="0.2">
      <c r="A136" s="5"/>
      <c r="B136" s="9"/>
      <c r="D136" s="9"/>
      <c r="E136" s="9"/>
      <c r="F136" s="9"/>
      <c r="G136" s="9"/>
      <c r="H136" s="9"/>
      <c r="I136" s="13"/>
      <c r="J136" s="13"/>
      <c r="K136" s="9"/>
      <c r="L136" s="9"/>
      <c r="M136" s="9"/>
      <c r="N136" s="9"/>
      <c r="O136" s="9"/>
    </row>
    <row r="137" spans="1:15" x14ac:dyDescent="0.2">
      <c r="A137" s="5"/>
      <c r="B137" s="9"/>
      <c r="D137" s="9"/>
      <c r="E137" s="9"/>
      <c r="F137" s="9"/>
      <c r="G137" s="9"/>
      <c r="H137" s="9"/>
      <c r="I137" s="13"/>
      <c r="J137" s="13"/>
      <c r="K137" s="9"/>
      <c r="L137" s="9"/>
      <c r="M137" s="9"/>
      <c r="N137" s="9"/>
      <c r="O137" s="9"/>
    </row>
    <row r="138" spans="1:15" x14ac:dyDescent="0.2">
      <c r="A138" s="5"/>
      <c r="B138" s="9"/>
      <c r="D138" s="9"/>
      <c r="E138" s="9"/>
      <c r="F138" s="9"/>
      <c r="G138" s="9"/>
      <c r="H138" s="9"/>
      <c r="I138" s="13"/>
      <c r="J138" s="13"/>
      <c r="K138" s="9"/>
      <c r="L138" s="9"/>
      <c r="M138" s="9"/>
      <c r="N138" s="9"/>
      <c r="O138" s="9"/>
    </row>
    <row r="139" spans="1:15" x14ac:dyDescent="0.2">
      <c r="A139" s="5"/>
      <c r="B139" s="9"/>
      <c r="D139" s="9"/>
      <c r="E139" s="9"/>
      <c r="F139" s="9"/>
      <c r="G139" s="9"/>
      <c r="H139" s="9"/>
      <c r="I139" s="13"/>
      <c r="J139" s="13"/>
      <c r="K139" s="9"/>
      <c r="L139" s="9"/>
      <c r="M139" s="9"/>
      <c r="N139" s="9"/>
      <c r="O139" s="9"/>
    </row>
    <row r="140" spans="1:15" x14ac:dyDescent="0.2">
      <c r="A140" s="5"/>
      <c r="B140" s="9"/>
      <c r="D140" s="9"/>
      <c r="E140" s="9"/>
      <c r="F140" s="9"/>
      <c r="G140" s="9"/>
      <c r="H140" s="9"/>
      <c r="I140" s="13"/>
      <c r="J140" s="13"/>
      <c r="K140" s="9"/>
      <c r="L140" s="9"/>
      <c r="M140" s="9"/>
      <c r="N140" s="9"/>
      <c r="O140" s="9"/>
    </row>
    <row r="141" spans="1:15" x14ac:dyDescent="0.2">
      <c r="A141" s="5"/>
      <c r="B141" s="9"/>
      <c r="D141" s="9"/>
      <c r="E141" s="9"/>
      <c r="F141" s="9"/>
      <c r="G141" s="9"/>
      <c r="H141" s="9"/>
      <c r="I141" s="13"/>
      <c r="J141" s="13"/>
      <c r="K141" s="9"/>
      <c r="L141" s="9"/>
      <c r="M141" s="9"/>
      <c r="N141" s="9"/>
      <c r="O141" s="9"/>
    </row>
    <row r="142" spans="1:15" x14ac:dyDescent="0.2">
      <c r="A142" s="5"/>
      <c r="B142" s="9"/>
      <c r="D142" s="9"/>
      <c r="E142" s="9"/>
      <c r="F142" s="9"/>
      <c r="G142" s="9"/>
      <c r="H142" s="9"/>
      <c r="I142" s="13"/>
      <c r="J142" s="13"/>
      <c r="K142" s="9"/>
      <c r="L142" s="9"/>
      <c r="M142" s="9"/>
      <c r="N142" s="9"/>
      <c r="O142" s="9"/>
    </row>
    <row r="143" spans="1:15" x14ac:dyDescent="0.2">
      <c r="A143" s="5"/>
      <c r="B143" s="9"/>
      <c r="D143" s="9"/>
      <c r="E143" s="9"/>
      <c r="F143" s="9"/>
      <c r="G143" s="9"/>
      <c r="H143" s="9"/>
      <c r="I143" s="13"/>
      <c r="J143" s="13"/>
      <c r="K143" s="9"/>
      <c r="L143" s="9"/>
      <c r="M143" s="9"/>
      <c r="N143" s="9"/>
      <c r="O143" s="9"/>
    </row>
    <row r="144" spans="1:15" x14ac:dyDescent="0.2">
      <c r="A144" s="3"/>
      <c r="B144" s="7"/>
      <c r="D144" s="7"/>
      <c r="E144" s="7"/>
      <c r="F144" s="7"/>
      <c r="G144" s="7"/>
      <c r="H144" s="7"/>
      <c r="I144" s="13"/>
      <c r="J144" s="13"/>
      <c r="K144" s="7"/>
      <c r="L144" s="7"/>
      <c r="M144" s="7"/>
      <c r="N144" s="7"/>
      <c r="O144" s="7"/>
    </row>
    <row r="145" spans="1:15" x14ac:dyDescent="0.2">
      <c r="A145" s="3"/>
      <c r="B145" s="7"/>
      <c r="D145" s="7"/>
      <c r="E145" s="7"/>
      <c r="F145" s="7"/>
      <c r="G145" s="7"/>
      <c r="H145" s="7"/>
      <c r="I145" s="13"/>
      <c r="J145" s="13"/>
      <c r="K145" s="7"/>
      <c r="L145" s="7"/>
      <c r="M145" s="7"/>
      <c r="N145" s="7"/>
      <c r="O145" s="7"/>
    </row>
    <row r="146" spans="1:15" x14ac:dyDescent="0.2">
      <c r="A146" s="3"/>
      <c r="B146" s="7"/>
      <c r="D146" s="7"/>
      <c r="E146" s="7"/>
      <c r="F146" s="7"/>
      <c r="G146" s="7"/>
      <c r="H146" s="7"/>
      <c r="I146" s="13"/>
      <c r="J146" s="13"/>
      <c r="K146" s="7"/>
      <c r="L146" s="7"/>
      <c r="M146" s="7"/>
      <c r="N146" s="7"/>
      <c r="O146" s="7"/>
    </row>
    <row r="147" spans="1:15" x14ac:dyDescent="0.2">
      <c r="A147" s="3"/>
      <c r="B147" s="7"/>
      <c r="D147" s="7"/>
      <c r="E147" s="7"/>
      <c r="F147" s="7"/>
      <c r="G147" s="7"/>
      <c r="H147" s="7"/>
      <c r="I147" s="13"/>
      <c r="J147" s="13"/>
      <c r="K147" s="7"/>
      <c r="L147" s="7"/>
      <c r="M147" s="7"/>
      <c r="N147" s="7"/>
      <c r="O147" s="7"/>
    </row>
    <row r="148" spans="1:15" x14ac:dyDescent="0.2">
      <c r="A148" s="3"/>
      <c r="B148" s="7"/>
      <c r="D148" s="7"/>
      <c r="E148" s="7"/>
      <c r="F148" s="7"/>
      <c r="G148" s="7"/>
      <c r="H148" s="7"/>
      <c r="I148" s="13"/>
      <c r="J148" s="13"/>
      <c r="K148" s="7"/>
      <c r="L148" s="7"/>
      <c r="M148" s="7"/>
      <c r="N148" s="7"/>
      <c r="O148" s="7"/>
    </row>
    <row r="149" spans="1:15" x14ac:dyDescent="0.2">
      <c r="A149" s="3"/>
      <c r="B149" s="7"/>
      <c r="D149" s="7"/>
      <c r="E149" s="7"/>
      <c r="F149" s="7"/>
      <c r="G149" s="7"/>
      <c r="H149" s="7"/>
      <c r="I149" s="13"/>
      <c r="J149" s="13"/>
      <c r="K149" s="7"/>
      <c r="L149" s="7"/>
      <c r="M149" s="7"/>
      <c r="N149" s="7"/>
      <c r="O149" s="7"/>
    </row>
    <row r="150" spans="1:15" x14ac:dyDescent="0.2">
      <c r="A150" s="3"/>
      <c r="B150" s="7"/>
      <c r="D150" s="7"/>
      <c r="E150" s="7"/>
      <c r="F150" s="7"/>
      <c r="G150" s="7"/>
      <c r="H150" s="7"/>
      <c r="I150" s="13"/>
      <c r="J150" s="13"/>
      <c r="K150" s="7"/>
      <c r="L150" s="7"/>
      <c r="M150" s="7"/>
      <c r="N150" s="7"/>
      <c r="O150" s="7"/>
    </row>
    <row r="151" spans="1:15" x14ac:dyDescent="0.2">
      <c r="A151" s="3"/>
      <c r="B151" s="7"/>
      <c r="D151" s="7"/>
      <c r="E151" s="7"/>
      <c r="F151" s="7"/>
      <c r="G151" s="7"/>
      <c r="H151" s="7"/>
      <c r="I151" s="13"/>
      <c r="J151" s="13"/>
      <c r="K151" s="7"/>
      <c r="L151" s="7"/>
      <c r="M151" s="7"/>
      <c r="N151" s="7"/>
      <c r="O151" s="7"/>
    </row>
    <row r="152" spans="1:15" x14ac:dyDescent="0.2">
      <c r="A152" s="3"/>
      <c r="B152" s="7"/>
      <c r="D152" s="7"/>
      <c r="E152" s="7"/>
      <c r="F152" s="7"/>
      <c r="G152" s="7"/>
      <c r="H152" s="7"/>
      <c r="I152" s="13"/>
      <c r="J152" s="13"/>
      <c r="K152" s="7"/>
      <c r="L152" s="7"/>
      <c r="M152" s="7"/>
      <c r="N152" s="7"/>
      <c r="O152" s="7"/>
    </row>
    <row r="153" spans="1:15" x14ac:dyDescent="0.2">
      <c r="A153" s="4"/>
      <c r="B153" s="8"/>
      <c r="D153" s="8"/>
      <c r="E153" s="8"/>
      <c r="F153" s="8"/>
      <c r="G153" s="8"/>
      <c r="H153" s="8"/>
      <c r="I153" s="13"/>
      <c r="J153" s="13"/>
      <c r="K153" s="8"/>
      <c r="L153" s="8"/>
      <c r="M153" s="8"/>
      <c r="N153" s="8"/>
      <c r="O153" s="8"/>
    </row>
    <row r="154" spans="1:15" x14ac:dyDescent="0.2">
      <c r="A154" s="4"/>
      <c r="B154" s="8"/>
      <c r="D154" s="8"/>
      <c r="E154" s="8"/>
      <c r="F154" s="8"/>
      <c r="G154" s="8"/>
      <c r="H154" s="8"/>
      <c r="I154" s="13"/>
      <c r="J154" s="13"/>
      <c r="K154" s="8"/>
      <c r="L154" s="8"/>
      <c r="M154" s="8"/>
      <c r="N154" s="8"/>
      <c r="O154" s="8"/>
    </row>
    <row r="155" spans="1:15" x14ac:dyDescent="0.2">
      <c r="A155" s="4"/>
      <c r="B155" s="8"/>
      <c r="D155" s="8"/>
      <c r="E155" s="8"/>
      <c r="F155" s="8"/>
      <c r="G155" s="8"/>
      <c r="H155" s="8"/>
      <c r="I155" s="13"/>
      <c r="J155" s="13"/>
      <c r="K155" s="8"/>
      <c r="L155" s="8"/>
      <c r="M155" s="8"/>
      <c r="N155" s="8"/>
      <c r="O155" s="8"/>
    </row>
    <row r="156" spans="1:15" x14ac:dyDescent="0.2">
      <c r="A156" s="4"/>
      <c r="B156" s="8"/>
      <c r="D156" s="8"/>
      <c r="E156" s="8"/>
      <c r="F156" s="8"/>
      <c r="G156" s="8"/>
      <c r="H156" s="8"/>
      <c r="I156" s="13"/>
      <c r="J156" s="13"/>
      <c r="K156" s="8"/>
      <c r="L156" s="8"/>
      <c r="M156" s="8"/>
      <c r="N156" s="8"/>
      <c r="O156" s="8"/>
    </row>
    <row r="157" spans="1:15" x14ac:dyDescent="0.2">
      <c r="A157" s="4"/>
      <c r="B157" s="8"/>
      <c r="D157" s="8"/>
      <c r="E157" s="8"/>
      <c r="F157" s="8"/>
      <c r="G157" s="8"/>
      <c r="H157" s="8"/>
      <c r="I157" s="13"/>
      <c r="J157" s="13"/>
      <c r="K157" s="8"/>
      <c r="L157" s="8"/>
      <c r="M157" s="8"/>
      <c r="N157" s="8"/>
      <c r="O157" s="8"/>
    </row>
    <row r="158" spans="1:15" x14ac:dyDescent="0.2">
      <c r="A158" s="4"/>
      <c r="B158" s="8"/>
      <c r="D158" s="8"/>
      <c r="E158" s="8"/>
      <c r="F158" s="8"/>
      <c r="G158" s="8"/>
      <c r="H158" s="8"/>
      <c r="I158" s="13"/>
      <c r="J158" s="13"/>
      <c r="K158" s="8"/>
      <c r="L158" s="8"/>
      <c r="M158" s="8"/>
      <c r="N158" s="8"/>
      <c r="O158" s="8"/>
    </row>
    <row r="159" spans="1:15" x14ac:dyDescent="0.2">
      <c r="A159" s="4"/>
      <c r="B159" s="8"/>
      <c r="D159" s="8"/>
      <c r="E159" s="8"/>
      <c r="F159" s="8"/>
      <c r="G159" s="8"/>
      <c r="H159" s="8"/>
      <c r="I159" s="13"/>
      <c r="J159" s="13"/>
      <c r="K159" s="8"/>
      <c r="L159" s="8"/>
      <c r="M159" s="8"/>
      <c r="N159" s="8"/>
      <c r="O159" s="8"/>
    </row>
    <row r="160" spans="1:15" x14ac:dyDescent="0.2">
      <c r="A160" s="4"/>
      <c r="B160" s="8"/>
      <c r="D160" s="8"/>
      <c r="E160" s="8"/>
      <c r="F160" s="8"/>
      <c r="G160" s="8"/>
      <c r="H160" s="8"/>
      <c r="I160" s="13"/>
      <c r="J160" s="13"/>
      <c r="K160" s="8"/>
      <c r="L160" s="8"/>
      <c r="M160" s="8"/>
      <c r="N160" s="8"/>
      <c r="O160" s="8"/>
    </row>
    <row r="161" spans="1:15" x14ac:dyDescent="0.2">
      <c r="A161" s="4"/>
      <c r="B161" s="8"/>
      <c r="D161" s="8"/>
      <c r="E161" s="8"/>
      <c r="F161" s="8"/>
      <c r="G161" s="8"/>
      <c r="H161" s="8"/>
      <c r="I161" s="13"/>
      <c r="J161" s="13"/>
      <c r="K161" s="8"/>
      <c r="L161" s="8"/>
      <c r="M161" s="8"/>
      <c r="N161" s="8"/>
      <c r="O161" s="8"/>
    </row>
    <row r="162" spans="1:15" x14ac:dyDescent="0.2">
      <c r="A162" s="5"/>
      <c r="B162" s="9"/>
      <c r="D162" s="9"/>
      <c r="E162" s="9"/>
      <c r="F162" s="9"/>
      <c r="G162" s="9"/>
      <c r="H162" s="9"/>
      <c r="I162" s="13"/>
      <c r="J162" s="13"/>
      <c r="K162" s="9"/>
      <c r="L162" s="9"/>
      <c r="M162" s="9"/>
      <c r="N162" s="9"/>
      <c r="O162" s="9"/>
    </row>
    <row r="163" spans="1:15" x14ac:dyDescent="0.2">
      <c r="A163" s="5"/>
      <c r="B163" s="9"/>
      <c r="D163" s="9"/>
      <c r="E163" s="9"/>
      <c r="F163" s="9"/>
      <c r="G163" s="9"/>
      <c r="H163" s="9"/>
      <c r="I163" s="13"/>
      <c r="J163" s="13"/>
      <c r="K163" s="9"/>
      <c r="L163" s="9"/>
      <c r="M163" s="9"/>
      <c r="N163" s="9"/>
      <c r="O163" s="9"/>
    </row>
    <row r="164" spans="1:15" x14ac:dyDescent="0.2">
      <c r="A164" s="5"/>
      <c r="B164" s="9"/>
      <c r="D164" s="9"/>
      <c r="E164" s="9"/>
      <c r="F164" s="9"/>
      <c r="G164" s="9"/>
      <c r="H164" s="9"/>
      <c r="I164" s="13"/>
      <c r="J164" s="13"/>
      <c r="K164" s="9"/>
      <c r="L164" s="9"/>
      <c r="M164" s="9"/>
      <c r="N164" s="9"/>
      <c r="O164" s="9"/>
    </row>
    <row r="165" spans="1:15" x14ac:dyDescent="0.2">
      <c r="A165" s="5"/>
      <c r="B165" s="9"/>
      <c r="D165" s="9"/>
      <c r="E165" s="9"/>
      <c r="F165" s="9"/>
      <c r="G165" s="9"/>
      <c r="H165" s="9"/>
      <c r="I165" s="13"/>
      <c r="J165" s="13"/>
      <c r="K165" s="9"/>
      <c r="L165" s="9"/>
      <c r="M165" s="9"/>
      <c r="N165" s="9"/>
      <c r="O165" s="9"/>
    </row>
    <row r="166" spans="1:15" x14ac:dyDescent="0.2">
      <c r="A166" s="5"/>
      <c r="B166" s="9"/>
      <c r="D166" s="9"/>
      <c r="E166" s="9"/>
      <c r="F166" s="9"/>
      <c r="G166" s="9"/>
      <c r="H166" s="9"/>
      <c r="I166" s="13"/>
      <c r="J166" s="13"/>
      <c r="K166" s="9"/>
      <c r="L166" s="9"/>
      <c r="M166" s="9"/>
      <c r="N166" s="9"/>
      <c r="O166" s="9"/>
    </row>
    <row r="167" spans="1:15" x14ac:dyDescent="0.2">
      <c r="A167" s="5"/>
      <c r="B167" s="9"/>
      <c r="D167" s="9"/>
      <c r="E167" s="9"/>
      <c r="F167" s="9"/>
      <c r="G167" s="9"/>
      <c r="H167" s="9"/>
      <c r="I167" s="13"/>
      <c r="J167" s="13"/>
      <c r="K167" s="9"/>
      <c r="L167" s="9"/>
      <c r="M167" s="9"/>
      <c r="N167" s="9"/>
      <c r="O167" s="9"/>
    </row>
    <row r="168" spans="1:15" x14ac:dyDescent="0.2">
      <c r="A168" s="5"/>
      <c r="B168" s="9"/>
      <c r="D168" s="9"/>
      <c r="E168" s="9"/>
      <c r="F168" s="9"/>
      <c r="G168" s="9"/>
      <c r="H168" s="9"/>
      <c r="I168" s="13"/>
      <c r="J168" s="13"/>
      <c r="K168" s="9"/>
      <c r="L168" s="9"/>
      <c r="M168" s="9"/>
      <c r="N168" s="9"/>
      <c r="O168" s="9"/>
    </row>
    <row r="169" spans="1:15" x14ac:dyDescent="0.2">
      <c r="A169" s="5"/>
      <c r="B169" s="9"/>
      <c r="D169" s="9"/>
      <c r="E169" s="9"/>
      <c r="F169" s="9"/>
      <c r="G169" s="9"/>
      <c r="H169" s="9"/>
      <c r="I169" s="13"/>
      <c r="J169" s="13"/>
      <c r="K169" s="9"/>
      <c r="L169" s="9"/>
      <c r="M169" s="9"/>
      <c r="N169" s="9"/>
      <c r="O169" s="9"/>
    </row>
    <row r="170" spans="1:15" x14ac:dyDescent="0.2">
      <c r="A170" s="5"/>
      <c r="B170" s="9"/>
      <c r="D170" s="9"/>
      <c r="E170" s="9"/>
      <c r="F170" s="9"/>
      <c r="G170" s="9"/>
      <c r="H170" s="9"/>
      <c r="I170" s="13"/>
      <c r="J170" s="13"/>
      <c r="K170" s="9"/>
      <c r="L170" s="9"/>
      <c r="M170" s="9"/>
      <c r="N170" s="9"/>
      <c r="O170" s="9"/>
    </row>
    <row r="171" spans="1:15" x14ac:dyDescent="0.2">
      <c r="A171" s="3"/>
      <c r="B171" s="7"/>
      <c r="D171" s="7"/>
      <c r="E171" s="7"/>
      <c r="F171" s="7"/>
      <c r="G171" s="7"/>
      <c r="H171" s="7"/>
      <c r="I171" s="13"/>
      <c r="J171" s="13"/>
      <c r="K171" s="7"/>
      <c r="L171" s="7"/>
      <c r="M171" s="7"/>
      <c r="N171" s="7"/>
      <c r="O171" s="7"/>
    </row>
    <row r="172" spans="1:15" x14ac:dyDescent="0.2">
      <c r="A172" s="3"/>
      <c r="B172" s="7"/>
      <c r="D172" s="7"/>
      <c r="E172" s="7"/>
      <c r="F172" s="7"/>
      <c r="G172" s="7"/>
      <c r="H172" s="7"/>
      <c r="I172" s="13"/>
      <c r="J172" s="13"/>
      <c r="K172" s="7"/>
      <c r="L172" s="7"/>
      <c r="M172" s="7"/>
      <c r="N172" s="7"/>
      <c r="O172" s="7"/>
    </row>
    <row r="173" spans="1:15" x14ac:dyDescent="0.2">
      <c r="A173" s="3"/>
      <c r="B173" s="7"/>
      <c r="D173" s="7"/>
      <c r="E173" s="7"/>
      <c r="F173" s="7"/>
      <c r="G173" s="7"/>
      <c r="H173" s="7"/>
      <c r="I173" s="13"/>
      <c r="J173" s="13"/>
      <c r="K173" s="7"/>
      <c r="L173" s="7"/>
      <c r="M173" s="7"/>
      <c r="N173" s="7"/>
      <c r="O173" s="7"/>
    </row>
    <row r="174" spans="1:15" x14ac:dyDescent="0.2">
      <c r="A174" s="3"/>
      <c r="B174" s="7"/>
      <c r="D174" s="7"/>
      <c r="E174" s="7"/>
      <c r="F174" s="7"/>
      <c r="G174" s="7"/>
      <c r="H174" s="7"/>
      <c r="I174" s="13"/>
      <c r="J174" s="13"/>
      <c r="K174" s="7"/>
      <c r="L174" s="7"/>
      <c r="M174" s="7"/>
      <c r="N174" s="7"/>
      <c r="O174" s="7"/>
    </row>
    <row r="175" spans="1:15" x14ac:dyDescent="0.2">
      <c r="A175" s="3"/>
      <c r="B175" s="7"/>
      <c r="D175" s="7"/>
      <c r="E175" s="7"/>
      <c r="F175" s="7"/>
      <c r="G175" s="7"/>
      <c r="H175" s="7"/>
      <c r="I175" s="13"/>
      <c r="J175" s="13"/>
      <c r="K175" s="7"/>
      <c r="L175" s="7"/>
      <c r="M175" s="7"/>
      <c r="N175" s="7"/>
      <c r="O175" s="7"/>
    </row>
    <row r="176" spans="1:15" x14ac:dyDescent="0.2">
      <c r="A176" s="3"/>
      <c r="B176" s="7"/>
      <c r="D176" s="7"/>
      <c r="E176" s="7"/>
      <c r="F176" s="7"/>
      <c r="G176" s="7"/>
      <c r="H176" s="7"/>
      <c r="I176" s="13"/>
      <c r="J176" s="13"/>
      <c r="K176" s="7"/>
      <c r="L176" s="7"/>
      <c r="M176" s="7"/>
      <c r="N176" s="7"/>
      <c r="O176" s="7"/>
    </row>
    <row r="177" spans="1:15" x14ac:dyDescent="0.2">
      <c r="A177" s="3"/>
      <c r="B177" s="7"/>
      <c r="D177" s="7"/>
      <c r="E177" s="7"/>
      <c r="F177" s="7"/>
      <c r="G177" s="7"/>
      <c r="H177" s="7"/>
      <c r="I177" s="13"/>
      <c r="J177" s="13"/>
      <c r="K177" s="7"/>
      <c r="L177" s="7"/>
      <c r="M177" s="7"/>
      <c r="N177" s="7"/>
      <c r="O177" s="7"/>
    </row>
    <row r="178" spans="1:15" x14ac:dyDescent="0.2">
      <c r="A178" s="3"/>
      <c r="B178" s="7"/>
      <c r="D178" s="7"/>
      <c r="E178" s="7"/>
      <c r="F178" s="7"/>
      <c r="G178" s="7"/>
      <c r="H178" s="7"/>
      <c r="I178" s="13"/>
      <c r="J178" s="13"/>
      <c r="K178" s="7"/>
      <c r="L178" s="7"/>
      <c r="M178" s="7"/>
      <c r="N178" s="7"/>
      <c r="O178" s="7"/>
    </row>
    <row r="179" spans="1:15" x14ac:dyDescent="0.2">
      <c r="A179" s="3"/>
      <c r="B179" s="7"/>
      <c r="D179" s="7"/>
      <c r="E179" s="7"/>
      <c r="F179" s="7"/>
      <c r="G179" s="7"/>
      <c r="H179" s="7"/>
      <c r="I179" s="13"/>
      <c r="J179" s="13"/>
      <c r="K179" s="7"/>
      <c r="L179" s="7"/>
      <c r="M179" s="7"/>
      <c r="N179" s="7"/>
      <c r="O179" s="7"/>
    </row>
    <row r="180" spans="1:15" x14ac:dyDescent="0.2">
      <c r="A180" s="4"/>
      <c r="B180" s="8"/>
      <c r="D180" s="8"/>
      <c r="E180" s="8"/>
      <c r="F180" s="8"/>
      <c r="G180" s="8"/>
      <c r="H180" s="8"/>
      <c r="I180" s="13"/>
      <c r="J180" s="13"/>
      <c r="K180" s="8"/>
      <c r="L180" s="8"/>
      <c r="M180" s="8"/>
      <c r="N180" s="8"/>
      <c r="O180" s="8"/>
    </row>
    <row r="181" spans="1:15" x14ac:dyDescent="0.2">
      <c r="A181" s="4"/>
      <c r="B181" s="8"/>
      <c r="D181" s="8"/>
      <c r="E181" s="8"/>
      <c r="F181" s="8"/>
      <c r="G181" s="8"/>
      <c r="H181" s="8"/>
      <c r="I181" s="13"/>
      <c r="J181" s="13"/>
      <c r="K181" s="8"/>
      <c r="L181" s="8"/>
      <c r="M181" s="8"/>
      <c r="N181" s="8"/>
      <c r="O181" s="8"/>
    </row>
    <row r="182" spans="1:15" x14ac:dyDescent="0.2">
      <c r="A182" s="4"/>
      <c r="B182" s="8"/>
      <c r="D182" s="8"/>
      <c r="E182" s="8"/>
      <c r="F182" s="8"/>
      <c r="G182" s="8"/>
      <c r="H182" s="8"/>
      <c r="I182" s="13"/>
      <c r="J182" s="13"/>
      <c r="K182" s="8"/>
      <c r="L182" s="8"/>
      <c r="M182" s="8"/>
      <c r="N182" s="8"/>
      <c r="O182" s="8"/>
    </row>
    <row r="183" spans="1:15" x14ac:dyDescent="0.2">
      <c r="A183" s="4"/>
      <c r="B183" s="8"/>
      <c r="D183" s="8"/>
      <c r="E183" s="8"/>
      <c r="F183" s="8"/>
      <c r="G183" s="8"/>
      <c r="H183" s="8"/>
      <c r="I183" s="13"/>
      <c r="J183" s="13"/>
      <c r="K183" s="8"/>
      <c r="L183" s="8"/>
      <c r="M183" s="8"/>
      <c r="N183" s="8"/>
      <c r="O183" s="8"/>
    </row>
    <row r="184" spans="1:15" x14ac:dyDescent="0.2">
      <c r="A184" s="4"/>
      <c r="B184" s="8"/>
      <c r="D184" s="8"/>
      <c r="E184" s="8"/>
      <c r="F184" s="8"/>
      <c r="G184" s="8"/>
      <c r="H184" s="8"/>
      <c r="I184" s="13"/>
      <c r="J184" s="13"/>
      <c r="K184" s="8"/>
      <c r="L184" s="8"/>
      <c r="M184" s="8"/>
      <c r="N184" s="8"/>
      <c r="O184" s="8"/>
    </row>
    <row r="185" spans="1:15" x14ac:dyDescent="0.2">
      <c r="A185" s="4"/>
      <c r="B185" s="8"/>
      <c r="D185" s="8"/>
      <c r="E185" s="8"/>
      <c r="F185" s="8"/>
      <c r="G185" s="8"/>
      <c r="H185" s="8"/>
      <c r="I185" s="13"/>
      <c r="J185" s="13"/>
      <c r="K185" s="8"/>
      <c r="L185" s="8"/>
      <c r="M185" s="8"/>
      <c r="N185" s="8"/>
      <c r="O185" s="8"/>
    </row>
    <row r="186" spans="1:15" x14ac:dyDescent="0.2">
      <c r="A186" s="4"/>
      <c r="B186" s="8"/>
      <c r="D186" s="8"/>
      <c r="E186" s="8"/>
      <c r="F186" s="8"/>
      <c r="G186" s="8"/>
      <c r="H186" s="8"/>
      <c r="I186" s="13"/>
      <c r="J186" s="13"/>
      <c r="K186" s="8"/>
      <c r="L186" s="8"/>
      <c r="M186" s="8"/>
      <c r="N186" s="8"/>
      <c r="O186" s="8"/>
    </row>
    <row r="187" spans="1:15" x14ac:dyDescent="0.2">
      <c r="A187" s="4"/>
      <c r="B187" s="8"/>
      <c r="D187" s="8"/>
      <c r="E187" s="8"/>
      <c r="F187" s="8"/>
      <c r="G187" s="8"/>
      <c r="H187" s="8"/>
      <c r="I187" s="13"/>
      <c r="J187" s="13"/>
      <c r="K187" s="8"/>
      <c r="L187" s="8"/>
      <c r="M187" s="8"/>
      <c r="N187" s="8"/>
      <c r="O187" s="8"/>
    </row>
    <row r="188" spans="1:15" x14ac:dyDescent="0.2">
      <c r="A188" s="4"/>
      <c r="B188" s="8"/>
      <c r="D188" s="8"/>
      <c r="E188" s="8"/>
      <c r="F188" s="8"/>
      <c r="G188" s="8"/>
      <c r="H188" s="8"/>
      <c r="I188" s="13"/>
      <c r="J188" s="13"/>
      <c r="K188" s="8"/>
      <c r="L188" s="8"/>
      <c r="M188" s="8"/>
      <c r="N188" s="8"/>
      <c r="O188" s="8"/>
    </row>
    <row r="189" spans="1:15" x14ac:dyDescent="0.2">
      <c r="A189" s="4"/>
      <c r="B189" s="8"/>
      <c r="D189" s="8"/>
      <c r="E189" s="8"/>
      <c r="F189" s="8"/>
      <c r="G189" s="8"/>
      <c r="H189" s="8"/>
      <c r="I189" s="13"/>
      <c r="J189" s="13"/>
      <c r="K189" s="8"/>
      <c r="L189" s="8"/>
      <c r="M189" s="8"/>
      <c r="N189" s="8"/>
      <c r="O189" s="8"/>
    </row>
  </sheetData>
  <mergeCells count="12">
    <mergeCell ref="A46:C46"/>
    <mergeCell ref="A86:B86"/>
    <mergeCell ref="F88:H88"/>
    <mergeCell ref="F1:K1"/>
    <mergeCell ref="F6:I6"/>
    <mergeCell ref="F11:I11"/>
    <mergeCell ref="F16:I16"/>
    <mergeCell ref="F21:I21"/>
    <mergeCell ref="F26:I26"/>
    <mergeCell ref="F31:I31"/>
    <mergeCell ref="F36:I36"/>
    <mergeCell ref="F41:I41"/>
  </mergeCells>
  <hyperlinks>
    <hyperlink ref="C90" r:id="rId1" xr:uid="{D87ADA1A-00DB-E949-ADD1-97F92527B82F}"/>
    <hyperlink ref="C91" r:id="rId2" xr:uid="{ADBFA2E2-6AD5-F342-8B14-AC817766612E}"/>
    <hyperlink ref="C92" r:id="rId3" xr:uid="{0B4A3131-9B91-B344-9D1F-6A5BEC935BFA}"/>
    <hyperlink ref="C93" r:id="rId4" xr:uid="{A990747F-1740-E049-8A8B-544A0C3B95CC}"/>
    <hyperlink ref="C94" r:id="rId5" xr:uid="{35AAAC37-7DFC-A94D-840C-118DEE78904B}"/>
    <hyperlink ref="C95" r:id="rId6" xr:uid="{04DB0537-9AB7-6A4E-9155-1315DBFC3260}"/>
    <hyperlink ref="C96" r:id="rId7" xr:uid="{6A579A22-3026-DF44-9778-12B42332A5E1}"/>
    <hyperlink ref="C97" r:id="rId8" xr:uid="{00CA1BBC-C2E2-A445-85DA-87D3A13FB58A}"/>
    <hyperlink ref="C98" r:id="rId9" xr:uid="{0C4B6619-81F6-3840-9EE0-305C5F53EEBC}"/>
    <hyperlink ref="C99" r:id="rId10" xr:uid="{9A3C0C98-365F-694B-9E1A-645443F60BEB}"/>
    <hyperlink ref="C100" r:id="rId11" xr:uid="{65453ED7-7C20-F041-8AE0-1122CEB1E1E5}"/>
    <hyperlink ref="C101" r:id="rId12" xr:uid="{B661A15C-1F3A-E84F-932F-8B9F86DD7A52}"/>
    <hyperlink ref="C102" r:id="rId13" xr:uid="{FDB60B93-8662-FF4C-9B95-D71474F19977}"/>
    <hyperlink ref="C103" r:id="rId14" xr:uid="{2AFBC2BD-8E6B-024E-B6F8-AF935E5270F9}"/>
    <hyperlink ref="C104" r:id="rId15" xr:uid="{8298AE8F-DD78-B043-8B62-958987A081BC}"/>
    <hyperlink ref="C105" r:id="rId16" xr:uid="{03DC19B8-2033-DC4C-B045-9312A4CDFB83}"/>
    <hyperlink ref="C106" r:id="rId17" xr:uid="{6D295934-B1A6-9644-A41A-3AF3D0D6509E}"/>
    <hyperlink ref="C107" r:id="rId18" xr:uid="{A61EE809-565B-F640-BCB2-0916BD7DB1E0}"/>
    <hyperlink ref="C108" r:id="rId19" xr:uid="{56B04465-22FD-8743-B964-C3A88A6540B4}"/>
    <hyperlink ref="C109" r:id="rId20" xr:uid="{B3681985-B43F-8747-9E83-95ECC0A70307}"/>
    <hyperlink ref="C110" r:id="rId21" xr:uid="{4213AC77-A23D-F048-9097-8EADE54B66E1}"/>
    <hyperlink ref="C111" r:id="rId22" xr:uid="{11136302-B1D4-C64C-829C-C00440973DFB}"/>
    <hyperlink ref="C112" r:id="rId23" xr:uid="{AD9A807D-3926-6D44-8E8B-CA2792FB9D97}"/>
    <hyperlink ref="C113" r:id="rId24" xr:uid="{4294016D-D3B3-2B42-AE0C-1D8D864681E0}"/>
    <hyperlink ref="C114" r:id="rId25" xr:uid="{CEB2D796-F9A6-FA46-B209-60B97A19ACB6}"/>
    <hyperlink ref="C115" r:id="rId26" xr:uid="{3D50476A-1052-7948-A259-5D0582169ABD}"/>
    <hyperlink ref="C116" r:id="rId27" xr:uid="{3578BD24-4802-4643-A06F-8D929F9A1738}"/>
    <hyperlink ref="C117" r:id="rId28" xr:uid="{2A362D92-9C99-CF44-9797-5C584BAF07E4}"/>
    <hyperlink ref="C118" r:id="rId29" xr:uid="{A701853D-F31C-BE4C-8D37-B12207EF178A}"/>
    <hyperlink ref="C119" r:id="rId30" xr:uid="{9758BE6C-EB3F-4948-9518-B694B3F81968}"/>
    <hyperlink ref="C120" r:id="rId31" xr:uid="{275A6277-1375-714E-AA07-7FE835DCB6E1}"/>
    <hyperlink ref="C121" r:id="rId32" xr:uid="{B4C7909C-1AE8-8144-A87A-15F52FF50AC2}"/>
    <hyperlink ref="C122" r:id="rId33" xr:uid="{8D0FFCBF-FA35-1044-8879-598AE33CF3D7}"/>
    <hyperlink ref="C123" r:id="rId34" xr:uid="{BB60216B-2C6C-2546-ABB6-1DBACE6D273F}"/>
    <hyperlink ref="C124" r:id="rId35" xr:uid="{367323C7-E051-224B-9897-D3CFFE86C0E2}"/>
  </hyperlinks>
  <pageMargins left="0.7" right="0.7" top="0.75" bottom="0.75" header="0.3" footer="0.3"/>
  <drawing r:id="rId36"/>
</worksheet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Infocom Series</vt:lpstr>
      <vt:lpstr>NancyDrew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Barack Liu</dc:creator>
  <cp:lastModifiedBy>Barack Liu</cp:lastModifiedBy>
  <dcterms:created xsi:type="dcterms:W3CDTF">2024-01-15T19:45:53Z</dcterms:created>
  <dcterms:modified xsi:type="dcterms:W3CDTF">2024-08-01T19:25:13Z</dcterms:modified>
</cp:coreProperties>
</file>