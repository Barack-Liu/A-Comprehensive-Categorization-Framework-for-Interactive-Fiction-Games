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hongyang_uw_edu/Documents/230925-Capstone-CSS -595-700/231006-Research-Progress- Excel/"/>
    </mc:Choice>
  </mc:AlternateContent>
  <xr:revisionPtr revIDLastSave="1268" documentId="13_ncr:1_{FC6593FF-A35B-824A-9A71-4279B9827657}" xr6:coauthVersionLast="47" xr6:coauthVersionMax="47" xr10:uidLastSave="{1DC62F8F-2732-1E4D-A250-D157E685B068}"/>
  <bookViews>
    <workbookView xWindow="-23360" yWindow="560" windowWidth="23360" windowHeight="14540" xr2:uid="{18342DF9-798A-DA42-BBC4-C755067F6B3B}"/>
  </bookViews>
  <sheets>
    <sheet name="Infocom Series" sheetId="11" r:id="rId1"/>
    <sheet name="NancyDrew" sheetId="1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85" i="14" l="1"/>
  <c r="V84" i="14"/>
  <c r="V83" i="14"/>
  <c r="V82" i="14"/>
  <c r="V81" i="14"/>
  <c r="V80" i="14"/>
  <c r="V79" i="14"/>
  <c r="V78" i="14"/>
  <c r="V77" i="14"/>
  <c r="V76" i="14"/>
  <c r="V75" i="14"/>
  <c r="V74" i="14"/>
  <c r="V73" i="14"/>
  <c r="V72" i="14"/>
  <c r="V71" i="14"/>
  <c r="V70" i="14"/>
  <c r="V69" i="14"/>
  <c r="V68" i="14"/>
  <c r="V67" i="14"/>
  <c r="V66" i="14"/>
  <c r="V65" i="14"/>
  <c r="V64" i="14"/>
  <c r="V63" i="14"/>
  <c r="V62" i="14"/>
  <c r="V61" i="14"/>
  <c r="V60" i="14"/>
  <c r="V59" i="14"/>
  <c r="T85" i="14"/>
  <c r="T84" i="14"/>
  <c r="T83" i="14"/>
  <c r="T82" i="14"/>
  <c r="T81" i="14"/>
  <c r="T80" i="14"/>
  <c r="T79" i="14"/>
  <c r="T78" i="14"/>
  <c r="T77" i="14"/>
  <c r="T76" i="14"/>
  <c r="T75" i="14"/>
  <c r="T74" i="14"/>
  <c r="T73" i="14"/>
  <c r="T72" i="14"/>
  <c r="T71" i="14"/>
  <c r="T70" i="14"/>
  <c r="T69" i="14"/>
  <c r="T68" i="14"/>
  <c r="T67" i="14"/>
  <c r="T66" i="14"/>
  <c r="T65" i="14"/>
  <c r="T64" i="14"/>
  <c r="T63" i="14"/>
  <c r="T62" i="14"/>
  <c r="T61" i="14"/>
  <c r="T60" i="14"/>
  <c r="T59" i="14"/>
  <c r="R85" i="14"/>
  <c r="R84" i="14"/>
  <c r="R83" i="14"/>
  <c r="R82" i="14"/>
  <c r="R81" i="14"/>
  <c r="R80" i="14"/>
  <c r="R79" i="14"/>
  <c r="R78" i="14"/>
  <c r="R77" i="14"/>
  <c r="R76" i="14"/>
  <c r="R75" i="14"/>
  <c r="R74" i="14"/>
  <c r="R73" i="14"/>
  <c r="R72" i="14"/>
  <c r="R71" i="14"/>
  <c r="R70" i="14"/>
  <c r="R69" i="14"/>
  <c r="R68" i="14"/>
  <c r="R67" i="14"/>
  <c r="R66" i="14"/>
  <c r="R65" i="14"/>
  <c r="R64" i="14"/>
  <c r="R63" i="14"/>
  <c r="R62" i="14"/>
  <c r="R61" i="14"/>
  <c r="R60" i="14"/>
  <c r="R59" i="14"/>
  <c r="O85" i="14"/>
  <c r="O84" i="14"/>
  <c r="O83" i="14"/>
  <c r="O82" i="14"/>
  <c r="O81" i="14"/>
  <c r="O80" i="14"/>
  <c r="O79" i="14"/>
  <c r="O78" i="14"/>
  <c r="O77" i="14"/>
  <c r="O76" i="14"/>
  <c r="O75" i="14"/>
  <c r="O74" i="14"/>
  <c r="O73" i="14"/>
  <c r="O72" i="14"/>
  <c r="O71" i="14"/>
  <c r="O70" i="14"/>
  <c r="O69" i="14"/>
  <c r="O68" i="14"/>
  <c r="O67" i="14"/>
  <c r="O66" i="14"/>
  <c r="O65" i="14"/>
  <c r="O64" i="14"/>
  <c r="O63" i="14"/>
  <c r="O62" i="14"/>
  <c r="O61" i="14"/>
  <c r="O60" i="14"/>
  <c r="O59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K85" i="14"/>
  <c r="K84" i="14"/>
  <c r="K83" i="14"/>
  <c r="K82" i="14"/>
  <c r="K81" i="14"/>
  <c r="K80" i="14"/>
  <c r="K79" i="14"/>
  <c r="K78" i="14"/>
  <c r="K77" i="14"/>
  <c r="K76" i="14"/>
  <c r="K75" i="14"/>
  <c r="K74" i="14"/>
  <c r="K73" i="14"/>
  <c r="K72" i="14"/>
  <c r="K71" i="14"/>
  <c r="K70" i="14"/>
  <c r="K69" i="14"/>
  <c r="K68" i="14"/>
  <c r="K67" i="14"/>
  <c r="K66" i="14"/>
  <c r="K65" i="14"/>
  <c r="K64" i="14"/>
  <c r="K63" i="14"/>
  <c r="K62" i="14"/>
  <c r="K61" i="14"/>
  <c r="K60" i="14"/>
  <c r="K59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D85" i="14"/>
  <c r="D76" i="14"/>
  <c r="D67" i="14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O85" i="11"/>
  <c r="O84" i="11"/>
  <c r="O83" i="11"/>
  <c r="O82" i="11"/>
  <c r="O81" i="11"/>
  <c r="O80" i="11"/>
  <c r="O79" i="11"/>
  <c r="O78" i="11"/>
  <c r="O77" i="11"/>
  <c r="O76" i="11"/>
  <c r="O75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61" i="11"/>
  <c r="O60" i="11"/>
  <c r="O59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K67" i="11"/>
  <c r="K66" i="11"/>
  <c r="K65" i="11"/>
  <c r="K64" i="11"/>
  <c r="K63" i="11"/>
  <c r="K62" i="11"/>
  <c r="K61" i="11"/>
  <c r="K60" i="11"/>
  <c r="K59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84" i="14"/>
  <c r="D83" i="14"/>
  <c r="D82" i="14"/>
  <c r="D81" i="14"/>
  <c r="D80" i="14"/>
  <c r="D79" i="14"/>
  <c r="D78" i="14"/>
  <c r="D77" i="14"/>
  <c r="D75" i="14"/>
  <c r="D74" i="14"/>
  <c r="D73" i="14"/>
  <c r="D72" i="14"/>
  <c r="D71" i="14"/>
  <c r="D70" i="14"/>
  <c r="D69" i="14"/>
  <c r="D68" i="14"/>
  <c r="D66" i="14"/>
  <c r="D65" i="14"/>
  <c r="D64" i="14"/>
  <c r="D63" i="14"/>
  <c r="D62" i="14"/>
  <c r="D61" i="14"/>
  <c r="D60" i="14"/>
  <c r="D59" i="14"/>
  <c r="O86" i="14" l="1"/>
  <c r="K86" i="14"/>
  <c r="M86" i="14"/>
  <c r="T86" i="14"/>
  <c r="V86" i="14"/>
  <c r="F86" i="14"/>
  <c r="R86" i="14"/>
  <c r="D86" i="14"/>
  <c r="H86" i="14"/>
  <c r="V86" i="11" l="1"/>
  <c r="T86" i="11"/>
  <c r="R86" i="11"/>
  <c r="H86" i="11"/>
  <c r="M86" i="11"/>
  <c r="K86" i="11"/>
  <c r="O86" i="11"/>
  <c r="D86" i="11"/>
  <c r="F86" i="11"/>
</calcChain>
</file>

<file path=xl/sharedStrings.xml><?xml version="1.0" encoding="utf-8"?>
<sst xmlns="http://schemas.openxmlformats.org/spreadsheetml/2006/main" count="446" uniqueCount="262">
  <si>
    <t>Game name</t>
  </si>
  <si>
    <t>x</t>
  </si>
  <si>
    <t>y</t>
  </si>
  <si>
    <t>Name</t>
  </si>
  <si>
    <t>Text input only</t>
  </si>
  <si>
    <t>Mouse click only</t>
  </si>
  <si>
    <t>Text input and mouse click</t>
  </si>
  <si>
    <t>Y</t>
  </si>
  <si>
    <t xml:space="preserve">The Lurking Horror </t>
  </si>
  <si>
    <t>Linear limited options</t>
  </si>
  <si>
    <t>Non-linear limited options</t>
  </si>
  <si>
    <t>Non-linear open options</t>
  </si>
  <si>
    <t>Single defined end</t>
  </si>
  <si>
    <t>Multiple defined end</t>
  </si>
  <si>
    <t>Multiple undefined end</t>
  </si>
  <si>
    <t>Text and pictures</t>
  </si>
  <si>
    <t>Text, pictures and animation</t>
  </si>
  <si>
    <t>Y: Publish Year</t>
  </si>
  <si>
    <t>Before 2000</t>
  </si>
  <si>
    <t>Text output only</t>
  </si>
  <si>
    <t>Limited action time</t>
  </si>
  <si>
    <t>Unlimitd action time</t>
  </si>
  <si>
    <t>Mix of limited and unlimited action time</t>
  </si>
  <si>
    <t>Story Ending</t>
  </si>
  <si>
    <t>Sum</t>
  </si>
  <si>
    <t>Support stats and support resouce management</t>
  </si>
  <si>
    <t>Support stats and don't support resource management</t>
  </si>
  <si>
    <t>Deadline</t>
  </si>
  <si>
    <t>Secrets Can Kill</t>
  </si>
  <si>
    <t>Stay Tuned for Danger</t>
  </si>
  <si>
    <t>Secrets Can Kill Remastered</t>
  </si>
  <si>
    <t>Message in a Haunted Mansion</t>
  </si>
  <si>
    <t>Treasure in the Royal Tower</t>
  </si>
  <si>
    <t>The Final Scene</t>
  </si>
  <si>
    <t>Secret of the Scarlet Hand</t>
  </si>
  <si>
    <t>The Haunted Carousel</t>
  </si>
  <si>
    <t>Danger on Deception Island</t>
  </si>
  <si>
    <t>The Secret of Shadow Ranch</t>
  </si>
  <si>
    <t>Curse of Blackmoor Manor</t>
  </si>
  <si>
    <t>Secret of the Old Clock</t>
  </si>
  <si>
    <t>Last Train to Blue Moon Canyon</t>
  </si>
  <si>
    <t>Danger by Design</t>
  </si>
  <si>
    <t>The Creature of Kapu Cave</t>
  </si>
  <si>
    <t>The White Wolf of Icicle Creek</t>
  </si>
  <si>
    <t>Legend of the Crystal Skull</t>
  </si>
  <si>
    <t>The Phantom of Venice</t>
  </si>
  <si>
    <t>The Haunting of Castle Malloy</t>
  </si>
  <si>
    <t>Ransom of the Seven Ships</t>
  </si>
  <si>
    <t>Warnings at Waverly Academy</t>
  </si>
  <si>
    <t>Trail of the Twister</t>
  </si>
  <si>
    <t>Shadow at the Water's Edge</t>
  </si>
  <si>
    <t>The Captive Curse</t>
  </si>
  <si>
    <t>Alibi in Ashes</t>
  </si>
  <si>
    <t>Tomb of the Lost Queen</t>
  </si>
  <si>
    <t>The Deadly Device</t>
  </si>
  <si>
    <t>Ghost of Thornton Hall</t>
  </si>
  <si>
    <t>The Silent Spy</t>
  </si>
  <si>
    <t>The Shattered Medallion</t>
  </si>
  <si>
    <t>Labyrinth of Lies</t>
  </si>
  <si>
    <t>Sea of Darkness</t>
  </si>
  <si>
    <t>Midnight in Salem</t>
  </si>
  <si>
    <t xml:space="preserve">Zork I: The Great Underground Empire </t>
  </si>
  <si>
    <t xml:space="preserve">Zork II: The Wizard of Frobozz </t>
  </si>
  <si>
    <t xml:space="preserve">Zork III: The Dungeon Master </t>
  </si>
  <si>
    <t>Enchanter</t>
  </si>
  <si>
    <t xml:space="preserve">Sorcerer </t>
  </si>
  <si>
    <t xml:space="preserve">Spellbreaker </t>
  </si>
  <si>
    <t xml:space="preserve">Mini Zork I: The Great Underground Empire </t>
  </si>
  <si>
    <t xml:space="preserve">Beyond Zork: The Coconut of Quendor </t>
  </si>
  <si>
    <t xml:space="preserve">Zork Zero: The Revenge of Megaboz </t>
  </si>
  <si>
    <t xml:space="preserve">Zork: The Undiscovered Underground </t>
  </si>
  <si>
    <t xml:space="preserve">Planetfall </t>
  </si>
  <si>
    <t xml:space="preserve">Stationfall </t>
  </si>
  <si>
    <t xml:space="preserve">Starcross </t>
  </si>
  <si>
    <t xml:space="preserve">Suspended: A Cryogenic Nightmare </t>
  </si>
  <si>
    <t>The Witness</t>
  </si>
  <si>
    <t xml:space="preserve">Infidel </t>
  </si>
  <si>
    <t>Seastalker</t>
  </si>
  <si>
    <t>Cutthroats</t>
  </si>
  <si>
    <t xml:space="preserve">The Hitchhiker's Guide to the Galaxy </t>
  </si>
  <si>
    <t xml:space="preserve">Suspect </t>
  </si>
  <si>
    <t xml:space="preserve">A Mind Forever Voyaging </t>
  </si>
  <si>
    <t xml:space="preserve">Wishbringer: The Magick Stone of Dreams </t>
  </si>
  <si>
    <t xml:space="preserve">Ballyhoo </t>
  </si>
  <si>
    <t xml:space="preserve">Hollywood Hijinx </t>
  </si>
  <si>
    <t xml:space="preserve">Leather Goddesses of Phobos </t>
  </si>
  <si>
    <t>Moonmist</t>
  </si>
  <si>
    <t xml:space="preserve">Trinity </t>
  </si>
  <si>
    <t xml:space="preserve">Border Zone </t>
  </si>
  <si>
    <t>Bureaucracy</t>
  </si>
  <si>
    <t xml:space="preserve">Nord and Bert Couldn't Make Head or Tail of It </t>
  </si>
  <si>
    <t xml:space="preserve">Plundered Hearts </t>
  </si>
  <si>
    <t xml:space="preserve">Sherlock: The Riddle of the Crown Jewels </t>
  </si>
  <si>
    <t xml:space="preserve">Arthur: The Quest for Excalibur </t>
  </si>
  <si>
    <t xml:space="preserve">James Clavell's Shogun </t>
  </si>
  <si>
    <t xml:space="preserve">Journey </t>
  </si>
  <si>
    <t>Firstly Published Year</t>
  </si>
  <si>
    <t>No support for stats and no suppoort for resource management</t>
  </si>
  <si>
    <t>Single platform on PC/Phone</t>
  </si>
  <si>
    <t>Single planform on Console</t>
  </si>
  <si>
    <t>Multiple planforms</t>
  </si>
  <si>
    <t>Single player</t>
  </si>
  <si>
    <t>Two players</t>
  </si>
  <si>
    <t>Three or more players</t>
  </si>
  <si>
    <t>Free to play</t>
  </si>
  <si>
    <t>Pay to play</t>
  </si>
  <si>
    <t>In-game ad or purchase</t>
  </si>
  <si>
    <t>Platform Compatibility</t>
  </si>
  <si>
    <t>Monetization Model</t>
  </si>
  <si>
    <t>Code</t>
  </si>
  <si>
    <t>C1: Human Computer Interaction</t>
  </si>
  <si>
    <t>C2: Visual Support</t>
  </si>
  <si>
    <t>C3: Game option</t>
  </si>
  <si>
    <t>C4: Action Time</t>
  </si>
  <si>
    <t>C5: Story ending</t>
  </si>
  <si>
    <t>C6: Stats System</t>
  </si>
  <si>
    <t>C7: Platform Compatibility</t>
  </si>
  <si>
    <t>C8: Player Count</t>
  </si>
  <si>
    <t>C9: Monetization Model</t>
  </si>
  <si>
    <t>C1 X</t>
  </si>
  <si>
    <t>C2 X</t>
  </si>
  <si>
    <t>C3 X</t>
  </si>
  <si>
    <t>C4 X</t>
  </si>
  <si>
    <t>C5 X</t>
  </si>
  <si>
    <t>C6 X</t>
  </si>
  <si>
    <t>C7 X</t>
  </si>
  <si>
    <t>C9 X</t>
  </si>
  <si>
    <t>C8 X</t>
  </si>
  <si>
    <t>2000~2002</t>
  </si>
  <si>
    <t>2003~2005</t>
  </si>
  <si>
    <t>2006~2008</t>
  </si>
  <si>
    <t>2009~2011</t>
  </si>
  <si>
    <t>2012~2014</t>
  </si>
  <si>
    <t>2015~2017</t>
  </si>
  <si>
    <t>2018~2020</t>
  </si>
  <si>
    <t>2021~2023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</si>
  <si>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</si>
  <si>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</si>
  <si>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</si>
  <si>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</si>
  <si>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</si>
  <si>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</si>
  <si>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</si>
  <si>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</si>
  <si>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</si>
  <si>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Keyboard</t>
  </si>
  <si>
    <t>Mouse</t>
  </si>
  <si>
    <t>Mouse only</t>
  </si>
  <si>
    <t>Text</t>
  </si>
  <si>
    <t>Picture</t>
  </si>
  <si>
    <t>Video</t>
  </si>
  <si>
    <t>Linear limited</t>
  </si>
  <si>
    <t>Non-linear limited</t>
  </si>
  <si>
    <t>Non-linear open</t>
  </si>
  <si>
    <t>Limited</t>
  </si>
  <si>
    <t>Mix</t>
  </si>
  <si>
    <t>Unlimited</t>
  </si>
  <si>
    <t>Single defined</t>
  </si>
  <si>
    <t>Multiple defined</t>
  </si>
  <si>
    <t>No defined</t>
  </si>
  <si>
    <t>No stats &amp; no resource</t>
  </si>
  <si>
    <t>Stats &amp; no resource</t>
  </si>
  <si>
    <t>Stats &amp; resource</t>
  </si>
  <si>
    <t>Single PC/Phone</t>
  </si>
  <si>
    <t>Single Console</t>
  </si>
  <si>
    <t>Multiple</t>
  </si>
  <si>
    <t>Single</t>
  </si>
  <si>
    <t>Two</t>
  </si>
  <si>
    <t>Three or more</t>
  </si>
  <si>
    <t>Free</t>
  </si>
  <si>
    <t>Purchase before playing</t>
  </si>
  <si>
    <t>In-game ad/purchase</t>
  </si>
  <si>
    <t>X axis</t>
  </si>
  <si>
    <t>y axis</t>
  </si>
  <si>
    <t>Category</t>
  </si>
  <si>
    <t xml:space="preserve">Story Ending </t>
  </si>
  <si>
    <t xml:space="preserve">Monetization Model </t>
  </si>
  <si>
    <t>1980-1981</t>
  </si>
  <si>
    <t>User Input</t>
  </si>
  <si>
    <t>Visual Output</t>
  </si>
  <si>
    <t>Story Option</t>
  </si>
  <si>
    <t>Time to Respond</t>
  </si>
  <si>
    <t>Stats &amp; Resouce</t>
  </si>
  <si>
    <t>Number of Players</t>
  </si>
  <si>
    <t>Stats &amp; Resource</t>
  </si>
  <si>
    <t>Platform Compatability</t>
  </si>
  <si>
    <t>Mystery of the Seven Keys</t>
  </si>
  <si>
    <t>https://www.herinteractive.com/shop-games/nancy-drew-secrets-can-kill/</t>
  </si>
  <si>
    <t>https://www.herinteractive.com/shop-games/nancy-drew-secrets-can-kill-remastered/</t>
  </si>
  <si>
    <t>https://www.herinteractive.com/shop-games/nancy-drew-stay-tuned-for-danger/</t>
  </si>
  <si>
    <t>https://www.herinteractive.com/shop-games/nancy-drew-message-in-a-haunted-mansion/</t>
  </si>
  <si>
    <t>https://www.herinteractive.com/shop-games/nancy-drew-treasure-in-the-royal-tower/</t>
  </si>
  <si>
    <t>https://www.herinteractive.com/shop-games/nancy-drew-the-final-scene/</t>
  </si>
  <si>
    <t>https://www.herinteractive.com/shop-games/nancy-drew-secret-of-the-scarlet-hand/</t>
  </si>
  <si>
    <t>https://www.herinteractive.com/shop-games/nancy-drew-ghost-dogs-of-moon-lake/</t>
  </si>
  <si>
    <t>https://www.herinteractive.com/shop-games/nancy-drew-the-haunted-carousel/</t>
  </si>
  <si>
    <t>https://www.herinteractive.com/shop-games/nancy-drew-danger-on-deception-island/</t>
  </si>
  <si>
    <t>https://www.herinteractive.com/shop-games/nancy-drew-the-secret-of-shadow-ranch/</t>
  </si>
  <si>
    <t>https://www.herinteractive.com/shop-games/nancy-drew-curse-of-blackmoor-manor/</t>
  </si>
  <si>
    <t>https://www.herinteractive.com/shop-games/nancy-drew-secret-of-the-old-clock/</t>
  </si>
  <si>
    <t>https://www.herinteractive.com/shop-games/nancy-drew-last-train-to-blue-moon-canyon/</t>
  </si>
  <si>
    <t>https://www.herinteractive.com/shop-games/nancy-drew-danger-by-design/</t>
  </si>
  <si>
    <t>https://www.herinteractive.com/shop-games/nancy-drew-the-creature-of-kapu-cave/</t>
  </si>
  <si>
    <t>https://www.herinteractive.com/shop-games/nancy-drew-the-white-wolf-of-icicle-creek/</t>
  </si>
  <si>
    <t>https://www.herinteractive.com/shop-games/nancy-drew-legend-of-the-crystal-skull/</t>
  </si>
  <si>
    <t>https://www.herinteractive.com/shop-games/nancy-drew-the-phantom-of-venice/</t>
  </si>
  <si>
    <t>https://www.herinteractive.com/shop-games/nancy-drew-the-haunting-of-castle-malloy/</t>
  </si>
  <si>
    <t>https://www.herinteractive.com/shop-games/nancy-drew-ransom-of-the-seven-ships/</t>
  </si>
  <si>
    <t>https://www.herinteractive.com/shop-games/nancy-drew-warnings-at-waverly-academy/</t>
  </si>
  <si>
    <t>https://www.herinteractive.com/shop-games/nancy-drew-trail-of-the-twister/</t>
  </si>
  <si>
    <t>https://www.herinteractive.com/shop-games/nancy-drew-shadow-at-the-waters-edge/</t>
  </si>
  <si>
    <t>https://www.herinteractive.com/shop-games/nancy-drew-the-captive-curse/</t>
  </si>
  <si>
    <t>https://www.herinteractive.com/shop-games/nancy-drew-alibi-in-ashes/</t>
  </si>
  <si>
    <t>https://www.herinteractive.com/shop-games/nancy-drew-tomb-of-the-lost-queen/</t>
  </si>
  <si>
    <t>https://www.herinteractive.com/shop-games/nancy-drew-the-deadly-device/</t>
  </si>
  <si>
    <t>https://www.herinteractive.com/shop-games/nancy-drew-ghost-of-thornton-hall/</t>
  </si>
  <si>
    <t>https://www.herinteractive.com/shop-games/nancy-drew-the-silent-spy/</t>
  </si>
  <si>
    <t>https://www.herinteractive.com/shop-games/nancy-drew-the-shattered-medallion/</t>
  </si>
  <si>
    <t>https://www.herinteractive.com/shop-games/nancy-drew-labyrinth-of-lies/</t>
  </si>
  <si>
    <t>https://www.herinteractive.com/shop-games/nancy-drew-sea-of-darkness/</t>
  </si>
  <si>
    <t>https://www.herinteractive.com/shop-games/33-nancy-drew-midnight-in-salem/</t>
  </si>
  <si>
    <t>https://www.herinteractive.com/shop-games/34-nancy-drew-mystery-of-the-seven-keys/</t>
  </si>
  <si>
    <t>Game Name</t>
  </si>
  <si>
    <t>Published Year</t>
  </si>
  <si>
    <t>Ghost Dogs of Moon Lake</t>
  </si>
  <si>
    <t>https://ifdb.org/viewgame?id=vu4xhul3abknifcr</t>
  </si>
  <si>
    <t>https://ifdb.org/viewgame?id=lidg5nx9ig0bwk55</t>
  </si>
  <si>
    <t>https://ifdb.org/viewgame?id=wqsmrahzozosu3r</t>
  </si>
  <si>
    <t>https://ifdb.org/viewgame?id=0dbnusxunq7fw5ro</t>
  </si>
  <si>
    <t>https://ifdb.org/viewgame?id=yzzm4puxyjakk8c4</t>
  </si>
  <si>
    <t>https://ifdb.org/viewgame?id=vrsot1zgy1wfcdru</t>
  </si>
  <si>
    <t>https://www.ifiction.org/games/playz.php?cat=2&amp;game=146&amp;mode=html</t>
  </si>
  <si>
    <t>https://ifdb.org/viewgame?id=9h6o1charof548ii</t>
  </si>
  <si>
    <t>https://ifdb.org/viewgame?id=17coplfu323xif76</t>
  </si>
  <si>
    <t>https://ifdb.org/viewgame?id=40hswtkhap88gzvn</t>
  </si>
  <si>
    <t>https://ifdb.org/viewgame?id=xe6kb3cuqwie2q38</t>
  </si>
  <si>
    <t>https://ifdb.org/viewgame?id=9nlbhqnlyb169uge</t>
  </si>
  <si>
    <t>https://ifdb.org/viewgame?id=p976o7x5ies9ltdh</t>
  </si>
  <si>
    <t>https://ifdb.org/viewgame?id=y42oje3ryqi6lohn</t>
  </si>
  <si>
    <t>https://ifdb.org/viewgame?id=t47hei9uq10xoar8</t>
  </si>
  <si>
    <t>https://ifdb.org/viewgame?id=6963a47vqgms8wi0</t>
  </si>
  <si>
    <t>https://ifdb.org/viewgame?id=anu79a4n1jedg5mm</t>
  </si>
  <si>
    <t>https://ifdb.org/viewgame?id=56wb8hflec2isvzm</t>
  </si>
  <si>
    <t>https://ifdb.org/viewgame?id=4ao65o1u0xuvj8jf</t>
  </si>
  <si>
    <t>https://ifdb.org/viewgame?id=ouv80gvsl32xlion</t>
  </si>
  <si>
    <t>https://ifdb.org/viewgame?id=tdbss1ekrp4ua7h4</t>
  </si>
  <si>
    <t>https://ifdb.org/viewgame?id=4h62dvooeg9ajtfa</t>
  </si>
  <si>
    <t>https://ifdb.org/viewgame?id=z02joykzh66wfhcl</t>
  </si>
  <si>
    <t>https://ifdb.org/viewgame?id=b0i6bx7g4rkrekgg</t>
  </si>
  <si>
    <t>https://ifdb.org/viewgame?id=jnfkbgdgopwfqist</t>
  </si>
  <si>
    <t>https://ifdb.org/viewgame?id=3p9fdt4fxr2goctw</t>
  </si>
  <si>
    <t>https://ifdb.org/viewgame?id=c66u816v8kx2jzm2</t>
  </si>
  <si>
    <t>https://ifdb.org/viewgame?id=j18kjz80hxjtyayw</t>
  </si>
  <si>
    <t>https://ifdb.org/viewgame?id=7epwz167lgruvm0u</t>
  </si>
  <si>
    <t>https://ifdb.org/viewgame?id=zjyxds3s57pgis3x</t>
  </si>
  <si>
    <t>https://ifdb.org/viewgame?id=jhbd0kja1t57uop</t>
  </si>
  <si>
    <t>https://ifdb.org/viewgame?id=zxb8pq3qrkvdob4i</t>
  </si>
  <si>
    <t>https://ifdb.org/viewgame?id=ddagftras22bnz8h</t>
  </si>
  <si>
    <t>https://ifdb.org/viewgame?id=j8lmspy4iz73mx26</t>
  </si>
  <si>
    <t>https://ifdb.org/viewgame?id=zoohwv5nqye7up2t</t>
  </si>
  <si>
    <t>https://ifdb.org/viewgame?id=w3pz3v8wckaw1wgb</t>
  </si>
  <si>
    <t>https://ifdb.org/viewgame?id=2752o3sh6y05ob1p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</si>
</sst>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b/>
      <sz val="15"/>
      <color rgb="FFFF0000"/>
      <name val="Times New Roman"/>
      <family val="1"/>
    </font>
    <font>
      <sz val="15"/>
      <name val="Times New Roman"/>
      <family val="1"/>
    </font>
    <font>
      <b/>
      <sz val="15"/>
      <color rgb="FF000000"/>
      <name val="Times New Roman"/>
      <family val="1"/>
    </font>
    <font>
      <sz val="15"/>
      <color rgb="FF000000"/>
      <name val="Times New Roman"/>
      <family val="1"/>
    </font>
    <font>
      <u/>
      <sz val="12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1" fillId="0" borderId="0" xfId="0" applyFont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1" fontId="1" fillId="4" borderId="1" xfId="0" applyNumberFormat="1" applyFont="1" applyFill="1" applyBorder="1" applyAlignment="1">
      <alignment wrapText="1"/>
    </xf>
    <xf numFmtId="1" fontId="1" fillId="2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2" fillId="3" borderId="0" xfId="0" applyFont="1" applyFill="1" applyAlignment="1">
      <alignment horizontal="left" vertical="top" wrapText="1"/>
    </xf>
    <xf numFmtId="0" fontId="3" fillId="3" borderId="1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2" fillId="4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2" fillId="4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6" fillId="6" borderId="6" xfId="0" applyFont="1" applyFill="1" applyBorder="1" applyAlignment="1">
      <alignment wrapText="1"/>
    </xf>
    <xf numFmtId="0" fontId="6" fillId="6" borderId="7" xfId="0" applyFont="1" applyFill="1" applyBorder="1" applyAlignment="1">
      <alignment wrapText="1"/>
    </xf>
    <xf numFmtId="0" fontId="6" fillId="7" borderId="6" xfId="0" applyFont="1" applyFill="1" applyBorder="1" applyAlignment="1">
      <alignment wrapText="1"/>
    </xf>
    <xf numFmtId="0" fontId="6" fillId="7" borderId="7" xfId="0" applyFont="1" applyFill="1" applyBorder="1" applyAlignment="1">
      <alignment wrapText="1"/>
    </xf>
    <xf numFmtId="0" fontId="6" fillId="5" borderId="6" xfId="0" applyFont="1" applyFill="1" applyBorder="1" applyAlignment="1">
      <alignment wrapText="1"/>
    </xf>
    <xf numFmtId="0" fontId="6" fillId="5" borderId="7" xfId="0" applyFont="1" applyFill="1" applyBorder="1" applyAlignment="1">
      <alignment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0" borderId="0" xfId="1" applyAlignment="1">
      <alignment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2" fillId="4" borderId="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Infocom - Categories - Publish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81379070220159"/>
          <c:y val="0.10060520377561902"/>
          <c:w val="0.85712950976289881"/>
          <c:h val="0.73239023938983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'Infocom Series'!$D$58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843D-E440-9482-5C59D5D5591E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843D-E440-9482-5C59D5D5591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843D-E440-9482-5C59D5D5591E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843D-E440-9482-5C59D5D5591E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843D-E440-9482-5C59D5D5591E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843D-E440-9482-5C59D5D5591E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843D-E440-9482-5C59D5D5591E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843D-E440-9482-5C59D5D5591E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843D-E440-9482-5C59D5D5591E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843D-E440-9482-5C59D5D5591E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843D-E440-9482-5C59D5D5591E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843D-E440-9482-5C59D5D5591E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843D-E440-9482-5C59D5D5591E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843D-E440-9482-5C59D5D5591E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843D-E440-9482-5C59D5D5591E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843D-E440-9482-5C59D5D5591E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843D-E440-9482-5C59D5D5591E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843D-E440-9482-5C59D5D5591E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843D-E440-9482-5C59D5D5591E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843D-E440-9482-5C59D5D5591E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843D-E440-9482-5C59D5D5591E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843D-E440-9482-5C59D5D5591E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843D-E440-9482-5C59D5D5591E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843D-E440-9482-5C59D5D5591E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843D-E440-9482-5C59D5D5591E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843D-E440-9482-5C59D5D5591E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843D-E440-9482-5C59D5D5591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2AA7D8A-EA31-9747-A8A3-70FDCCD7DB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3D-E440-9482-5C59D5D559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A4BAA7-BE72-1A4B-9EBD-C9D27D5B00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3D-E440-9482-5C59D5D559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8CD9CD-4724-F34E-AAB7-B0E95872B7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3D-E440-9482-5C59D5D559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EB1F76-C789-9141-93B5-37D8CE3CD7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3D-E440-9482-5C59D5D559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F1CF3F-A7E9-6643-920C-63554A6F99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3D-E440-9482-5C59D5D559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ABA95F-B9A9-4A4A-954C-7FA9A4017E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3D-E440-9482-5C59D5D559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82918A-01F9-874D-BD95-E3603E5520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3D-E440-9482-5C59D5D559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5F6C01-5952-F649-872C-E5BACA3BBC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3D-E440-9482-5C59D5D559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680A75-7764-E64F-911A-0F3224C5B3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3D-E440-9482-5C59D5D559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1B0880-8A87-2149-803A-7ED2B264D5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3D-E440-9482-5C59D5D559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7CB378-24FE-BE41-AF2C-CD2B2A7B18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3D-E440-9482-5C59D5D559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9050E6-46EB-774F-BED0-1E5849D9CC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3D-E440-9482-5C59D5D559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E71ECF-AED9-F347-8BF0-0C622F1C3E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3D-E440-9482-5C59D5D559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3E72CC-8E70-1B41-A2D2-E4812CFB0B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3D-E440-9482-5C59D5D559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35658C-6DEF-F74D-9002-2539D9C33E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3D-E440-9482-5C59D5D559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2524A4-B218-FD43-A33C-F899278447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3D-E440-9482-5C59D5D559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4D82FE-0B68-5D4F-9C2D-A4267D0ACD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3D-E440-9482-5C59D5D559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A131AE0-F1F2-8C4B-B6F3-78D644E05F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3D-E440-9482-5C59D5D559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FCE762-F7F0-B440-83F9-70FBDAB4D9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3D-E440-9482-5C59D5D559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F9FE94-6356-0941-84C3-BA77EE9860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3D-E440-9482-5C59D5D559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3A4339-0C51-AF48-9723-A68D53CDE2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3D-E440-9482-5C59D5D559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EB7EE2-F26A-0C49-8630-8B932D7E91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3D-E440-9482-5C59D5D559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DDF7FE-C932-A947-984E-B31B69C949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3D-E440-9482-5C59D5D559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0A9C18-9EE7-8545-B3CF-563270A218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3D-E440-9482-5C59D5D559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516B35-47B2-F34E-A05D-08C9D5F33B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3D-E440-9482-5C59D5D559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07455B-9D7E-C346-86C1-5679B8889E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3D-E440-9482-5C59D5D559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E3EBD6-EDEF-C848-AF94-39EDBBB31C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3D-E440-9482-5C59D5D55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Series'!$C$59:$C$85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Series'!$D$59:$D$85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8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843D-E440-9482-5C59D5D5591E}"/>
            </c:ext>
          </c:extLst>
        </c:ser>
        <c:ser>
          <c:idx val="1"/>
          <c:order val="1"/>
          <c:tx>
            <c:strRef>
              <c:f>'Infocom Series'!$A$46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4A4B38-AB66-3A40-955E-C4479571F7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3D-E440-9482-5C59D5D559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E67472-01DA-6742-BBBB-9462F42643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3D-E440-9482-5C59D5D559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6C6116-CABA-E340-9BE5-8B2A149D31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3D-E440-9482-5C59D5D559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05B48A-82D8-1D4D-940C-901085AD1D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3D-E440-9482-5C59D5D559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F6CE7F-54F3-CE4E-9C44-B9014BCDE4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3D-E440-9482-5C59D5D559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50AF43-F218-5F45-8C2F-FEE37DA27F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3D-E440-9482-5C59D5D559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6B0A6F-F44E-0141-9ED7-2C88E70B1A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3D-E440-9482-5C59D5D559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D8A4A3-6DD2-1D4B-86FD-0CCF61FF1B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3D-E440-9482-5C59D5D559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C9D53F-BAC1-0A4E-B14E-479598F2EC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3D-E440-9482-5C59D5D55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Series'!$B$48:$B$56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'Infocom Series'!$C$48:$C$56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Series'!$A$48:$A$56</c15:f>
                <c15:dlblRangeCache>
                  <c:ptCount val="9"/>
                  <c:pt idx="0">
                    <c:v>1980-1981</c:v>
                  </c:pt>
                  <c:pt idx="1">
                    <c:v>1982</c:v>
                  </c:pt>
                  <c:pt idx="2">
                    <c:v>1983</c:v>
                  </c:pt>
                  <c:pt idx="3">
                    <c:v>1984</c:v>
                  </c:pt>
                  <c:pt idx="4">
                    <c:v>1985</c:v>
                  </c:pt>
                  <c:pt idx="5">
                    <c:v>1986</c:v>
                  </c:pt>
                  <c:pt idx="6">
                    <c:v>1987</c:v>
                  </c:pt>
                  <c:pt idx="7">
                    <c:v>1988</c:v>
                  </c:pt>
                  <c:pt idx="8">
                    <c:v>1989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843D-E440-9482-5C59D5D5591E}"/>
            </c:ext>
          </c:extLst>
        </c:ser>
        <c:ser>
          <c:idx val="2"/>
          <c:order val="2"/>
          <c:tx>
            <c:strRef>
              <c:f>'Infocom Series'!$F$1</c:f>
              <c:strCache>
                <c:ptCount val="1"/>
                <c:pt idx="0">
                  <c:v>C1: Human Computer Interaction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C7F026D-2CE1-D340-82B4-7FDFAC4F6D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3D-E440-9482-5C59D5D5591E}"/>
                </c:ext>
              </c:extLst>
            </c:dLbl>
            <c:dLbl>
              <c:idx val="1"/>
              <c:layout>
                <c:manualLayout>
                  <c:x val="-2.1216361229661057E-2"/>
                  <c:y val="9.217150197138306E-2"/>
                </c:manualLayout>
              </c:layout>
              <c:tx>
                <c:rich>
                  <a:bodyPr/>
                  <a:lstStyle/>
                  <a:p>
                    <a:fld id="{7500E349-42B1-274E-BE47-93F9961DE3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843D-E440-9482-5C59D5D5591E}"/>
                </c:ext>
              </c:extLst>
            </c:dLbl>
            <c:dLbl>
              <c:idx val="2"/>
              <c:layout>
                <c:manualLayout>
                  <c:x val="-2.7487264532024464E-2"/>
                  <c:y val="0.13788577945812727"/>
                </c:manualLayout>
              </c:layout>
              <c:tx>
                <c:rich>
                  <a:bodyPr/>
                  <a:lstStyle/>
                  <a:p>
                    <a:fld id="{2E17D750-8F75-6049-81EC-B1711E5033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843D-E440-9482-5C59D5D55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'Infocom Series'!$K$3:$K$5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Series'!$H$3:$H$5</c15:f>
                <c15:dlblRangeCache>
                  <c:ptCount val="3"/>
                  <c:pt idx="0">
                    <c:v>Keyboard</c:v>
                  </c:pt>
                  <c:pt idx="1">
                    <c:v>Mouse</c:v>
                  </c:pt>
                  <c:pt idx="2">
                    <c:v>Mouse only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843D-E440-9482-5C59D5D5591E}"/>
            </c:ext>
          </c:extLst>
        </c:ser>
        <c:ser>
          <c:idx val="3"/>
          <c:order val="3"/>
          <c:tx>
            <c:strRef>
              <c:f>'Infocom Series'!$F$6:$I$6</c:f>
              <c:strCache>
                <c:ptCount val="1"/>
                <c:pt idx="0">
                  <c:v>C2: Visual Support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B9ACFAC-B82B-E241-925B-27469A39B8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740-5148-A2F6-DAD9E134559F}"/>
                </c:ext>
              </c:extLst>
            </c:dLbl>
            <c:dLbl>
              <c:idx val="1"/>
              <c:layout>
                <c:manualLayout>
                  <c:x val="-2.0727964606596615E-2"/>
                  <c:y val="0.10588578521740649"/>
                </c:manualLayout>
              </c:layout>
              <c:tx>
                <c:rich>
                  <a:bodyPr/>
                  <a:lstStyle/>
                  <a:p>
                    <a:fld id="{443A1027-8723-AF40-A4CA-CF48AFC333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D740-5148-A2F6-DAD9E134559F}"/>
                </c:ext>
              </c:extLst>
            </c:dLbl>
            <c:dLbl>
              <c:idx val="2"/>
              <c:layout>
                <c:manualLayout>
                  <c:x val="-2.2269945198250062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A8214EE1-A64C-E241-90C3-9F3517ED75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Series'!$I$8:$I$10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'Infocom Series'!$K$8:$K$10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Series'!$H$8:$H$10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D740-5148-A2F6-DAD9E134559F}"/>
            </c:ext>
          </c:extLst>
        </c:ser>
        <c:ser>
          <c:idx val="4"/>
          <c:order val="4"/>
          <c:tx>
            <c:strRef>
              <c:f>'Infocom Series'!$F$11:$I$11</c:f>
              <c:strCache>
                <c:ptCount val="1"/>
                <c:pt idx="0">
                  <c:v>C3: Game option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270A322-D074-1544-8F85-6E13255EC9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740-5148-A2F6-DAD9E134559F}"/>
                </c:ext>
              </c:extLst>
            </c:dLbl>
            <c:dLbl>
              <c:idx val="1"/>
              <c:layout>
                <c:manualLayout>
                  <c:x val="-4.17808277086354E-2"/>
                  <c:y val="7.8457218725359962E-2"/>
                </c:manualLayout>
              </c:layout>
              <c:tx>
                <c:rich>
                  <a:bodyPr/>
                  <a:lstStyle/>
                  <a:p>
                    <a:fld id="{FCBD8A93-6ACD-0F4B-941A-804AE7579E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D740-5148-A2F6-DAD9E134559F}"/>
                </c:ext>
              </c:extLst>
            </c:dLbl>
            <c:dLbl>
              <c:idx val="2"/>
              <c:layout>
                <c:manualLayout>
                  <c:x val="-4.1334767692490282E-2"/>
                  <c:y val="0.14017149333246465"/>
                </c:manualLayout>
              </c:layout>
              <c:tx>
                <c:rich>
                  <a:bodyPr/>
                  <a:lstStyle/>
                  <a:p>
                    <a:fld id="{84CD55A1-FD65-9C4F-9470-ED467D2FB4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Series'!$I$13:$I$15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'Infocom Series'!$K$13:$K$15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Series'!$H$13:$H$15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D740-5148-A2F6-DAD9E134559F}"/>
            </c:ext>
          </c:extLst>
        </c:ser>
        <c:ser>
          <c:idx val="5"/>
          <c:order val="5"/>
          <c:tx>
            <c:strRef>
              <c:f>'Infocom Series'!$F$16:$I$16</c:f>
              <c:strCache>
                <c:ptCount val="1"/>
                <c:pt idx="0">
                  <c:v>C4: Action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BDA9220-BAF7-5C46-BF5A-50E700AFD6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740-5148-A2F6-DAD9E134559F}"/>
                </c:ext>
              </c:extLst>
            </c:dLbl>
            <c:dLbl>
              <c:idx val="1"/>
              <c:layout>
                <c:manualLayout>
                  <c:x val="-1.4212894776940491E-2"/>
                  <c:y val="8.9885788097046018E-2"/>
                </c:manualLayout>
              </c:layout>
              <c:tx>
                <c:rich>
                  <a:bodyPr/>
                  <a:lstStyle/>
                  <a:p>
                    <a:fld id="{8A7B7C5D-D60F-E343-9F70-E27CCAD693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D740-5148-A2F6-DAD9E134559F}"/>
                </c:ext>
              </c:extLst>
            </c:dLbl>
            <c:dLbl>
              <c:idx val="2"/>
              <c:layout>
                <c:manualLayout>
                  <c:x val="-2.6245962845368339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1E1F3ECA-D6C7-784C-A0D9-B575796C8F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Series'!$I$18:$I$20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'Infocom Series'!$K$18:$K$20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Series'!$H$18:$H$20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D740-5148-A2F6-DAD9E134559F}"/>
            </c:ext>
          </c:extLst>
        </c:ser>
        <c:ser>
          <c:idx val="6"/>
          <c:order val="6"/>
          <c:tx>
            <c:strRef>
              <c:f>'Infocom Series'!$F$21:$I$21</c:f>
              <c:strCache>
                <c:ptCount val="1"/>
                <c:pt idx="0">
                  <c:v>C5: Story ending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6F7972D-EA3E-C94E-8DA7-0F5D4275AE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740-5148-A2F6-DAD9E134559F}"/>
                </c:ext>
              </c:extLst>
            </c:dLbl>
            <c:dLbl>
              <c:idx val="1"/>
              <c:layout>
                <c:manualLayout>
                  <c:x val="-3.7946059221539138E-2"/>
                  <c:y val="9.217150197138306E-2"/>
                </c:manualLayout>
              </c:layout>
              <c:tx>
                <c:rich>
                  <a:bodyPr/>
                  <a:lstStyle/>
                  <a:p>
                    <a:fld id="{12AD5658-C5C4-F641-93F7-B1449A3573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D740-5148-A2F6-DAD9E134559F}"/>
                </c:ext>
              </c:extLst>
            </c:dLbl>
            <c:dLbl>
              <c:idx val="2"/>
              <c:layout>
                <c:manualLayout>
                  <c:x val="-2.7027092313573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BA0494E4-2C0D-3D40-BD46-494227A4F6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Series'!$I$23:$I$25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'Infocom Series'!$K$23:$K$25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Series'!$H$23:$H$25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D740-5148-A2F6-DAD9E134559F}"/>
            </c:ext>
          </c:extLst>
        </c:ser>
        <c:ser>
          <c:idx val="7"/>
          <c:order val="7"/>
          <c:tx>
            <c:strRef>
              <c:f>'Infocom Series'!$F$26:$I$26</c:f>
              <c:strCache>
                <c:ptCount val="1"/>
                <c:pt idx="0">
                  <c:v>C6: Stats System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9C60B23-C5A7-5140-B9C9-C326C0723D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740-5148-A2F6-DAD9E134559F}"/>
                </c:ext>
              </c:extLst>
            </c:dLbl>
            <c:dLbl>
              <c:idx val="1"/>
              <c:layout>
                <c:manualLayout>
                  <c:x val="-4.5246263333567904E-2"/>
                  <c:y val="8.3028646474034212E-2"/>
                </c:manualLayout>
              </c:layout>
              <c:tx>
                <c:rich>
                  <a:bodyPr/>
                  <a:lstStyle/>
                  <a:p>
                    <a:fld id="{ABAD0E83-07EF-9845-ABF7-9A8496C472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D740-5148-A2F6-DAD9E134559F}"/>
                </c:ext>
              </c:extLst>
            </c:dLbl>
            <c:dLbl>
              <c:idx val="2"/>
              <c:layout>
                <c:manualLayout>
                  <c:x val="-3.9050052993862515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5459C4DE-111A-1E42-8DFA-674C2A610E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Series'!$I$28:$I$30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'Infocom Series'!$K$28:$K$30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Series'!$H$28:$H$30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D740-5148-A2F6-DAD9E134559F}"/>
            </c:ext>
          </c:extLst>
        </c:ser>
        <c:ser>
          <c:idx val="8"/>
          <c:order val="8"/>
          <c:tx>
            <c:strRef>
              <c:f>'Infocom Series'!$F$31:$I$31</c:f>
              <c:strCache>
                <c:ptCount val="1"/>
                <c:pt idx="0">
                  <c:v>C7: Platform Compatibility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1F7F291-6269-7646-81D3-A63CDBBD91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740-5148-A2F6-DAD9E134559F}"/>
                </c:ext>
              </c:extLst>
            </c:dLbl>
            <c:dLbl>
              <c:idx val="1"/>
              <c:layout>
                <c:manualLayout>
                  <c:x val="-3.4492765176068474E-2"/>
                  <c:y val="9.4457215845720435E-2"/>
                </c:manualLayout>
              </c:layout>
              <c:tx>
                <c:rich>
                  <a:bodyPr/>
                  <a:lstStyle/>
                  <a:p>
                    <a:fld id="{A7B85310-CC36-1E47-9BA4-A985B7D5AA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D740-5148-A2F6-DAD9E134559F}"/>
                </c:ext>
              </c:extLst>
            </c:dLbl>
            <c:dLbl>
              <c:idx val="2"/>
              <c:layout>
                <c:manualLayout>
                  <c:x val="-2.1040785091055808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5C862C29-311E-B54C-919E-64F5306472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Series'!$I$33:$I$35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'Infocom Series'!$K$33:$K$35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Series'!$H$33:$H$35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D740-5148-A2F6-DAD9E134559F}"/>
            </c:ext>
          </c:extLst>
        </c:ser>
        <c:ser>
          <c:idx val="9"/>
          <c:order val="9"/>
          <c:tx>
            <c:strRef>
              <c:f>'Infocom Series'!$F$36:$I$36</c:f>
              <c:strCache>
                <c:ptCount val="1"/>
                <c:pt idx="0">
                  <c:v>C8: Player Count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FEFD163-2D7F-8844-8BCC-B927B061E5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740-5148-A2F6-DAD9E134559F}"/>
                </c:ext>
              </c:extLst>
            </c:dLbl>
            <c:dLbl>
              <c:idx val="1"/>
              <c:layout>
                <c:manualLayout>
                  <c:x val="-1.0957362269196361E-2"/>
                  <c:y val="8.5314360348371587E-2"/>
                </c:manualLayout>
              </c:layout>
              <c:tx>
                <c:rich>
                  <a:bodyPr/>
                  <a:lstStyle/>
                  <a:p>
                    <a:fld id="{4C2CE2EE-36C4-FE4A-9D94-44A60FE9EA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D740-5148-A2F6-DAD9E134559F}"/>
                </c:ext>
              </c:extLst>
            </c:dLbl>
            <c:dLbl>
              <c:idx val="2"/>
              <c:layout>
                <c:manualLayout>
                  <c:x val="-4.1566919777279054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30C4EB27-6052-AA49-9B9E-C3CC72F191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Series'!$I$38:$I$40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'Infocom Series'!$K$38:$K$40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Series'!$H$38:$H$40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D740-5148-A2F6-DAD9E134559F}"/>
            </c:ext>
          </c:extLst>
        </c:ser>
        <c:ser>
          <c:idx val="10"/>
          <c:order val="10"/>
          <c:tx>
            <c:strRef>
              <c:f>'Infocom Series'!$F$41:$I$41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EFA8ABE-2E36-4945-8679-AC3B4EDE00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740-5148-A2F6-DAD9E134559F}"/>
                </c:ext>
              </c:extLst>
            </c:dLbl>
            <c:dLbl>
              <c:idx val="1"/>
              <c:layout>
                <c:manualLayout>
                  <c:x val="-3.0632378591993704E-3"/>
                  <c:y val="0.1447429210811389"/>
                </c:manualLayout>
              </c:layout>
              <c:tx>
                <c:rich>
                  <a:bodyPr/>
                  <a:lstStyle/>
                  <a:p>
                    <a:fld id="{159ABF42-93DD-6544-8C11-CCF4A2F80E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D740-5148-A2F6-DAD9E134559F}"/>
                </c:ext>
              </c:extLst>
            </c:dLbl>
            <c:dLbl>
              <c:idx val="2"/>
              <c:layout>
                <c:manualLayout>
                  <c:x val="0"/>
                  <c:y val="9.4457215845720435E-2"/>
                </c:manualLayout>
              </c:layout>
              <c:tx>
                <c:rich>
                  <a:bodyPr/>
                  <a:lstStyle/>
                  <a:p>
                    <a:fld id="{478080B2-0E38-4A4E-9BDB-6D402F5A05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Series'!$I$43:$I$45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'Infocom Series'!$K$43:$K$45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Series'!$H$43:$H$45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2-D740-5148-A2F6-DAD9E134559F}"/>
            </c:ext>
          </c:extLst>
        </c:ser>
        <c:ser>
          <c:idx val="11"/>
          <c:order val="11"/>
          <c:tx>
            <c:strRef>
              <c:f>'Infocom Series'!$F$58</c:f>
              <c:strCache>
                <c:ptCount val="1"/>
                <c:pt idx="0">
                  <c:v>C2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0A78DC-C1B7-234D-8A85-6A41425E1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972661-D8BE-B74C-9D3B-6E6C9DF87D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235690-C847-8D43-869B-50EC0704D6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0497FB-9F05-F748-A6D4-A0BD0FDA6E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2D3ABD-CDF2-CE4C-9D5A-EBFAFFA743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1C0F39-0B91-0F41-86C4-C761FE2852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82E190-CA18-2D4F-B684-CF067CC1CC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064D10-234E-464F-9556-9C03B22342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E6FEAA-920A-1D42-A11C-BB4D23F4D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392D78-A6CE-CA40-8CAE-DDE8394B28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67B744-2117-3E43-A5B9-0755DCD65F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32F317-7489-6143-975B-1AC49AC15C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0B0580-CC58-3143-8471-58CE29974D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DC0696-37E8-F349-8998-2120B67589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42D71B-0062-ED4C-AEF5-0B21EE71A9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B0B9B5-F032-8E46-A3A0-317C20FE32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3C142B-3889-5440-8573-E2B5B5AA64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44DDFD-D016-7F4E-906B-442D739C5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59774F-39E6-0142-81E4-285B969A8E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D86728-9788-CF4E-8B21-2BA965C89B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7ABE58-DE64-034F-989C-3665161A3C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3C42DC-FF81-224B-B397-84688C3AFB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F0E13B-CDB6-D043-BA61-2394B0A419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3418CD-AC96-D849-83E4-6418500A89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A12486-E21C-594F-A66F-15B24AC7CA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C3C3CB-D9A2-7B48-BD2D-3BB8B8561F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757A08-2DFE-C040-BA79-A15A8A4A04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Series'!$E$59:$E$85</c:f>
              <c:numCache>
                <c:formatCode>General</c:formatCode>
                <c:ptCount val="2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Series'!$F$59:$F$85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8</c:v>
                  </c:pt>
                  <c:pt idx="7">
                    <c:v>1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D740-5148-A2F6-DAD9E134559F}"/>
            </c:ext>
          </c:extLst>
        </c:ser>
        <c:ser>
          <c:idx val="12"/>
          <c:order val="12"/>
          <c:tx>
            <c:strRef>
              <c:f>'Infocom Series'!$H$58</c:f>
              <c:strCache>
                <c:ptCount val="1"/>
                <c:pt idx="0">
                  <c:v>C3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A1D622-205A-C54D-803B-1D30E28A84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C650A6-AF90-364B-BD2F-7BE61F2CA2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41BF5C-BD10-0F4A-9061-205E5B0820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367A1E-37DD-284A-88AA-763BA21548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593C8F-EE90-0045-91B3-CD31936C0B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E60798-C338-4247-9B3B-86B8B69154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C79684-BD8D-824E-BCBB-D4F397FA9A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4F6264-44FC-C448-A3B5-5B0E09815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6A68B1-B2A4-4D4F-B249-A4E6244B48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633790-3F0A-8C4E-AA61-BF32E907E9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C8F7C4-390C-5846-9997-0CEFB2B00D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E99B69-7DF6-BA4F-8857-9B6A6E012A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E389A5-24C6-2B4D-8683-863D913C18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46B0E6-944C-5C4E-90A3-FFE8384FE7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FDE6C4-0AD8-3B44-A02D-3457308EFE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D96153-56F3-0B48-B92E-85DB0C0EF8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07A8E9-9FEF-354C-B274-0A10571FDE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29418F-F4C5-A34C-BFEA-2A0C90251C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70E203-0417-FC42-8262-FDA8802819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B7C30B-0027-4343-9D30-909763DB81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D9650C-01A9-9B49-BFB8-2133E9ECBC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E9A800-41C3-E644-9DDB-9FE18CA354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364C61-9805-344A-8A8A-A3B99756DE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CE7E02-0E14-1F4C-B742-BB8533D86F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DFE5F6-3B75-364E-8EF8-84F62E4705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887163-2123-724F-942E-F4FA9B6A61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FD0585A-9125-2341-B5F5-0CF6FE0D4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Series'!$G$59:$G$85</c:f>
              <c:numCache>
                <c:formatCode>General</c:formatCode>
                <c:ptCount val="2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Series'!$H$59:$H$85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3</c:v>
                  </c:pt>
                  <c:pt idx="11">
                    <c:v>5</c:v>
                  </c:pt>
                  <c:pt idx="12">
                    <c:v>5</c:v>
                  </c:pt>
                  <c:pt idx="13">
                    <c:v>2</c:v>
                  </c:pt>
                  <c:pt idx="14">
                    <c:v>5</c:v>
                  </c:pt>
                  <c:pt idx="15">
                    <c:v>7</c:v>
                  </c:pt>
                  <c:pt idx="16">
                    <c:v>2</c:v>
                  </c:pt>
                  <c:pt idx="17">
                    <c:v>2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1</c:v>
                  </c:pt>
                  <c:pt idx="23">
                    <c:v>0</c:v>
                  </c:pt>
                  <c:pt idx="24">
                    <c:v>1</c:v>
                  </c:pt>
                  <c:pt idx="25">
                    <c:v>0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D-D740-5148-A2F6-DAD9E134559F}"/>
            </c:ext>
          </c:extLst>
        </c:ser>
        <c:ser>
          <c:idx val="13"/>
          <c:order val="13"/>
          <c:tx>
            <c:strRef>
              <c:f>'Infocom Series'!$K$58</c:f>
              <c:strCache>
                <c:ptCount val="1"/>
                <c:pt idx="0">
                  <c:v>C4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015F2E-8165-3D49-9401-AFE55A6E79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17B9EC-D700-284D-9C42-3A29A2B6AB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A03D1A-D7BE-B34B-BB17-A561426BBA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C7C453-7F06-9C45-BFC5-2522CF2B9E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1D47FA-451E-B746-BB55-29BD4D9940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CFE520-7F82-0341-8C70-5395667D5B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93E328-0EE6-F34D-9E62-CE58A754CE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8CA1A3-0EDA-CF4D-9BA5-D348B61317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D53C1DC-21AC-8044-B053-FE408F02C6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ECF7BB-9BD2-6D43-927D-62ACD17F82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886A6A-C128-8543-A162-3F5C79DE57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92B4C9-79DB-884E-BC5E-2BAF18207B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6A7901-03EB-7847-808F-3DCCC9E3A7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38003B-670B-DB45-A59A-3BAC7646AA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50FC0C-44A3-9940-9CD0-3BB67AE9CA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39D2D6-3869-0542-9A92-4EF3080EA8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8E8DFB-249C-B54B-BB49-21A28271E8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D5E16C-32F3-E944-913C-7DE05A1A6E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4E175E-2658-774E-9FE4-AFF7C06CD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EAE59E-9591-594C-A214-36A3C14C23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A211EE-DBAE-064F-980A-C5BD5A5864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BC777C-0084-B242-A250-5B01940262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10829C-30FA-FC4C-A28C-4F44B870E2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D7EC71-A013-4847-824A-0756772A3A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72F308-F031-8C44-9E22-41CAC755F0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0F3645-DEFB-5744-A171-8F2A7266D0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6FB064-FFF3-A041-993A-D33CA43041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Series'!$J$59:$J$85</c:f>
              <c:numCache>
                <c:formatCode>General</c:formatCode>
                <c:ptCount val="2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Series'!$K$59:$K$85</c15:f>
                <c15:dlblRangeCache>
                  <c:ptCount val="27"/>
                  <c:pt idx="0">
                    <c:v>2</c:v>
                  </c:pt>
                  <c:pt idx="1">
                    <c:v>2</c:v>
                  </c:pt>
                  <c:pt idx="2">
                    <c:v>3</c:v>
                  </c:pt>
                  <c:pt idx="3">
                    <c:v>2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1</c:v>
                  </c:pt>
                  <c:pt idx="8">
                    <c:v>0</c:v>
                  </c:pt>
                  <c:pt idx="9">
                    <c:v>0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  <c:pt idx="13">
                    <c:v>2</c:v>
                  </c:pt>
                  <c:pt idx="14">
                    <c:v>4</c:v>
                  </c:pt>
                  <c:pt idx="15">
                    <c:v>6</c:v>
                  </c:pt>
                  <c:pt idx="16">
                    <c:v>1</c:v>
                  </c:pt>
                  <c:pt idx="17">
                    <c:v>2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E-D740-5148-A2F6-DAD9E134559F}"/>
            </c:ext>
          </c:extLst>
        </c:ser>
        <c:ser>
          <c:idx val="14"/>
          <c:order val="14"/>
          <c:tx>
            <c:strRef>
              <c:f>'Infocom Series'!$M$58</c:f>
              <c:strCache>
                <c:ptCount val="1"/>
                <c:pt idx="0">
                  <c:v>C5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BDC1A2-2A4B-9F4F-868B-A6B7010F1D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D1B24B-7256-5A48-A61D-1F14A5209D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DFFEA2-EC8E-7B4B-B7FD-909EAC1684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8B7B8C-50BA-7548-9E52-EA7DC28B34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13107C-584A-7E46-AAA5-B4A4BF9955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0C331B-5204-8647-93D1-0C52E0A692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76D15E-77AD-4840-B5AD-E360CCEEAC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38CE51-1688-1842-925F-864FAC6289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97D822-5AC3-1B4F-9A5F-FB88CCC175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FBA759-8581-6642-BD5C-42A30F8B4B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D66014-4003-9C40-961A-1E259B6FAB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CEC02B-F5F2-044C-8F73-1FFC03E4E5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880A4F-1BBD-C941-810D-059E9C84DF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A10B8C-337B-EC41-B870-46F048C6E0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08D26A-297D-564B-80A1-BEE213A20F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731EFB-7110-144B-B50A-CB85157706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592A88-BE89-D448-BF1B-6D50DBB68E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F37CFB-AB8A-FC42-81A8-A28D313CF4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95CABB-1945-A642-93CF-68A16AE1CF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D8FF11-C59E-C54B-A9A4-5CFCF5FF32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A934E8-16F4-7946-AB52-7881751E92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A73DC2-56D9-AC43-9E90-6628D5A7F2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140DE8-97A7-8147-803C-EF713804C7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076FCC-18ED-FB43-A8EA-4A6BD2E522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65E4B6-26EF-854B-875B-B7A15DEE68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D3B92BA-B185-154A-87A6-EC27EE1F3E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AB3B82-ED5D-A043-960C-23F8F529C1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Series'!$L$59:$L$85</c:f>
              <c:numCache>
                <c:formatCode>General</c:formatCode>
                <c:ptCount val="2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Series'!$M$59:$M$85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1</c:v>
                  </c:pt>
                  <c:pt idx="11">
                    <c:v>3</c:v>
                  </c:pt>
                  <c:pt idx="12">
                    <c:v>2</c:v>
                  </c:pt>
                  <c:pt idx="13">
                    <c:v>0</c:v>
                  </c:pt>
                  <c:pt idx="14">
                    <c:v>0</c:v>
                  </c:pt>
                  <c:pt idx="15">
                    <c:v>2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2</c:v>
                  </c:pt>
                  <c:pt idx="20">
                    <c:v>2</c:v>
                  </c:pt>
                  <c:pt idx="21">
                    <c:v>3</c:v>
                  </c:pt>
                  <c:pt idx="22">
                    <c:v>3</c:v>
                  </c:pt>
                  <c:pt idx="23">
                    <c:v>5</c:v>
                  </c:pt>
                  <c:pt idx="24">
                    <c:v>6</c:v>
                  </c:pt>
                  <c:pt idx="25">
                    <c:v>2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F-D740-5148-A2F6-DAD9E134559F}"/>
            </c:ext>
          </c:extLst>
        </c:ser>
        <c:ser>
          <c:idx val="15"/>
          <c:order val="15"/>
          <c:tx>
            <c:strRef>
              <c:f>'Infocom Series'!$O$58</c:f>
              <c:strCache>
                <c:ptCount val="1"/>
                <c:pt idx="0">
                  <c:v>C6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715AD7-F660-F648-82FD-F01474A34F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32EB44-3B17-154D-8625-E1E901EC10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BBE093-D1CD-0447-8826-166CF9015C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D09F33-CF6D-BC48-9361-F77CD5C3B9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58D237-6EEA-0C41-910F-5302A27FE7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054E07-D6C0-854C-8150-8933B8505A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5025CA-ABFA-F44D-8DFA-74817D29AF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1C38765-6159-D947-82A9-034A76C8B7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597810-ABAD-7748-B1A6-3ED6B96CAA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1DBFBC-5C2D-264A-BC11-8E112D1CD6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E03262-F55E-5D45-A1ED-03B341E84C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D0CD9E-6999-B242-8C20-611B7A47F9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66118A-D7AA-B143-AF2E-39D9901C92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6B3384-AA12-5E4E-8434-8C6F708E55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58E72E-A8E5-BB46-BB26-9D97B6E57A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54B259-6E1D-9A47-8C35-DA8D0EF493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368E89-2DE4-2747-BA18-5B3FF3ECF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B5D6C3-9AAF-DD43-9ECA-93B73244E4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F7445D-5632-8446-A10C-71994CBDAF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C0DE2D-A8F1-F244-8732-D5413453D3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73D914-E6FC-F145-B25F-3B8A13A770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31540F-D8AF-584B-9BA8-49D37E9165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791D30-15C0-6641-B04A-9C3B3127C5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B6067D-868D-A343-A198-BC0E616793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903219-FF8E-9D48-ACFA-7CD302BA0E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C66C515-B7AB-3C4E-8738-B40C2A00F9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7844ED-CAFF-6C4B-A70F-C6F4562F27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Series'!$N$59:$N$85</c:f>
              <c:numCache>
                <c:formatCode>General</c:formatCode>
                <c:ptCount val="2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Series'!$O$59:$O$85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7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1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0-D740-5148-A2F6-DAD9E134559F}"/>
            </c:ext>
          </c:extLst>
        </c:ser>
        <c:ser>
          <c:idx val="16"/>
          <c:order val="16"/>
          <c:tx>
            <c:strRef>
              <c:f>'Infocom Series'!$R$58</c:f>
              <c:strCache>
                <c:ptCount val="1"/>
                <c:pt idx="0">
                  <c:v>C7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384EFA-85DC-774F-AC47-250A53140D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3DB7DC-5085-594B-B529-2EAF935B69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D59AA9-C149-4248-97D4-41717F80AF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EC92AC-13FA-B941-824F-7CB2004820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FDAE50-03BB-C64F-91A5-41FF1E020F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8843D1-7FAB-E346-A305-8487FB7489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9A6290-22BC-2748-9C6D-2BFE28C9EA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128BB6-3A93-1A44-8760-63282B1586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358E7E-21DB-5844-ACB4-D9878A4BD2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745930-FD58-FC43-B1F7-A513541B10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8B8DDE-8B6E-A649-92A8-C518DC6725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AADC52-A475-9A42-BEBA-DE0FBEB86F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124D70-DB96-5D44-A3E2-239F15A4DE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FFB14D-E5C3-CF44-8D92-BCCF56CC2A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0B060D-D08B-5B4E-A2A6-191507F82C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C00006-54FF-3841-A2AF-69069D470B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64C5299-F033-4D4F-AB39-C931BA2F3C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F6E3A9-5991-2C40-8649-7DD2F3D11B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B582139-1D86-E549-9451-0878B4108C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48F037-6B6A-D343-8CAD-ED276D131E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765FA4-324A-4843-B338-0BDC5FC42F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6DC894-7CFC-A94E-B4A2-522A75D997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248526-6450-D140-A846-F93C90468C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F91F35-8E71-8548-9C99-B14E3AC50B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54B7A1-575B-FC44-83C9-B0BB3944FA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424356-A12F-D449-B3EF-53299F0718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6B6DDF-636A-5545-8747-C2C30C7A68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Series'!$Q$59:$Q$85</c:f>
              <c:numCache>
                <c:formatCode>General</c:formatCode>
                <c:ptCount val="2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Series'!$R$59:$R$85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8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1-D740-5148-A2F6-DAD9E134559F}"/>
            </c:ext>
          </c:extLst>
        </c:ser>
        <c:ser>
          <c:idx val="17"/>
          <c:order val="17"/>
          <c:tx>
            <c:strRef>
              <c:f>'Infocom Series'!$T$58</c:f>
              <c:strCache>
                <c:ptCount val="1"/>
                <c:pt idx="0">
                  <c:v>C8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CA41A0-1826-E24D-9A02-B0AE42018D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69636A-F8EC-5D4D-961F-628BF6AC44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026144-0D3C-154B-8ED4-2127B61960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0F0B0F-4851-9148-A809-CCCE216860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71C712-EA63-1040-944D-E7E9C0AEEA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AC476D-AC95-CC40-9886-722589A5B8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7CBC7B-0B3B-6D47-BEBE-4AFC9F10B9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689A15-E21A-C840-8557-33E756CDA3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2F149C-979B-4E46-AC76-78BC968CC0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C8B7D9-2130-954B-B5FF-3C127F781F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2EA095-891D-9941-93A3-0D8D0A0960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2F2583-D924-8B41-AB1F-E58FD1173E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B774FA-F1C3-B641-BC7D-9702959B38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60CB2A-ACE1-B048-BA8D-DC18CBB30A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46E7D1-0EA4-0344-AC7F-9B54F508B0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9FB8D5-A8E5-414C-A0C7-62B4BB2E3F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894CCD-4E88-E043-AC1C-5717E002A1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594E5E-3F77-6744-91FD-DB64A8EC45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551C5A-BEA1-8345-9F9F-69431BFE3E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9599C4-FC80-8840-A17C-5DCA8EA009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958EE91-B4C3-E046-81D9-54A94B3FB1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6E1391-AA0B-084A-96F5-11476F1DE8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6AA1DB-6FFE-234E-8C12-EF5488868D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DE2FA2-02F1-B943-A29A-3FA5D5E7BF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3BD01F-2C4C-3B4E-8D1B-9A9BDAF794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2257F6-8D9B-034A-869D-9F44D9CF60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629E27-4FBF-C64B-9106-E101E26647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Series'!$S$59:$S$85</c:f>
              <c:numCache>
                <c:formatCode>General</c:formatCode>
                <c:ptCount val="2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Series'!$T$59:$T$85</c15:f>
                <c15:dlblRangeCache>
                  <c:ptCount val="27"/>
                  <c:pt idx="0">
                    <c:v>2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0</c:v>
                  </c:pt>
                  <c:pt idx="6">
                    <c:v>2</c:v>
                  </c:pt>
                  <c:pt idx="7">
                    <c:v>1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2</c:v>
                  </c:pt>
                  <c:pt idx="20">
                    <c:v>4</c:v>
                  </c:pt>
                  <c:pt idx="21">
                    <c:v>4</c:v>
                  </c:pt>
                  <c:pt idx="22">
                    <c:v>2</c:v>
                  </c:pt>
                  <c:pt idx="23">
                    <c:v>5</c:v>
                  </c:pt>
                  <c:pt idx="24">
                    <c:v>6</c:v>
                  </c:pt>
                  <c:pt idx="25">
                    <c:v>1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2-D740-5148-A2F6-DAD9E134559F}"/>
            </c:ext>
          </c:extLst>
        </c:ser>
        <c:ser>
          <c:idx val="18"/>
          <c:order val="18"/>
          <c:tx>
            <c:strRef>
              <c:f>'Infocom Series'!$V$58</c:f>
              <c:strCache>
                <c:ptCount val="1"/>
                <c:pt idx="0">
                  <c:v>C9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C9822E-CEF2-034B-B375-9D099ACC15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D1C51D-266F-704C-869D-8F3BEAC28D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0C56D5-0099-534D-9AFA-FA0054B099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FABFA9-FA4E-C94F-8D8A-A2AF1F2C5A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41DE6D-17C7-1D48-B599-7EAADD8E53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0F37A5-E6CA-C247-A4E2-677D832796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49F260-C669-274B-A891-741753D37F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F5DEE0-691A-2F4A-8FEB-A769DFE014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63C78D-3138-7041-832B-B3D2F2540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EC9EEB-EDC8-5C4D-A811-126E11BD81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86765E-DA45-674E-963C-1908C93348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28A7A5-E71A-8D41-9229-B624090C91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E19EF2-0F09-2B43-B789-0F1A3909BC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01119A-2D0E-8A46-B4C9-42638C3DE7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A5A2FD-CD89-9143-9184-4DDE962992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A6B8EF-1E6C-6C4C-8E14-B490B69712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E0D48FE-4024-224D-9C52-B0B50C2702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913648-CFA9-BD4C-8E3C-0E5EB30A35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D58FC8-E1FD-A245-8424-673024CC7B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E72637-D303-0C4D-9D86-4988048FF7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D1D25C-F57D-8E4E-99A5-70BA82C5D1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86E6FC-201D-924A-B7B9-2D49C9BA7A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ABC235-7C2B-BA40-B5A3-203833292A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DA0F4B-B2ED-554F-BF18-F707402E2A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8E26F5-BA38-C04D-9DFD-58B77AF287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014AC9-562F-A241-9E37-FFEB454DC0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1012D2-D451-9246-BAAF-C1AC02D308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Series'!$U$59:$U$85</c:f>
              <c:numCache>
                <c:formatCode>General</c:formatCode>
                <c:ptCount val="27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Series'!$V$59:$V$85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1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3</c:v>
                  </c:pt>
                  <c:pt idx="11">
                    <c:v>5</c:v>
                  </c:pt>
                  <c:pt idx="12">
                    <c:v>5</c:v>
                  </c:pt>
                  <c:pt idx="13">
                    <c:v>3</c:v>
                  </c:pt>
                  <c:pt idx="14">
                    <c:v>5</c:v>
                  </c:pt>
                  <c:pt idx="15">
                    <c:v>7</c:v>
                  </c:pt>
                  <c:pt idx="16">
                    <c:v>2</c:v>
                  </c:pt>
                  <c:pt idx="17">
                    <c:v>3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3-D740-5148-A2F6-DAD9E134559F}"/>
            </c:ext>
          </c:extLst>
        </c:ser>
        <c:ser>
          <c:idx val="19"/>
          <c:order val="19"/>
          <c:tx>
            <c:strRef>
              <c:f>'Infocom Series'!$P$1</c:f>
              <c:strCache>
                <c:ptCount val="1"/>
                <c:pt idx="0">
                  <c:v>Category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F65D11-A2F2-D747-8AC2-4554DF958A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78-2E42-A75B-C30A9EC0EE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617040-2608-9448-A8DB-8ACD09E1D6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78-2E42-A75B-C30A9EC0EE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E89210-8422-2442-9181-DA513CF32F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78-2E42-A75B-C30A9EC0EE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EBA41E-D375-A049-907B-9C99C9D876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78-2E42-A75B-C30A9EC0EE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63154C-FD31-F347-A5A6-463F7CE52C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78-2E42-A75B-C30A9EC0EE21}"/>
                </c:ext>
              </c:extLst>
            </c:dLbl>
            <c:dLbl>
              <c:idx val="5"/>
              <c:layout>
                <c:manualLayout>
                  <c:x val="-6.0209901845818849E-2"/>
                  <c:y val="-4.5713377599392209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55FAF5B-F782-0A4F-A888-1E6DEDA242C4}" type="CELLRANGE">
                      <a:rPr lang="en-US"/>
                      <a:pPr>
                        <a:defRPr sz="1200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3928719520424"/>
                      <c:h val="8.1485699620121546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1F78-2E42-A75B-C30A9EC0EE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D213D0-78C5-A54E-9611-D691581761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78-2E42-A75B-C30A9EC0EE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F591E0-AA4A-7C47-865D-E8E18B9A4C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78-2E42-A75B-C30A9EC0EE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C5979A-4918-264B-8354-93A916576E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78-2E42-A75B-C30A9EC0EE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Series'!$N$2:$N$10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'Infocom Series'!$O$2:$O$10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Series'!$P$2:$P$10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Time to Respond</c:v>
                  </c:pt>
                  <c:pt idx="5">
                    <c:v>Stats &amp; Resource</c:v>
                  </c:pt>
                  <c:pt idx="6">
                    <c:v>Number of Players</c:v>
                  </c:pt>
                  <c:pt idx="7">
                    <c:v>Platform Compatability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1F78-2E42-A75B-C30A9EC0E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Nancy Drew - Categories - Publish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80444509202704"/>
          <c:y val="9.4806352630971341E-2"/>
          <c:w val="0.8671428606345768"/>
          <c:h val="0.75478149855891008"/>
        </c:manualLayout>
      </c:layout>
      <c:scatterChart>
        <c:scatterStyle val="lineMarker"/>
        <c:varyColors val="0"/>
        <c:ser>
          <c:idx val="0"/>
          <c:order val="0"/>
          <c:tx>
            <c:strRef>
              <c:f>NancyDrew!$D$58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F7C-CB4E-BC9E-65C616442CA4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BF7C-CB4E-BC9E-65C616442CA4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BF7C-CB4E-BC9E-65C616442CA4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BF7C-CB4E-BC9E-65C616442CA4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BF7C-CB4E-BC9E-65C616442CA4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BF7C-CB4E-BC9E-65C616442CA4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BF7C-CB4E-BC9E-65C616442CA4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BF7C-CB4E-BC9E-65C616442CA4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BF7C-CB4E-BC9E-65C616442CA4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BF7C-CB4E-BC9E-65C616442CA4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BF7C-CB4E-BC9E-65C616442CA4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BF7C-CB4E-BC9E-65C616442CA4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BF7C-CB4E-BC9E-65C616442CA4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BF7C-CB4E-BC9E-65C616442CA4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BF7C-CB4E-BC9E-65C616442CA4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BF7C-CB4E-BC9E-65C616442CA4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BF7C-CB4E-BC9E-65C616442CA4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BF7C-CB4E-BC9E-65C616442CA4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BF7C-CB4E-BC9E-65C616442CA4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BF7C-CB4E-BC9E-65C616442CA4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BF7C-CB4E-BC9E-65C616442CA4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BF7C-CB4E-BC9E-65C616442CA4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BF7C-CB4E-BC9E-65C616442CA4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BF7C-CB4E-BC9E-65C616442CA4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BF7C-CB4E-BC9E-65C616442CA4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BF7C-CB4E-BC9E-65C616442CA4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BF7C-CB4E-BC9E-65C616442CA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BCD7D4C-C252-A047-89CD-CEEA0F8872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C38EC3-8CFA-EB4C-9C34-5AC6FFBF46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DFB3D7-558A-394F-80FF-406EF6E805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3A71B5-F753-F444-8DEC-AD8CFF06FC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1FC8C-670A-0A44-ABE8-356AD7EC43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B5339A-1718-554A-B17C-0C4F34F5E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4C1CF0-1DDF-6D45-92E3-89ED0EE815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9ADA9C-050F-BB4A-BCF0-ECB4599D08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643852-F379-7A45-B04F-1DFACC01AE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C99FE0-7B03-5944-AC05-2CBCAFF6C8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0DDD12-8FC8-6D4D-A411-38319A58DB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41087F-CFF2-7544-A450-6C55A59BF5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1D5306-CE6E-6D4D-BAE2-0EFA3B5117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42C4F9-796B-4548-A4E5-B50E3DBF52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8DBB07-CC54-814E-9EDC-98B38C05BB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A9B092-1034-2346-940A-54A0AE6958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DE3C1D-CFA1-3E44-9A26-B3D2D830E5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59E9C9-26AE-F14E-AD40-49B2848CFA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452434-FA21-1C4A-85F7-0F01100EB3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3BC815-58F4-3C4A-814B-1756679F91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2070E3-7FC8-3245-9AB9-CEEF1B28B6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81600D1-6D21-464E-AB5E-855D860B13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F410B1-787D-AD4A-938A-AE871A3229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83EFB35-B29D-4647-B74A-3E6574BB94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96F166-1F1C-DF43-882D-44E1B39AB3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06D19C-A64D-5A49-AC53-F3461F80D5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ACC01B-8387-5E4C-B75B-FBEC55FDF1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NancyDrew!$C$59:$C$85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NancyDrew!$D$59:$D$85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5</c:v>
                  </c:pt>
                  <c:pt idx="20">
                    <c:v>6</c:v>
                  </c:pt>
                  <c:pt idx="21">
                    <c:v>6</c:v>
                  </c:pt>
                  <c:pt idx="22">
                    <c:v>7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BF7C-CB4E-BC9E-65C616442CA4}"/>
            </c:ext>
          </c:extLst>
        </c:ser>
        <c:ser>
          <c:idx val="1"/>
          <c:order val="1"/>
          <c:tx>
            <c:strRef>
              <c:f>NancyDrew!$A$46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5CD1E5D-CE3F-8E48-B4F6-314E7DDF7B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A9FC2F-7F4D-BB4A-B3B0-9FE81067AB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823A55-CAC2-EF44-8663-EFEE66C0F7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CC7A53-3EDB-274E-9493-5E3CF965FE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B85C88-CA6F-0E48-A23A-FE46DF3906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9FB920-3889-ED4D-AEE4-97DC84BF2E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30DBE7-990E-A143-8DD8-131008C0FC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ACB9F8-9359-914E-9347-199D16D3FB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E4E224-489A-574E-B129-BB8F26A28C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NancyDrew!$B$48:$B$56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NancyDrew!$C$48:$C$56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NancyDrew!$A$48:$A$56</c15:f>
                <c15:dlblRangeCache>
                  <c:ptCount val="9"/>
                  <c:pt idx="0">
                    <c:v>Before 2000</c:v>
                  </c:pt>
                  <c:pt idx="1">
                    <c:v>2000~2002</c:v>
                  </c:pt>
                  <c:pt idx="2">
                    <c:v>2003~2005</c:v>
                  </c:pt>
                  <c:pt idx="3">
                    <c:v>2006~2008</c:v>
                  </c:pt>
                  <c:pt idx="4">
                    <c:v>2009~2011</c:v>
                  </c:pt>
                  <c:pt idx="5">
                    <c:v>2012~2014</c:v>
                  </c:pt>
                  <c:pt idx="6">
                    <c:v>2015~2017</c:v>
                  </c:pt>
                  <c:pt idx="7">
                    <c:v>2018~2020</c:v>
                  </c:pt>
                  <c:pt idx="8">
                    <c:v>2021~2023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BF7C-CB4E-BC9E-65C616442CA4}"/>
            </c:ext>
          </c:extLst>
        </c:ser>
        <c:ser>
          <c:idx val="2"/>
          <c:order val="2"/>
          <c:tx>
            <c:strRef>
              <c:f>NancyDrew!$F$1</c:f>
              <c:strCache>
                <c:ptCount val="1"/>
                <c:pt idx="0">
                  <c:v>C1: Human Computer Interaction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D8F070-DD2E-2747-B419-FCEB1BEEEC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7C-CB4E-BC9E-65C616442CA4}"/>
                </c:ext>
              </c:extLst>
            </c:dLbl>
            <c:dLbl>
              <c:idx val="1"/>
              <c:layout>
                <c:manualLayout>
                  <c:x val="-2.0409041548167077E-2"/>
                  <c:y val="8.9507254924976978E-2"/>
                </c:manualLayout>
              </c:layout>
              <c:tx>
                <c:rich>
                  <a:bodyPr/>
                  <a:lstStyle/>
                  <a:p>
                    <a:fld id="{9317C34C-7159-A542-AABF-CB35C1E4B9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BF7C-CB4E-BC9E-65C616442CA4}"/>
                </c:ext>
              </c:extLst>
            </c:dLbl>
            <c:dLbl>
              <c:idx val="2"/>
              <c:layout>
                <c:manualLayout>
                  <c:x val="-2.9909223576506286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3DB0021D-A263-0647-B6BB-BF7F833DD2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NancyDrew!$K$3:$K$5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NancyDrew!$H$3:$H$5</c15:f>
                <c15:dlblRangeCache>
                  <c:ptCount val="3"/>
                  <c:pt idx="0">
                    <c:v>Keyboard</c:v>
                  </c:pt>
                  <c:pt idx="1">
                    <c:v>Mouse</c:v>
                  </c:pt>
                  <c:pt idx="2">
                    <c:v>Mouse only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BF7C-CB4E-BC9E-65C616442CA4}"/>
            </c:ext>
          </c:extLst>
        </c:ser>
        <c:ser>
          <c:idx val="3"/>
          <c:order val="3"/>
          <c:tx>
            <c:strRef>
              <c:f>NancyDrew!$F$6:$I$6</c:f>
              <c:strCache>
                <c:ptCount val="1"/>
                <c:pt idx="0">
                  <c:v>C2: Visual Support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E5821C9-935C-1945-8F2A-F61DBC3768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7C-CB4E-BC9E-65C616442CA4}"/>
                </c:ext>
              </c:extLst>
            </c:dLbl>
            <c:dLbl>
              <c:idx val="1"/>
              <c:layout>
                <c:manualLayout>
                  <c:x val="-2.0727964606596646E-2"/>
                  <c:y val="9.4435384748214279E-2"/>
                </c:manualLayout>
              </c:layout>
              <c:tx>
                <c:rich>
                  <a:bodyPr/>
                  <a:lstStyle/>
                  <a:p>
                    <a:fld id="{F9AF22D9-983B-3946-9181-2917C91751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BF7C-CB4E-BC9E-65C616442CA4}"/>
                </c:ext>
              </c:extLst>
            </c:dLbl>
            <c:dLbl>
              <c:idx val="2"/>
              <c:layout>
                <c:manualLayout>
                  <c:x val="-1.4196748383310554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7B358C57-00B4-7A43-8E92-AEE2436D73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NancyDrew!$I$8:$I$10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NancyDrew!$K$8:$K$10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NancyDrew!$H$8:$H$10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BF7C-CB4E-BC9E-65C616442CA4}"/>
            </c:ext>
          </c:extLst>
        </c:ser>
        <c:ser>
          <c:idx val="4"/>
          <c:order val="4"/>
          <c:tx>
            <c:strRef>
              <c:f>NancyDrew!$F$11:$I$11</c:f>
              <c:strCache>
                <c:ptCount val="1"/>
                <c:pt idx="0">
                  <c:v>C3: Game option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D2DEF32-7277-B846-A039-7712C2355E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7C-CB4E-BC9E-65C616442CA4}"/>
                </c:ext>
              </c:extLst>
            </c:dLbl>
            <c:dLbl>
              <c:idx val="1"/>
              <c:layout>
                <c:manualLayout>
                  <c:x val="-4.2588147390129352E-2"/>
                  <c:y val="7.2258800543646445E-2"/>
                </c:manualLayout>
              </c:layout>
              <c:tx>
                <c:rich>
                  <a:bodyPr/>
                  <a:lstStyle/>
                  <a:p>
                    <a:fld id="{91E118D6-D0E1-B94A-A13F-04B66266A8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BF7C-CB4E-BC9E-65C616442CA4}"/>
                </c:ext>
              </c:extLst>
            </c:dLbl>
            <c:dLbl>
              <c:idx val="2"/>
              <c:layout>
                <c:manualLayout>
                  <c:x val="-3.8912808648008425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D912F494-A79E-FF49-95F1-41803EAC87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NancyDrew!$I$13:$I$15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NancyDrew!$K$13:$K$15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NancyDrew!$H$13:$H$15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BF7C-CB4E-BC9E-65C616442CA4}"/>
            </c:ext>
          </c:extLst>
        </c:ser>
        <c:ser>
          <c:idx val="5"/>
          <c:order val="5"/>
          <c:tx>
            <c:strRef>
              <c:f>NancyDrew!$F$16:$I$16</c:f>
              <c:strCache>
                <c:ptCount val="1"/>
                <c:pt idx="0">
                  <c:v>C4: Action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CD7BACF-1696-7543-BCCE-CD54BF765B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7C-CB4E-BC9E-65C616442CA4}"/>
                </c:ext>
              </c:extLst>
            </c:dLbl>
            <c:dLbl>
              <c:idx val="1"/>
              <c:layout>
                <c:manualLayout>
                  <c:x val="-1.4212894776940491E-2"/>
                  <c:y val="9.9363514571451581E-2"/>
                </c:manualLayout>
              </c:layout>
              <c:tx>
                <c:rich>
                  <a:bodyPr/>
                  <a:lstStyle/>
                  <a:p>
                    <a:fld id="{9CD37303-468E-2847-BA11-7EB18E5EC0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BF7C-CB4E-BC9E-65C616442CA4}"/>
                </c:ext>
              </c:extLst>
            </c:dLbl>
            <c:dLbl>
              <c:idx val="2"/>
              <c:layout>
                <c:manualLayout>
                  <c:x val="-2.4631323482380497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A26CABEB-7E3A-9945-A4D3-D894DA8DA0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NancyDrew!$I$18:$I$20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NancyDrew!$K$18:$K$20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NancyDrew!$H$18:$H$20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5-BF7C-CB4E-BC9E-65C616442CA4}"/>
            </c:ext>
          </c:extLst>
        </c:ser>
        <c:ser>
          <c:idx val="6"/>
          <c:order val="6"/>
          <c:tx>
            <c:strRef>
              <c:f>NancyDrew!$F$21:$I$21</c:f>
              <c:strCache>
                <c:ptCount val="1"/>
                <c:pt idx="0">
                  <c:v>C5: Story ending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51098E-C52D-AE4A-8AD3-6FA832FAB1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7C-CB4E-BC9E-65C616442CA4}"/>
                </c:ext>
              </c:extLst>
            </c:dLbl>
            <c:dLbl>
              <c:idx val="1"/>
              <c:layout>
                <c:manualLayout>
                  <c:x val="-3.9560698584526981E-2"/>
                  <c:y val="7.4722865455265089E-2"/>
                </c:manualLayout>
              </c:layout>
              <c:tx>
                <c:rich>
                  <a:bodyPr/>
                  <a:lstStyle/>
                  <a:p>
                    <a:fld id="{CD30FD4B-545D-B342-B46D-C985E9D678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BF7C-CB4E-BC9E-65C616442CA4}"/>
                </c:ext>
              </c:extLst>
            </c:dLbl>
            <c:dLbl>
              <c:idx val="2"/>
              <c:layout>
                <c:manualLayout>
                  <c:x val="-2.7834411995066831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1799AF99-081D-AC4D-9D9F-2D8AEF3E6A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NancyDrew!$I$23:$I$25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NancyDrew!$K$23:$K$25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NancyDrew!$H$23:$H$25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9-BF7C-CB4E-BC9E-65C616442CA4}"/>
            </c:ext>
          </c:extLst>
        </c:ser>
        <c:ser>
          <c:idx val="7"/>
          <c:order val="7"/>
          <c:tx>
            <c:strRef>
              <c:f>NancyDrew!$F$26:$I$26</c:f>
              <c:strCache>
                <c:ptCount val="1"/>
                <c:pt idx="0">
                  <c:v>C6: Stats System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3102476-F866-544F-9FFA-AAB1C22B95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7C-CB4E-BC9E-65C616442CA4}"/>
                </c:ext>
              </c:extLst>
            </c:dLbl>
            <c:dLbl>
              <c:idx val="1"/>
              <c:layout>
                <c:manualLayout>
                  <c:x val="-4.4438943652073952E-2"/>
                  <c:y val="8.9507254924976978E-2"/>
                </c:manualLayout>
              </c:layout>
              <c:tx>
                <c:rich>
                  <a:bodyPr/>
                  <a:lstStyle/>
                  <a:p>
                    <a:fld id="{9DCE7DFE-6D82-894D-B05A-F8DDC9C4DF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BF7C-CB4E-BC9E-65C616442CA4}"/>
                </c:ext>
              </c:extLst>
            </c:dLbl>
            <c:dLbl>
              <c:idx val="2"/>
              <c:layout>
                <c:manualLayout>
                  <c:x val="-3.3398815223404744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C0133FF6-03E0-9E46-988F-C1F30024FC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NancyDrew!$I$28:$I$30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NancyDrew!$K$28:$K$30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NancyDrew!$H$28:$H$30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D-BF7C-CB4E-BC9E-65C616442CA4}"/>
            </c:ext>
          </c:extLst>
        </c:ser>
        <c:ser>
          <c:idx val="8"/>
          <c:order val="8"/>
          <c:tx>
            <c:strRef>
              <c:f>NancyDrew!$F$31:$I$31</c:f>
              <c:strCache>
                <c:ptCount val="1"/>
                <c:pt idx="0">
                  <c:v>C7: Platform Compatibility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897C177-AB9D-4A47-A55E-1F54C65935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7C-CB4E-BC9E-65C616442CA4}"/>
                </c:ext>
              </c:extLst>
            </c:dLbl>
            <c:dLbl>
              <c:idx val="1"/>
              <c:layout>
                <c:manualLayout>
                  <c:x val="-3.5300084857562426E-2"/>
                  <c:y val="8.7043190013358335E-2"/>
                </c:manualLayout>
              </c:layout>
              <c:tx>
                <c:rich>
                  <a:bodyPr/>
                  <a:lstStyle/>
                  <a:p>
                    <a:fld id="{24B1D1A9-377E-4940-BA5A-CA4FABF54B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BF7C-CB4E-BC9E-65C616442CA4}"/>
                </c:ext>
              </c:extLst>
            </c:dLbl>
            <c:dLbl>
              <c:idx val="2"/>
              <c:layout>
                <c:manualLayout>
                  <c:x val="-1.9426145728067907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02B7E59F-7082-2D4D-AC7B-1DF81A75CD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NancyDrew!$I$33:$I$35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NancyDrew!$K$33:$K$35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NancyDrew!$H$33:$H$35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1-BF7C-CB4E-BC9E-65C616442CA4}"/>
            </c:ext>
          </c:extLst>
        </c:ser>
        <c:ser>
          <c:idx val="9"/>
          <c:order val="9"/>
          <c:tx>
            <c:strRef>
              <c:f>NancyDrew!$F$36:$I$36</c:f>
              <c:strCache>
                <c:ptCount val="1"/>
                <c:pt idx="0">
                  <c:v>C8: Player Count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3D05AFB-DD21-1648-9847-43453F4C8B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7C-CB4E-BC9E-65C616442CA4}"/>
                </c:ext>
              </c:extLst>
            </c:dLbl>
            <c:dLbl>
              <c:idx val="1"/>
              <c:layout>
                <c:manualLayout>
                  <c:x val="-1.4993960676666234E-2"/>
                  <c:y val="8.9507254924976978E-2"/>
                </c:manualLayout>
              </c:layout>
              <c:tx>
                <c:rich>
                  <a:bodyPr/>
                  <a:lstStyle/>
                  <a:p>
                    <a:fld id="{C6D3A667-531E-B240-863E-9603D02563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BF7C-CB4E-BC9E-65C616442CA4}"/>
                </c:ext>
              </c:extLst>
            </c:dLbl>
            <c:dLbl>
              <c:idx val="2"/>
              <c:layout>
                <c:manualLayout>
                  <c:x val="-3.5108362325327332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80A9B9D2-AE40-B848-9BFB-78DED285E1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NancyDrew!$I$38:$I$40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NancyDrew!$K$38:$K$40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NancyDrew!$H$38:$H$40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5-BF7C-CB4E-BC9E-65C616442CA4}"/>
            </c:ext>
          </c:extLst>
        </c:ser>
        <c:ser>
          <c:idx val="10"/>
          <c:order val="10"/>
          <c:tx>
            <c:strRef>
              <c:f>NancyDrew!$F$41:$I$41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EBCE3FB-9A7E-3048-B233-2E9E4E3E3A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7C-CB4E-BC9E-65C616442CA4}"/>
                </c:ext>
              </c:extLst>
            </c:dLbl>
            <c:dLbl>
              <c:idx val="1"/>
              <c:layout>
                <c:manualLayout>
                  <c:x val="-1.1610782663376783E-3"/>
                  <c:y val="8.4579125101739691E-2"/>
                </c:manualLayout>
              </c:layout>
              <c:tx>
                <c:rich>
                  <a:bodyPr/>
                  <a:lstStyle/>
                  <a:p>
                    <a:fld id="{42F9CAED-7957-4140-ACFA-BFA89F6F6A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BF7C-CB4E-BC9E-65C616442CA4}"/>
                </c:ext>
              </c:extLst>
            </c:dLbl>
            <c:dLbl>
              <c:idx val="2"/>
              <c:layout>
                <c:manualLayout>
                  <c:x val="0"/>
                  <c:y val="0.12646822859925672"/>
                </c:manualLayout>
              </c:layout>
              <c:tx>
                <c:rich>
                  <a:bodyPr/>
                  <a:lstStyle/>
                  <a:p>
                    <a:fld id="{CF317BE7-AC13-7249-A2CB-D48C4FBAE9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NancyDrew!$I$43:$I$45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NancyDrew!$K$43:$K$45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NancyDrew!$H$43:$H$45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9-BF7C-CB4E-BC9E-65C616442CA4}"/>
            </c:ext>
          </c:extLst>
        </c:ser>
        <c:ser>
          <c:idx val="11"/>
          <c:order val="11"/>
          <c:tx>
            <c:strRef>
              <c:f>NancyDrew!$F$58</c:f>
              <c:strCache>
                <c:ptCount val="1"/>
                <c:pt idx="0">
                  <c:v>C2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B9D64B-2266-CF49-BB2F-7C576AEA70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BB77B4-1C84-734F-8C40-72660164E0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0E06EC-5027-CE49-82D6-F52712FF27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FD4F75-CD95-BD47-AB6C-85BA68496B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861D7A-C31F-F64C-92B4-B72DAB6D34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074466-CBD4-214E-85B2-D4A90939B0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7DB2D2-47FC-8843-939D-F28DA898F1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AFBFC9-13E5-924A-AC54-B98207BAFA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AFAEB9-82B5-CE4E-A92A-F42AA9BB1D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398362-49ED-6246-8D06-DDB817D337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ADEFEA-6C1B-4840-AD75-9723D69F59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2CB29A-D448-D847-9BFD-C8CF3150B8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CAF6A4-8A9A-A74E-BE4D-45C859426A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9A865B-9A7A-2040-9B60-444165E11C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263FA2-F77C-5F4A-9E42-F7B41FE73F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0354EB-6F3C-7C42-BEC5-9E67AE3876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CA38D9-80E1-5547-8647-D2C024244A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04165B-F15F-C543-9037-00F779E3A8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965324-F08C-BE4A-B5A0-94E59E1BC3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78DEFC-A489-2A4C-BED5-0E935E2DBE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7D7C3B-CC2B-FE4C-9E8E-905E2122A3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E9D7CE-AEC2-894B-BBC8-2FAEAE5101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689FA1-3423-034C-B90C-97EF81B043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E9AC8C-08E5-CC44-87E2-60D0988ED2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332582A-71F4-A94E-8237-93DCE47F9D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E3D2A7-4CB8-3348-97D1-FC7D23802C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7E4CED-A583-5A43-8175-AFE6FAD45F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NancyDrew!$E$59:$E$85</c:f>
              <c:numCache>
                <c:formatCode>General</c:formatCode>
                <c:ptCount val="2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NancyDrew!$F$59:$F$85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1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1</c:v>
                  </c:pt>
                  <c:pt idx="19">
                    <c:v>5</c:v>
                  </c:pt>
                  <c:pt idx="20">
                    <c:v>6</c:v>
                  </c:pt>
                  <c:pt idx="21">
                    <c:v>6</c:v>
                  </c:pt>
                  <c:pt idx="22">
                    <c:v>7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5-BF7C-CB4E-BC9E-65C616442CA4}"/>
            </c:ext>
          </c:extLst>
        </c:ser>
        <c:ser>
          <c:idx val="12"/>
          <c:order val="12"/>
          <c:tx>
            <c:strRef>
              <c:f>NancyDrew!$H$58</c:f>
              <c:strCache>
                <c:ptCount val="1"/>
                <c:pt idx="0">
                  <c:v>C3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D52575-C10C-944F-9A41-B621E770EE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4DEA5E-8DC7-0C4E-BCEC-48C894E4D1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CBADA7-6ACC-0B45-A364-ED1E471696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E2DEF8-A49F-7743-B46A-EB14E998B0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AA64A4-30A6-F742-8CCC-8DF6246C7B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F8EB4D-9363-2C4D-ABC4-B4911F10BD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87CD84-D5A8-394A-9A34-0363026FF4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E0D90B-0001-2D4A-A7AE-381B6D1143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3542A1-D193-C34D-8C9E-8138E26CB1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FB2FB3-26FC-4649-AFCF-644E3C1267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5401A9-5178-E449-96F1-3B9ABB704C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9A5D4A-0787-D443-9441-61B4ECAE7B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4CD1D0-EA12-C74C-9294-2B1EC812A8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187B89-3554-1443-A7B9-3032C5864F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48BAF7-049C-6C40-9079-78157CEAB7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B0E51F-D2FD-FF4B-A36C-FC7C8B6183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BF583F-AFD9-1E44-9E06-CF9C52F384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E9CAE1-9120-9348-8B4E-886D025DC5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E84358-E5B5-114E-9E08-06D569CCA1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A85037-A415-D243-8FE4-43AE626EF0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C56BFF-6C54-5643-812D-CC8EC76246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DB9B67C-1D83-9640-BFCF-6EE7211B48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D14526-AACD-D64A-A9CE-0593A2258D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AE0840-875D-BB47-8F5B-F7734E1351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D0F68B-9EA8-A64D-8D0F-1B3D8F1691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EABA75A-3E8B-E84B-9E7A-65C91F4191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8C7171-9E97-594B-9BD2-051AB9AF3E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NancyDrew!$G$59:$G$85</c:f>
              <c:numCache>
                <c:formatCode>General</c:formatCode>
                <c:ptCount val="2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NancyDrew!$H$59:$H$85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5</c:v>
                  </c:pt>
                  <c:pt idx="11">
                    <c:v>6</c:v>
                  </c:pt>
                  <c:pt idx="12">
                    <c:v>6</c:v>
                  </c:pt>
                  <c:pt idx="13">
                    <c:v>7</c:v>
                  </c:pt>
                  <c:pt idx="14">
                    <c:v>6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1-BF7C-CB4E-BC9E-65C616442CA4}"/>
            </c:ext>
          </c:extLst>
        </c:ser>
        <c:ser>
          <c:idx val="13"/>
          <c:order val="13"/>
          <c:tx>
            <c:strRef>
              <c:f>NancyDrew!$K$58</c:f>
              <c:strCache>
                <c:ptCount val="1"/>
                <c:pt idx="0">
                  <c:v>C4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9089C8-5B54-7E4B-9DEF-39FB5038DF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8ABB03-8D08-0141-859D-FEF361726E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B0F5D6-9A4C-E94E-89F0-E79E1E8C9E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AD1B45-88FA-1846-A854-B69444973A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9C7F0A-3EBF-B64B-A537-568BDCC41C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26F314-188E-BA42-83AB-79BC964B72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3E2B87-842E-A44F-8CD4-D7115A6CDA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E541CF-226F-6D49-B202-3259B9F523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B11571-47B0-9C44-A6F0-C7CAA5E909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941787-5D69-D849-AA97-C1CA179877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6ABAED-D46A-464D-B010-08153A958D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01083C-3CF4-684C-9D83-D7B68E47B7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E57292-ED9E-394F-8B47-29398AA001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F44157-2D24-6A43-9F40-8476677A09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2E1A9F-84BF-3949-82D5-80BEE52001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9AD94D-CFA2-1B45-9FF5-A4D432FA94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8E53C5-1B41-E042-94A1-F4AFDCC4D0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FBA15C-7682-8546-B375-03F337C919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6266C7-9921-9E40-83C4-7256AFD62E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FBC452-74F2-054D-A30D-4374BC72F7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11453E-2C6E-6D40-B7CC-1A7D96C860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E4BF61-A369-B34B-AB6D-F56CD51EEA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B6BE38-D283-1546-AD09-042A31B4E6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76291E-1165-3B48-8058-4CBEE78CC7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78C14E-81E9-F04F-B9B8-2CD65827B9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58DD33-EE59-504F-A139-04D54CB977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24D7F0-A63F-964C-B976-03E7AE96A0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NancyDrew!$J$59:$J$85</c:f>
              <c:numCache>
                <c:formatCode>General</c:formatCode>
                <c:ptCount val="2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NancyDrew!$K$59:$K$85</c15:f>
                <c15:dlblRangeCache>
                  <c:ptCount val="27"/>
                  <c:pt idx="0">
                    <c:v>2</c:v>
                  </c:pt>
                  <c:pt idx="1">
                    <c:v>5</c:v>
                  </c:pt>
                  <c:pt idx="2">
                    <c:v>6</c:v>
                  </c:pt>
                  <c:pt idx="3">
                    <c:v>6</c:v>
                  </c:pt>
                  <c:pt idx="4">
                    <c:v>7</c:v>
                  </c:pt>
                  <c:pt idx="5">
                    <c:v>6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D-BF7C-CB4E-BC9E-65C616442CA4}"/>
            </c:ext>
          </c:extLst>
        </c:ser>
        <c:ser>
          <c:idx val="14"/>
          <c:order val="14"/>
          <c:tx>
            <c:strRef>
              <c:f>NancyDrew!$M$58</c:f>
              <c:strCache>
                <c:ptCount val="1"/>
                <c:pt idx="0">
                  <c:v>C5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826E55-66E2-804D-B85B-2FE5F88158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08A020-94B1-7A46-A82C-5F921416B7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93A6AF-4E1B-254D-B84F-0E0C15FD3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8B2075-F041-DA40-934F-5F64DDCFB4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D4B03D-B235-264A-AB32-33BDD25CE7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4D4293-8F26-E94F-BEDC-4289C2667F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50ED74-7950-074C-93E0-1A0AED4CA8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4C1406-4242-3940-BC27-22DD597A32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6F585B-56FE-6E49-9852-BA17AF2F24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0869EB-E082-A34C-9278-8189BE1D94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624535-A867-2546-926B-BC0EC64EE1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6E99A8-D3EF-9D4A-AAB9-147737F632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5E88F6-04B2-594F-B8BD-D859A97E02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0EAC1E-DF78-3C4A-8F08-17AC082625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85B129-587A-2D47-9804-18610BB3D3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2D1343-9FEC-B249-8339-7EDC5E72F5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F0491B-AA22-AC40-8866-5CD12BD0F3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E508F60-CD9B-354D-93B0-C524366F1E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616B9F-F0B8-3C4D-BEFE-8D4666021E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512F48-E72E-9E4F-88FE-8A148FFE7C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37C2BC-9B9B-E547-9E31-8504903AAF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B81A86E-2412-0246-B5E0-6EE9D15C04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FEF74B-9969-694F-BAB2-55C9E0F692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FB7AE1-DF57-FB43-8F11-59D1946ECB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173A6C2-05BF-4F42-A5E4-007214898E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4A305B-A742-934A-A13E-5ED1EE8B4A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7B24A8-37DE-074D-B7A9-E6699020DB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NancyDrew!$L$59:$L$85</c:f>
              <c:numCache>
                <c:formatCode>General</c:formatCode>
                <c:ptCount val="2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NancyDrew!$M$59:$M$85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</c:v>
                  </c:pt>
                  <c:pt idx="12">
                    <c:v>0</c:v>
                  </c:pt>
                  <c:pt idx="13">
                    <c:v>1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5</c:v>
                  </c:pt>
                  <c:pt idx="20">
                    <c:v>5</c:v>
                  </c:pt>
                  <c:pt idx="21">
                    <c:v>6</c:v>
                  </c:pt>
                  <c:pt idx="22">
                    <c:v>6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B9-BF7C-CB4E-BC9E-65C616442CA4}"/>
            </c:ext>
          </c:extLst>
        </c:ser>
        <c:ser>
          <c:idx val="15"/>
          <c:order val="15"/>
          <c:tx>
            <c:strRef>
              <c:f>NancyDrew!$O$58</c:f>
              <c:strCache>
                <c:ptCount val="1"/>
                <c:pt idx="0">
                  <c:v>C6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4CCAC4-9335-3247-8A3A-577F25FEDD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5FF174-79C3-C84D-830A-6B21AE2487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B6E5FB-C9F0-E64A-A22E-2F0EE7AC51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7BD370-E70A-4449-991C-6F2CBD4929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25C7D0-C84F-B24E-BBFB-2CB5BF53D4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9BED91-E788-8246-8796-F782401B1C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A71161-5879-B54E-A018-2030EE9808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3327F9-032F-4B47-BB40-870B1AF0FD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63ABB5-19CE-AA44-A562-6DEAB5BD4A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E84B67-C31D-B94E-A8A9-2F009FFB7C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6FAECA-3C49-934A-80CF-F087A7DDA1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66BA9A-4ECB-4B4B-A2F5-D2C22E25F0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B48E2B-2E0D-544B-B161-13A06597A1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D48D18-20EE-7244-8BF6-342E101A6D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9F1CC06-8E33-2847-A060-6E910C6F9F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5B7379D-910A-0546-A3F2-BB91EA4539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26C181-791F-884D-A277-7047E65D88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B7FE2E-60A0-A342-924B-F68E6011EE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2E97A5-1C56-5540-8E9B-74FD2E4620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D5D61F-660B-874B-A144-405C53AB9E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71DB62-D3EC-2348-BE79-EC0D7D535D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498FA0-0981-3341-AA96-1C81A58005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DDB952-693F-F045-92A9-AD4962A4C3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A38B03-99E7-9542-8B9C-441C70F590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A9F913-7228-4C49-980A-37CF6AF66F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45E9B0-FCDD-A044-B4EA-42DDAA90B7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BDB794-9567-DA4C-8886-84ED087702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NancyDrew!$N$59:$N$85</c:f>
              <c:numCache>
                <c:formatCode>General</c:formatCode>
                <c:ptCount val="2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NancyDrew!$O$59:$O$85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5</c:v>
                  </c:pt>
                  <c:pt idx="11">
                    <c:v>6</c:v>
                  </c:pt>
                  <c:pt idx="12">
                    <c:v>6</c:v>
                  </c:pt>
                  <c:pt idx="13">
                    <c:v>7</c:v>
                  </c:pt>
                  <c:pt idx="14">
                    <c:v>6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5-BF7C-CB4E-BC9E-65C616442CA4}"/>
            </c:ext>
          </c:extLst>
        </c:ser>
        <c:ser>
          <c:idx val="16"/>
          <c:order val="16"/>
          <c:tx>
            <c:strRef>
              <c:f>NancyDrew!$R$58</c:f>
              <c:strCache>
                <c:ptCount val="1"/>
                <c:pt idx="0">
                  <c:v>C7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F76527-D3F9-C646-8C4E-B463BCDC5F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EB56BC-3223-9A40-A8AD-F9BA35157E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9240BD-5A2D-A642-9D3C-5F65374C04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F76641-2426-794C-BC5E-1A8410F19E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4350B5-B2C7-7C4D-8F8E-E2D448D665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2D7196-8472-0747-A4BD-43EB69F523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10CC67-D08D-F942-96EA-43C48BA4EF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0D5696-3126-1E46-834F-57C4833677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174BBE-DF47-7643-8F75-D606B5D210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E04B7A-43F0-BF48-9831-A10F216E21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ED4D50-F8E5-6848-B378-31148AD662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A9A0BD-0C75-1342-BD73-025224A4E3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F6CDDE-FEC4-8E4D-A9B0-72ADEDDC37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DDF139-1D30-754E-9F21-20990C9724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23672A-65D5-7E4A-B6FF-BAC8492764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80D93F-9FB4-0F41-9439-325B957C20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A585A5-3EF4-214C-B231-F46028A5D5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F669C2-4904-0E40-AFDB-BF73D761ED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3C6E1E-B846-384F-BE55-C4DD7DCE74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DF4842-392B-C345-90A8-1FF0735062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743A4C-F7A9-FA4C-893E-1F60136755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648483-5603-DC46-9A75-FE34DAB234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D2F6B4-B4CC-FD4F-92F5-07BEDDF4AA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09A6D8-3049-8143-952D-A1C0EFEF0E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B9D90F-1B2E-B94F-BE44-838982BECD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6E8B9D-5AC9-524D-A45E-5E05766C50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E8B432-DF4F-FB4D-9282-C2BCCB185C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NancyDrew!$Q$59:$Q$85</c:f>
              <c:numCache>
                <c:formatCode>General</c:formatCode>
                <c:ptCount val="2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NancyDrew!$R$59:$R$85</c15:f>
                <c15:dlblRangeCache>
                  <c:ptCount val="27"/>
                  <c:pt idx="0">
                    <c:v>2</c:v>
                  </c:pt>
                  <c:pt idx="1">
                    <c:v>5</c:v>
                  </c:pt>
                  <c:pt idx="2">
                    <c:v>6</c:v>
                  </c:pt>
                  <c:pt idx="3">
                    <c:v>6</c:v>
                  </c:pt>
                  <c:pt idx="4">
                    <c:v>7</c:v>
                  </c:pt>
                  <c:pt idx="5">
                    <c:v>6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F1-BF7C-CB4E-BC9E-65C616442CA4}"/>
            </c:ext>
          </c:extLst>
        </c:ser>
        <c:ser>
          <c:idx val="17"/>
          <c:order val="17"/>
          <c:tx>
            <c:strRef>
              <c:f>NancyDrew!$T$58</c:f>
              <c:strCache>
                <c:ptCount val="1"/>
                <c:pt idx="0">
                  <c:v>C8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8D983F-C70C-3544-ABC2-3D2F346BDA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334458-3912-544F-BBE0-BEDA45975A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2ED39D-1206-C044-8C7F-20FFB28DC9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ABA919-EC2D-9D45-9652-49603EBAAB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07F893-4FC5-1C4F-B7CA-72E16218BA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A2B953-CB35-DC4E-BAF5-973AC1862C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9159C6-4A31-2849-89F3-04D190523E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A277DC-CEBB-5C4B-BC47-60E37FA1AC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7C9742-AC98-A947-9347-D45B5DCF21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BD8A8A-7475-F449-A3CA-13BE6C4FE4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830CBB-FD1B-BA41-BC9B-CE4E957C3F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E36D5D-08BA-0744-AB14-F2E694C99D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0CA35DC-D856-7E45-81A2-0BB6D2A0C1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4CA7C4-012D-134A-B842-528D215424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210AC2-8CC1-0B40-934C-45924B37FE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E1EB1E-0FB6-1A40-87A0-F2312CED04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A19C8F-59E4-E846-8EF5-EC94963854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350E19-047C-2D48-9199-BE404DB818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7502C6-61C3-A64C-B57F-5A63874A91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9FFC98-38A8-9E45-ABDF-3B455C0636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4174BE-6F7D-1E49-9DAA-776BEF495E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EF5C5A-19EA-8840-910B-F5C2319412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EB5D01-9D0A-D447-85BE-BB639A0F91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9A509EB-D18D-1E49-ABBB-3D381D26B3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60F6D2-9F78-784C-8515-C5394DCC9B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F3A9EF-3E39-C143-8DF1-A94296613E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3C1C68-E9FE-3D42-B94D-644B6B4787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NancyDrew!$S$59:$S$85</c:f>
              <c:numCache>
                <c:formatCode>General</c:formatCode>
                <c:ptCount val="2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NancyDrew!$T$59:$T$85</c15:f>
                <c15:dlblRangeCache>
                  <c:ptCount val="27"/>
                  <c:pt idx="0">
                    <c:v>2</c:v>
                  </c:pt>
                  <c:pt idx="1">
                    <c:v>5</c:v>
                  </c:pt>
                  <c:pt idx="2">
                    <c:v>6</c:v>
                  </c:pt>
                  <c:pt idx="3">
                    <c:v>6</c:v>
                  </c:pt>
                  <c:pt idx="4">
                    <c:v>3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4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0D-BF7C-CB4E-BC9E-65C616442CA4}"/>
            </c:ext>
          </c:extLst>
        </c:ser>
        <c:ser>
          <c:idx val="18"/>
          <c:order val="18"/>
          <c:tx>
            <c:strRef>
              <c:f>NancyDrew!$V$58</c:f>
              <c:strCache>
                <c:ptCount val="1"/>
                <c:pt idx="0">
                  <c:v>C9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68091D-0C95-B448-9376-E331AC6B89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0E614A-8DAB-D04A-B6A1-2C647334B3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123F27-7629-A84D-812F-E6DF5661A4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AF5146-9C96-B544-9533-5468ACC13A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BDD49E-7F76-7147-8A1D-EEDCFB1DDD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A7B8D3-0E80-AF46-9242-54992197F2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01D989-5DBB-AB46-A178-D147F1EE72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7788CF-2A3F-3B49-A292-A9DB132781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94834E-647F-924F-A377-EF933670CE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88793D-1D23-E34E-8582-262C581C5A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85DA5C-6AB0-0D47-BD4F-7A40473CE4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0A044B-5447-9441-8504-FF3A31FA5E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491417-855A-2044-B2A5-7E049E8A1B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A81306-D85B-FB4B-938C-34BF557191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1B3EAB-8A12-944D-ADAF-A23D5FCD3A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8EB64C-B79E-BD45-B280-331A167324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8FB09F-6E59-2C47-B84C-941BC3C928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B0ABF4-0A5A-A041-8974-387FE5A35B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CDCB51-AE41-D344-B83F-E5E97FF195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874B4B-5CA6-F245-9078-31DFA4B296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ECC664-FF65-DC4E-98CC-EF0DC4415A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17603E-2AF1-6F40-B7C6-51A0304E65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E884F6F-7AFE-1C43-8E34-44575F314D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D51912-E53E-1647-8B24-7FBD2E7BB9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EC664E8-C2ED-5D49-B27D-A8423BB358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6CD7ECC-270B-1B43-9DAC-7B45E05754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16221B-FC75-4B40-B71D-173374166F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NancyDrew!$U$59:$U$85</c:f>
              <c:numCache>
                <c:formatCode>General</c:formatCode>
                <c:ptCount val="27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NancyDrew!$V$59:$V$85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5</c:v>
                  </c:pt>
                  <c:pt idx="11">
                    <c:v>6</c:v>
                  </c:pt>
                  <c:pt idx="12">
                    <c:v>6</c:v>
                  </c:pt>
                  <c:pt idx="13">
                    <c:v>7</c:v>
                  </c:pt>
                  <c:pt idx="14">
                    <c:v>6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29-BF7C-CB4E-BC9E-65C616442CA4}"/>
            </c:ext>
          </c:extLst>
        </c:ser>
        <c:ser>
          <c:idx val="19"/>
          <c:order val="19"/>
          <c:tx>
            <c:strRef>
              <c:f>NancyDrew!$O$1</c:f>
              <c:strCache>
                <c:ptCount val="1"/>
                <c:pt idx="0">
                  <c:v>Category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FCB2E5-4439-924D-A157-638498A4F4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32-B74A-A8E0-A229196B24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C1569D-7F3E-6445-8AF3-86CF2A1E10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32-B74A-A8E0-A229196B24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A82902-E9BC-0B45-B759-C88B0703FA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32-B74A-A8E0-A229196B24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B315F7-11D8-E344-9F77-022D821BBA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32-B74A-A8E0-A229196B24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ABA5CF-9E6B-3B40-BF8D-719617243C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32-B74A-A8E0-A229196B24C3}"/>
                </c:ext>
              </c:extLst>
            </c:dLbl>
            <c:dLbl>
              <c:idx val="5"/>
              <c:layout>
                <c:manualLayout>
                  <c:x val="-5.4962323916108287E-2"/>
                  <c:y val="1.971251929294917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03B3752-23CF-4544-99B8-8A13157994B1}" type="CELLRANGE">
                      <a:rPr lang="en-US"/>
                      <a:pPr>
                        <a:defRPr sz="1200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11732815072239"/>
                      <c:h val="0.107556433392154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D132-B74A-A8E0-A229196B24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F12946-F04F-FF40-8807-CDC9941A1B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32-B74A-A8E0-A229196B24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280CFA-C28E-3241-AA81-ABF01C8CE9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32-B74A-A8E0-A229196B24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641AA6-7E7D-214D-B68F-C5DB4676A5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32-B74A-A8E0-A229196B24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NancyDrew!$M$2:$M$10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NancyDrew!$N$2:$N$10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NancyDrew!$O$2:$O$10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Time to Respond</c:v>
                  </c:pt>
                  <c:pt idx="5">
                    <c:v>Stats &amp; Resource</c:v>
                  </c:pt>
                  <c:pt idx="6">
                    <c:v>Number of Players</c:v>
                  </c:pt>
                  <c:pt idx="7">
                    <c:v>Platform Compatability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D132-B74A-A8E0-A229196B2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821267</xdr:colOff>
      <xdr:row>45</xdr:row>
      <xdr:rowOff>8466</xdr:rowOff>
    </xdr:from>
    <xdr:to>
      <xdr:col>17</xdr:col>
      <xdr:colOff>423334</xdr:colOff>
      <xdr:row>56</xdr:row>
      <xdr:rowOff>1024467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5C7FF8-D5ED-8D40-A2D9-B39C62FD5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821267</xdr:colOff>
      <xdr:row>45</xdr:row>
      <xdr:rowOff>8466</xdr:rowOff>
    </xdr:from>
    <xdr:to>
      <xdr:col>17</xdr:col>
      <xdr:colOff>423334</xdr:colOff>
      <xdr:row>56</xdr:row>
      <xdr:rowOff>1024467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9AF295-E8BC-804D-B1BC-3C6EC43F9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ifdb.org/viewgame?id=p976o7x5ies9ltdh" TargetMode="External"/><Relationship Id="rId18" Type="http://schemas.openxmlformats.org/officeDocument/2006/relationships/hyperlink" Target="https://ifdb.org/viewgame?id=56wb8hflec2isvzm" TargetMode="External"/><Relationship Id="rId26" Type="http://schemas.openxmlformats.org/officeDocument/2006/relationships/hyperlink" Target="https://ifdb.org/viewgame?id=3p9fdt4fxr2goctw" TargetMode="External"/><Relationship Id="rId21" Type="http://schemas.openxmlformats.org/officeDocument/2006/relationships/hyperlink" Target="https://ifdb.org/viewgame?id=tdbss1ekrp4ua7h4" TargetMode="External"/><Relationship Id="rId34" Type="http://schemas.openxmlformats.org/officeDocument/2006/relationships/hyperlink" Target="https://ifdb.org/viewgame?id=j8lmspy4iz73mx26" TargetMode="External"/><Relationship Id="rId7" Type="http://schemas.openxmlformats.org/officeDocument/2006/relationships/hyperlink" Target="https://www.ifiction.org/games/playz.php?cat=2&amp;game=146&amp;mode=html" TargetMode="External"/><Relationship Id="rId12" Type="http://schemas.openxmlformats.org/officeDocument/2006/relationships/hyperlink" Target="https://ifdb.org/viewgame?id=9nlbhqnlyb169uge" TargetMode="External"/><Relationship Id="rId17" Type="http://schemas.openxmlformats.org/officeDocument/2006/relationships/hyperlink" Target="https://ifdb.org/viewgame?id=anu79a4n1jedg5mm" TargetMode="External"/><Relationship Id="rId25" Type="http://schemas.openxmlformats.org/officeDocument/2006/relationships/hyperlink" Target="https://ifdb.org/viewgame?id=jnfkbgdgopwfqist" TargetMode="External"/><Relationship Id="rId33" Type="http://schemas.openxmlformats.org/officeDocument/2006/relationships/hyperlink" Target="https://ifdb.org/viewgame?id=ddagftras22bnz8h" TargetMode="External"/><Relationship Id="rId38" Type="http://schemas.openxmlformats.org/officeDocument/2006/relationships/drawing" Target="../drawings/drawing1.xml"/><Relationship Id="rId2" Type="http://schemas.openxmlformats.org/officeDocument/2006/relationships/hyperlink" Target="https://ifdb.org/viewgame?id=lidg5nx9ig0bwk55" TargetMode="External"/><Relationship Id="rId16" Type="http://schemas.openxmlformats.org/officeDocument/2006/relationships/hyperlink" Target="https://ifdb.org/viewgame?id=6963a47vqgms8wi0" TargetMode="External"/><Relationship Id="rId20" Type="http://schemas.openxmlformats.org/officeDocument/2006/relationships/hyperlink" Target="https://ifdb.org/viewgame?id=ouv80gvsl32xlion" TargetMode="External"/><Relationship Id="rId29" Type="http://schemas.openxmlformats.org/officeDocument/2006/relationships/hyperlink" Target="https://ifdb.org/viewgame?id=7epwz167lgruvm0u" TargetMode="External"/><Relationship Id="rId1" Type="http://schemas.openxmlformats.org/officeDocument/2006/relationships/hyperlink" Target="https://ifdb.org/viewgame?id=vu4xhul3abknifcr" TargetMode="External"/><Relationship Id="rId6" Type="http://schemas.openxmlformats.org/officeDocument/2006/relationships/hyperlink" Target="https://ifdb.org/viewgame?id=vrsot1zgy1wfcdru" TargetMode="External"/><Relationship Id="rId11" Type="http://schemas.openxmlformats.org/officeDocument/2006/relationships/hyperlink" Target="https://ifdb.org/viewgame?id=xe6kb3cuqwie2q38" TargetMode="External"/><Relationship Id="rId24" Type="http://schemas.openxmlformats.org/officeDocument/2006/relationships/hyperlink" Target="https://ifdb.org/viewgame?id=b0i6bx7g4rkrekgg" TargetMode="External"/><Relationship Id="rId32" Type="http://schemas.openxmlformats.org/officeDocument/2006/relationships/hyperlink" Target="https://ifdb.org/viewgame?id=zxb8pq3qrkvdob4i" TargetMode="External"/><Relationship Id="rId37" Type="http://schemas.openxmlformats.org/officeDocument/2006/relationships/hyperlink" Target="https://ifdb.org/viewgame?id=2752o3sh6y05ob1p" TargetMode="External"/><Relationship Id="rId5" Type="http://schemas.openxmlformats.org/officeDocument/2006/relationships/hyperlink" Target="https://ifdb.org/viewgame?id=yzzm4puxyjakk8c4" TargetMode="External"/><Relationship Id="rId15" Type="http://schemas.openxmlformats.org/officeDocument/2006/relationships/hyperlink" Target="https://ifdb.org/viewgame?id=t47hei9uq10xoar8" TargetMode="External"/><Relationship Id="rId23" Type="http://schemas.openxmlformats.org/officeDocument/2006/relationships/hyperlink" Target="https://ifdb.org/viewgame?id=z02joykzh66wfhcl" TargetMode="External"/><Relationship Id="rId28" Type="http://schemas.openxmlformats.org/officeDocument/2006/relationships/hyperlink" Target="https://ifdb.org/viewgame?id=j18kjz80hxjtyayw" TargetMode="External"/><Relationship Id="rId36" Type="http://schemas.openxmlformats.org/officeDocument/2006/relationships/hyperlink" Target="https://ifdb.org/viewgame?id=w3pz3v8wckaw1wgb" TargetMode="External"/><Relationship Id="rId10" Type="http://schemas.openxmlformats.org/officeDocument/2006/relationships/hyperlink" Target="https://ifdb.org/viewgame?id=40hswtkhap88gzvn" TargetMode="External"/><Relationship Id="rId19" Type="http://schemas.openxmlformats.org/officeDocument/2006/relationships/hyperlink" Target="https://ifdb.org/viewgame?id=4ao65o1u0xuvj8jf" TargetMode="External"/><Relationship Id="rId31" Type="http://schemas.openxmlformats.org/officeDocument/2006/relationships/hyperlink" Target="https://ifdb.org/viewgame?id=jhbd0kja1t57uop" TargetMode="External"/><Relationship Id="rId4" Type="http://schemas.openxmlformats.org/officeDocument/2006/relationships/hyperlink" Target="https://ifdb.org/viewgame?id=0dbnusxunq7fw5ro" TargetMode="External"/><Relationship Id="rId9" Type="http://schemas.openxmlformats.org/officeDocument/2006/relationships/hyperlink" Target="https://ifdb.org/viewgame?id=17coplfu323xif76" TargetMode="External"/><Relationship Id="rId14" Type="http://schemas.openxmlformats.org/officeDocument/2006/relationships/hyperlink" Target="https://ifdb.org/viewgame?id=y42oje3ryqi6lohn" TargetMode="External"/><Relationship Id="rId22" Type="http://schemas.openxmlformats.org/officeDocument/2006/relationships/hyperlink" Target="https://ifdb.org/viewgame?id=4h62dvooeg9ajtfa" TargetMode="External"/><Relationship Id="rId27" Type="http://schemas.openxmlformats.org/officeDocument/2006/relationships/hyperlink" Target="https://ifdb.org/viewgame?id=c66u816v8kx2jzm2" TargetMode="External"/><Relationship Id="rId30" Type="http://schemas.openxmlformats.org/officeDocument/2006/relationships/hyperlink" Target="https://ifdb.org/viewgame?id=zjyxds3s57pgis3x" TargetMode="External"/><Relationship Id="rId35" Type="http://schemas.openxmlformats.org/officeDocument/2006/relationships/hyperlink" Target="https://ifdb.org/viewgame?id=zoohwv5nqye7up2t" TargetMode="External"/><Relationship Id="rId8" Type="http://schemas.openxmlformats.org/officeDocument/2006/relationships/hyperlink" Target="https://ifdb.org/viewgame?id=9h6o1charof548ii" TargetMode="External"/><Relationship Id="rId3" Type="http://schemas.openxmlformats.org/officeDocument/2006/relationships/hyperlink" Target="https://ifdb.org/viewgame?id=wqsmrahzozosu3r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herinteractive.com/shop-games/nancy-drew-secret-of-the-old-clock/" TargetMode="External"/><Relationship Id="rId18" Type="http://schemas.openxmlformats.org/officeDocument/2006/relationships/hyperlink" Target="https://www.herinteractive.com/shop-games/nancy-drew-legend-of-the-crystal-skull/" TargetMode="External"/><Relationship Id="rId26" Type="http://schemas.openxmlformats.org/officeDocument/2006/relationships/hyperlink" Target="https://www.herinteractive.com/shop-games/nancy-drew-alibi-in-ashes/" TargetMode="External"/><Relationship Id="rId3" Type="http://schemas.openxmlformats.org/officeDocument/2006/relationships/hyperlink" Target="https://www.herinteractive.com/shop-games/nancy-drew-stay-tuned-for-danger/" TargetMode="External"/><Relationship Id="rId21" Type="http://schemas.openxmlformats.org/officeDocument/2006/relationships/hyperlink" Target="https://www.herinteractive.com/shop-games/nancy-drew-ransom-of-the-seven-ships/" TargetMode="External"/><Relationship Id="rId34" Type="http://schemas.openxmlformats.org/officeDocument/2006/relationships/hyperlink" Target="https://www.herinteractive.com/shop-games/33-nancy-drew-midnight-in-salem/" TargetMode="External"/><Relationship Id="rId7" Type="http://schemas.openxmlformats.org/officeDocument/2006/relationships/hyperlink" Target="https://www.herinteractive.com/shop-games/nancy-drew-secret-of-the-scarlet-hand/" TargetMode="External"/><Relationship Id="rId12" Type="http://schemas.openxmlformats.org/officeDocument/2006/relationships/hyperlink" Target="https://www.herinteractive.com/shop-games/nancy-drew-curse-of-blackmoor-manor/" TargetMode="External"/><Relationship Id="rId17" Type="http://schemas.openxmlformats.org/officeDocument/2006/relationships/hyperlink" Target="https://www.herinteractive.com/shop-games/nancy-drew-the-white-wolf-of-icicle-creek/" TargetMode="External"/><Relationship Id="rId25" Type="http://schemas.openxmlformats.org/officeDocument/2006/relationships/hyperlink" Target="https://www.herinteractive.com/shop-games/nancy-drew-the-captive-curse/" TargetMode="External"/><Relationship Id="rId33" Type="http://schemas.openxmlformats.org/officeDocument/2006/relationships/hyperlink" Target="https://www.herinteractive.com/shop-games/nancy-drew-sea-of-darkness/" TargetMode="External"/><Relationship Id="rId2" Type="http://schemas.openxmlformats.org/officeDocument/2006/relationships/hyperlink" Target="https://www.herinteractive.com/shop-games/nancy-drew-secrets-can-kill-remastered/" TargetMode="External"/><Relationship Id="rId16" Type="http://schemas.openxmlformats.org/officeDocument/2006/relationships/hyperlink" Target="https://www.herinteractive.com/shop-games/nancy-drew-the-creature-of-kapu-cave/" TargetMode="External"/><Relationship Id="rId20" Type="http://schemas.openxmlformats.org/officeDocument/2006/relationships/hyperlink" Target="https://www.herinteractive.com/shop-games/nancy-drew-the-haunting-of-castle-malloy/" TargetMode="External"/><Relationship Id="rId29" Type="http://schemas.openxmlformats.org/officeDocument/2006/relationships/hyperlink" Target="https://www.herinteractive.com/shop-games/nancy-drew-ghost-of-thornton-hall/" TargetMode="External"/><Relationship Id="rId1" Type="http://schemas.openxmlformats.org/officeDocument/2006/relationships/hyperlink" Target="https://www.herinteractive.com/shop-games/nancy-drew-secrets-can-kill/" TargetMode="External"/><Relationship Id="rId6" Type="http://schemas.openxmlformats.org/officeDocument/2006/relationships/hyperlink" Target="https://www.herinteractive.com/shop-games/nancy-drew-the-final-scene/" TargetMode="External"/><Relationship Id="rId11" Type="http://schemas.openxmlformats.org/officeDocument/2006/relationships/hyperlink" Target="https://www.herinteractive.com/shop-games/nancy-drew-the-secret-of-shadow-ranch/" TargetMode="External"/><Relationship Id="rId24" Type="http://schemas.openxmlformats.org/officeDocument/2006/relationships/hyperlink" Target="https://www.herinteractive.com/shop-games/nancy-drew-shadow-at-the-waters-edge/" TargetMode="External"/><Relationship Id="rId32" Type="http://schemas.openxmlformats.org/officeDocument/2006/relationships/hyperlink" Target="https://www.herinteractive.com/shop-games/nancy-drew-labyrinth-of-lies/" TargetMode="External"/><Relationship Id="rId5" Type="http://schemas.openxmlformats.org/officeDocument/2006/relationships/hyperlink" Target="https://www.herinteractive.com/shop-games/nancy-drew-treasure-in-the-royal-tower/" TargetMode="External"/><Relationship Id="rId15" Type="http://schemas.openxmlformats.org/officeDocument/2006/relationships/hyperlink" Target="https://www.herinteractive.com/shop-games/nancy-drew-danger-by-design/" TargetMode="External"/><Relationship Id="rId23" Type="http://schemas.openxmlformats.org/officeDocument/2006/relationships/hyperlink" Target="https://www.herinteractive.com/shop-games/nancy-drew-trail-of-the-twister/" TargetMode="External"/><Relationship Id="rId28" Type="http://schemas.openxmlformats.org/officeDocument/2006/relationships/hyperlink" Target="https://www.herinteractive.com/shop-games/nancy-drew-the-deadly-device/" TargetMode="External"/><Relationship Id="rId36" Type="http://schemas.openxmlformats.org/officeDocument/2006/relationships/drawing" Target="../drawings/drawing2.xml"/><Relationship Id="rId10" Type="http://schemas.openxmlformats.org/officeDocument/2006/relationships/hyperlink" Target="https://www.herinteractive.com/shop-games/nancy-drew-danger-on-deception-island/" TargetMode="External"/><Relationship Id="rId19" Type="http://schemas.openxmlformats.org/officeDocument/2006/relationships/hyperlink" Target="https://www.herinteractive.com/shop-games/nancy-drew-the-phantom-of-venice/" TargetMode="External"/><Relationship Id="rId31" Type="http://schemas.openxmlformats.org/officeDocument/2006/relationships/hyperlink" Target="https://www.herinteractive.com/shop-games/nancy-drew-the-shattered-medallion/" TargetMode="External"/><Relationship Id="rId4" Type="http://schemas.openxmlformats.org/officeDocument/2006/relationships/hyperlink" Target="https://www.herinteractive.com/shop-games/nancy-drew-message-in-a-haunted-mansion/" TargetMode="External"/><Relationship Id="rId9" Type="http://schemas.openxmlformats.org/officeDocument/2006/relationships/hyperlink" Target="https://www.herinteractive.com/shop-games/nancy-drew-the-haunted-carousel/" TargetMode="External"/><Relationship Id="rId14" Type="http://schemas.openxmlformats.org/officeDocument/2006/relationships/hyperlink" Target="https://www.herinteractive.com/shop-games/nancy-drew-last-train-to-blue-moon-canyon/" TargetMode="External"/><Relationship Id="rId22" Type="http://schemas.openxmlformats.org/officeDocument/2006/relationships/hyperlink" Target="https://www.herinteractive.com/shop-games/nancy-drew-warnings-at-waverly-academy/" TargetMode="External"/><Relationship Id="rId27" Type="http://schemas.openxmlformats.org/officeDocument/2006/relationships/hyperlink" Target="https://www.herinteractive.com/shop-games/nancy-drew-tomb-of-the-lost-queen/" TargetMode="External"/><Relationship Id="rId30" Type="http://schemas.openxmlformats.org/officeDocument/2006/relationships/hyperlink" Target="https://www.herinteractive.com/shop-games/nancy-drew-the-silent-spy/" TargetMode="External"/><Relationship Id="rId35" Type="http://schemas.openxmlformats.org/officeDocument/2006/relationships/hyperlink" Target="https://www.herinteractive.com/shop-games/34-nancy-drew-mystery-of-the-seven-keys/" TargetMode="External"/><Relationship Id="rId8" Type="http://schemas.openxmlformats.org/officeDocument/2006/relationships/hyperlink" Target="https://www.herinteractive.com/shop-games/nancy-drew-ghost-dogs-of-moon-l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006A4-7DBD-FD4D-BCC4-A3173EEA5411}">
  <sheetPr codeName="Sheet5"/>
  <dimension ref="A1:V189"/>
  <sheetViews>
    <sheetView tabSelected="1" topLeftCell="A118" zoomScale="120" zoomScaleNormal="120" workbookViewId="0">
      <selection activeCell="B126" sqref="B126"/>
    </sheetView>
  </sheetViews>
  <sheetFormatPr baseColWidth="10" defaultRowHeight="19" x14ac:dyDescent="0.2"/>
  <cols>
    <col min="1" max="3" width="30.83203125" style="1" customWidth="1"/>
    <col min="4" max="5" width="10.83203125" style="1" customWidth="1"/>
    <col min="6" max="6" width="30.83203125" style="1" customWidth="1"/>
    <col min="7" max="7" width="10.83203125" style="1" customWidth="1"/>
    <col min="8" max="8" width="30.83203125" style="1" customWidth="1"/>
    <col min="9" max="15" width="10.83203125" style="1" customWidth="1"/>
    <col min="16" max="16" width="30.83203125" style="1" customWidth="1"/>
    <col min="17" max="22" width="10.83203125" style="1" customWidth="1"/>
    <col min="23" max="36" width="30.83203125" style="1" customWidth="1"/>
    <col min="37" max="37" width="10.83203125" style="1"/>
    <col min="38" max="40" width="30.83203125" style="1" customWidth="1"/>
    <col min="41" max="41" width="10.83203125" style="1"/>
    <col min="42" max="44" width="30.83203125" style="1" customWidth="1"/>
    <col min="45" max="45" width="10.83203125" style="1"/>
    <col min="46" max="48" width="30.83203125" style="1" customWidth="1"/>
    <col min="49" max="16384" width="10.83203125" style="1"/>
  </cols>
  <sheetData>
    <row r="1" spans="6:16" ht="20" customHeight="1" x14ac:dyDescent="0.2">
      <c r="F1" s="42" t="s">
        <v>110</v>
      </c>
      <c r="G1" s="43"/>
      <c r="H1" s="43"/>
      <c r="I1" s="43"/>
      <c r="J1" s="43"/>
      <c r="K1" s="44"/>
      <c r="L1" s="22"/>
      <c r="N1" s="40" t="s">
        <v>172</v>
      </c>
      <c r="O1" s="39" t="s">
        <v>173</v>
      </c>
      <c r="P1" s="39" t="s">
        <v>174</v>
      </c>
    </row>
    <row r="2" spans="6:16" ht="20" x14ac:dyDescent="0.2">
      <c r="F2" s="4" t="s">
        <v>3</v>
      </c>
      <c r="G2" s="4"/>
      <c r="H2" s="4" t="s">
        <v>109</v>
      </c>
      <c r="I2" s="4" t="s">
        <v>1</v>
      </c>
      <c r="J2" s="4"/>
      <c r="K2" s="4" t="s">
        <v>2</v>
      </c>
      <c r="L2" s="23"/>
      <c r="N2" s="33">
        <v>1</v>
      </c>
      <c r="O2" s="34">
        <v>9</v>
      </c>
      <c r="P2" s="34" t="s">
        <v>178</v>
      </c>
    </row>
    <row r="3" spans="6:16" ht="20" x14ac:dyDescent="0.2">
      <c r="F3" s="4" t="s">
        <v>4</v>
      </c>
      <c r="G3" s="4"/>
      <c r="H3" s="33" t="s">
        <v>145</v>
      </c>
      <c r="I3" s="4">
        <v>0</v>
      </c>
      <c r="J3" s="4"/>
      <c r="K3" s="4">
        <v>0</v>
      </c>
      <c r="L3" s="23"/>
      <c r="N3" s="33">
        <v>5</v>
      </c>
      <c r="O3" s="34">
        <v>9</v>
      </c>
      <c r="P3" s="34" t="s">
        <v>179</v>
      </c>
    </row>
    <row r="4" spans="6:16" ht="20" x14ac:dyDescent="0.2">
      <c r="F4" s="4" t="s">
        <v>6</v>
      </c>
      <c r="G4" s="4"/>
      <c r="H4" s="33" t="s">
        <v>146</v>
      </c>
      <c r="I4" s="4">
        <v>1</v>
      </c>
      <c r="J4" s="4"/>
      <c r="K4" s="4">
        <v>0</v>
      </c>
      <c r="L4" s="23"/>
      <c r="N4" s="33">
        <v>9</v>
      </c>
      <c r="O4" s="34">
        <v>9</v>
      </c>
      <c r="P4" s="34" t="s">
        <v>180</v>
      </c>
    </row>
    <row r="5" spans="6:16" ht="20" x14ac:dyDescent="0.2">
      <c r="F5" s="4" t="s">
        <v>5</v>
      </c>
      <c r="G5" s="4"/>
      <c r="H5" s="33" t="s">
        <v>147</v>
      </c>
      <c r="I5" s="4">
        <v>2</v>
      </c>
      <c r="J5" s="4"/>
      <c r="K5" s="4">
        <v>0</v>
      </c>
      <c r="L5" s="23"/>
      <c r="N5" s="35">
        <v>13</v>
      </c>
      <c r="O5" s="36">
        <v>9</v>
      </c>
      <c r="P5" s="36" t="s">
        <v>175</v>
      </c>
    </row>
    <row r="6" spans="6:16" ht="19" customHeight="1" x14ac:dyDescent="0.2">
      <c r="F6" s="45" t="s">
        <v>111</v>
      </c>
      <c r="G6" s="46"/>
      <c r="H6" s="46"/>
      <c r="I6" s="47"/>
      <c r="J6" s="6"/>
      <c r="K6" s="5"/>
      <c r="L6" s="24"/>
      <c r="N6" s="35">
        <v>17</v>
      </c>
      <c r="O6" s="36">
        <v>9</v>
      </c>
      <c r="P6" s="36" t="s">
        <v>181</v>
      </c>
    </row>
    <row r="7" spans="6:16" ht="20" x14ac:dyDescent="0.2">
      <c r="F7" s="5" t="s">
        <v>3</v>
      </c>
      <c r="G7" s="5"/>
      <c r="H7" s="5" t="s">
        <v>109</v>
      </c>
      <c r="I7" s="5" t="s">
        <v>1</v>
      </c>
      <c r="J7" s="5"/>
      <c r="K7" s="5" t="s">
        <v>2</v>
      </c>
      <c r="L7" s="24"/>
      <c r="N7" s="35">
        <v>21</v>
      </c>
      <c r="O7" s="36">
        <v>9</v>
      </c>
      <c r="P7" s="36" t="s">
        <v>184</v>
      </c>
    </row>
    <row r="8" spans="6:16" ht="20" x14ac:dyDescent="0.2">
      <c r="F8" s="5" t="s">
        <v>19</v>
      </c>
      <c r="G8" s="5"/>
      <c r="H8" s="35" t="s">
        <v>148</v>
      </c>
      <c r="I8" s="5">
        <v>4</v>
      </c>
      <c r="J8" s="5"/>
      <c r="K8" s="5">
        <v>0</v>
      </c>
      <c r="L8" s="24"/>
      <c r="N8" s="37">
        <v>25</v>
      </c>
      <c r="O8" s="38">
        <v>9</v>
      </c>
      <c r="P8" s="38" t="s">
        <v>183</v>
      </c>
    </row>
    <row r="9" spans="6:16" ht="20" x14ac:dyDescent="0.2">
      <c r="F9" s="5" t="s">
        <v>15</v>
      </c>
      <c r="G9" s="5"/>
      <c r="H9" s="35" t="s">
        <v>149</v>
      </c>
      <c r="I9" s="5">
        <v>5</v>
      </c>
      <c r="J9" s="5"/>
      <c r="K9" s="5">
        <v>0</v>
      </c>
      <c r="L9" s="24"/>
      <c r="N9" s="37">
        <v>29</v>
      </c>
      <c r="O9" s="38">
        <v>9</v>
      </c>
      <c r="P9" s="38" t="s">
        <v>185</v>
      </c>
    </row>
    <row r="10" spans="6:16" ht="19" customHeight="1" x14ac:dyDescent="0.2">
      <c r="F10" s="5" t="s">
        <v>16</v>
      </c>
      <c r="G10" s="5"/>
      <c r="H10" s="35" t="s">
        <v>150</v>
      </c>
      <c r="I10" s="5">
        <v>6</v>
      </c>
      <c r="J10" s="5"/>
      <c r="K10" s="5">
        <v>0</v>
      </c>
      <c r="L10" s="24"/>
      <c r="N10" s="37">
        <v>33</v>
      </c>
      <c r="O10" s="38">
        <v>9</v>
      </c>
      <c r="P10" s="38" t="s">
        <v>176</v>
      </c>
    </row>
    <row r="11" spans="6:16" ht="19" customHeight="1" x14ac:dyDescent="0.2">
      <c r="F11" s="48" t="s">
        <v>112</v>
      </c>
      <c r="G11" s="49"/>
      <c r="H11" s="49"/>
      <c r="I11" s="50"/>
      <c r="J11" s="2"/>
      <c r="K11" s="3"/>
      <c r="L11" s="20"/>
    </row>
    <row r="12" spans="6:16" ht="20" x14ac:dyDescent="0.2">
      <c r="F12" s="3" t="s">
        <v>3</v>
      </c>
      <c r="G12" s="3"/>
      <c r="H12" s="3" t="s">
        <v>109</v>
      </c>
      <c r="I12" s="3" t="s">
        <v>1</v>
      </c>
      <c r="J12" s="3"/>
      <c r="K12" s="3" t="s">
        <v>2</v>
      </c>
      <c r="L12" s="20"/>
    </row>
    <row r="13" spans="6:16" ht="20" x14ac:dyDescent="0.2">
      <c r="F13" s="3" t="s">
        <v>9</v>
      </c>
      <c r="G13" s="3"/>
      <c r="H13" s="37" t="s">
        <v>151</v>
      </c>
      <c r="I13" s="3">
        <v>8</v>
      </c>
      <c r="J13" s="3"/>
      <c r="K13" s="3">
        <v>0</v>
      </c>
      <c r="L13" s="20"/>
    </row>
    <row r="14" spans="6:16" ht="19" customHeight="1" x14ac:dyDescent="0.2">
      <c r="F14" s="3" t="s">
        <v>10</v>
      </c>
      <c r="G14" s="3"/>
      <c r="H14" s="37" t="s">
        <v>152</v>
      </c>
      <c r="I14" s="3">
        <v>9</v>
      </c>
      <c r="J14" s="3"/>
      <c r="K14" s="3">
        <v>0</v>
      </c>
      <c r="L14" s="20"/>
    </row>
    <row r="15" spans="6:16" ht="20" x14ac:dyDescent="0.2">
      <c r="F15" s="3" t="s">
        <v>11</v>
      </c>
      <c r="G15" s="3"/>
      <c r="H15" s="37" t="s">
        <v>153</v>
      </c>
      <c r="I15" s="3">
        <v>10</v>
      </c>
      <c r="J15" s="3"/>
      <c r="K15" s="3">
        <v>0</v>
      </c>
      <c r="L15" s="20"/>
    </row>
    <row r="16" spans="6:16" ht="19" customHeight="1" x14ac:dyDescent="0.2">
      <c r="F16" s="42" t="s">
        <v>113</v>
      </c>
      <c r="G16" s="43"/>
      <c r="H16" s="43"/>
      <c r="I16" s="44"/>
      <c r="J16" s="21"/>
      <c r="K16" s="4"/>
      <c r="L16" s="23"/>
    </row>
    <row r="17" spans="6:12" ht="20" x14ac:dyDescent="0.2">
      <c r="F17" s="4" t="s">
        <v>3</v>
      </c>
      <c r="G17" s="4"/>
      <c r="H17" s="4" t="s">
        <v>109</v>
      </c>
      <c r="I17" s="4" t="s">
        <v>1</v>
      </c>
      <c r="J17" s="4"/>
      <c r="K17" s="4" t="s">
        <v>2</v>
      </c>
      <c r="L17" s="23"/>
    </row>
    <row r="18" spans="6:12" ht="19" customHeight="1" x14ac:dyDescent="0.2">
      <c r="F18" s="4" t="s">
        <v>20</v>
      </c>
      <c r="G18" s="4"/>
      <c r="H18" s="33" t="s">
        <v>154</v>
      </c>
      <c r="I18" s="4">
        <v>12</v>
      </c>
      <c r="J18" s="4"/>
      <c r="K18" s="4">
        <v>0</v>
      </c>
      <c r="L18" s="23"/>
    </row>
    <row r="19" spans="6:12" ht="40" x14ac:dyDescent="0.2">
      <c r="F19" s="4" t="s">
        <v>22</v>
      </c>
      <c r="G19" s="4"/>
      <c r="H19" s="33" t="s">
        <v>155</v>
      </c>
      <c r="I19" s="4">
        <v>13</v>
      </c>
      <c r="J19" s="4"/>
      <c r="K19" s="4">
        <v>0</v>
      </c>
      <c r="L19" s="23"/>
    </row>
    <row r="20" spans="6:12" ht="20" x14ac:dyDescent="0.2">
      <c r="F20" s="4" t="s">
        <v>21</v>
      </c>
      <c r="G20" s="4"/>
      <c r="H20" s="33" t="s">
        <v>156</v>
      </c>
      <c r="I20" s="4">
        <v>14</v>
      </c>
      <c r="J20" s="4"/>
      <c r="K20" s="4">
        <v>0</v>
      </c>
      <c r="L20" s="23"/>
    </row>
    <row r="21" spans="6:12" ht="19" customHeight="1" x14ac:dyDescent="0.2">
      <c r="F21" s="45" t="s">
        <v>114</v>
      </c>
      <c r="G21" s="46"/>
      <c r="H21" s="46"/>
      <c r="I21" s="47"/>
      <c r="J21" s="6"/>
      <c r="K21" s="5"/>
      <c r="L21" s="24"/>
    </row>
    <row r="22" spans="6:12" ht="19" customHeight="1" x14ac:dyDescent="0.2">
      <c r="F22" s="5" t="s">
        <v>3</v>
      </c>
      <c r="G22" s="5"/>
      <c r="H22" s="5" t="s">
        <v>109</v>
      </c>
      <c r="I22" s="5" t="s">
        <v>1</v>
      </c>
      <c r="J22" s="5"/>
      <c r="K22" s="5" t="s">
        <v>2</v>
      </c>
      <c r="L22" s="24"/>
    </row>
    <row r="23" spans="6:12" ht="20" x14ac:dyDescent="0.2">
      <c r="F23" s="5" t="s">
        <v>12</v>
      </c>
      <c r="G23" s="5"/>
      <c r="H23" s="35" t="s">
        <v>157</v>
      </c>
      <c r="I23" s="5">
        <v>16</v>
      </c>
      <c r="J23" s="5"/>
      <c r="K23" s="5">
        <v>0</v>
      </c>
      <c r="L23" s="24"/>
    </row>
    <row r="24" spans="6:12" ht="20" x14ac:dyDescent="0.2">
      <c r="F24" s="5" t="s">
        <v>13</v>
      </c>
      <c r="G24" s="5"/>
      <c r="H24" s="35" t="s">
        <v>158</v>
      </c>
      <c r="I24" s="5">
        <v>17</v>
      </c>
      <c r="J24" s="5"/>
      <c r="K24" s="5">
        <v>0</v>
      </c>
      <c r="L24" s="24"/>
    </row>
    <row r="25" spans="6:12" ht="20" x14ac:dyDescent="0.2">
      <c r="F25" s="5" t="s">
        <v>14</v>
      </c>
      <c r="G25" s="5"/>
      <c r="H25" s="35" t="s">
        <v>159</v>
      </c>
      <c r="I25" s="5">
        <v>18</v>
      </c>
      <c r="J25" s="5"/>
      <c r="K25" s="5">
        <v>0</v>
      </c>
      <c r="L25" s="24"/>
    </row>
    <row r="26" spans="6:12" ht="19" customHeight="1" x14ac:dyDescent="0.2">
      <c r="F26" s="48" t="s">
        <v>115</v>
      </c>
      <c r="G26" s="49"/>
      <c r="H26" s="49"/>
      <c r="I26" s="50"/>
      <c r="J26" s="2"/>
      <c r="K26" s="3"/>
      <c r="L26" s="20"/>
    </row>
    <row r="27" spans="6:12" ht="20" x14ac:dyDescent="0.2">
      <c r="F27" s="3" t="s">
        <v>3</v>
      </c>
      <c r="G27" s="3"/>
      <c r="H27" s="3" t="s">
        <v>109</v>
      </c>
      <c r="I27" s="3" t="s">
        <v>1</v>
      </c>
      <c r="J27" s="3"/>
      <c r="K27" s="3" t="s">
        <v>2</v>
      </c>
      <c r="L27" s="20"/>
    </row>
    <row r="28" spans="6:12" ht="60" x14ac:dyDescent="0.2">
      <c r="F28" s="3" t="s">
        <v>97</v>
      </c>
      <c r="G28" s="3"/>
      <c r="H28" s="37" t="s">
        <v>160</v>
      </c>
      <c r="I28" s="3">
        <v>20</v>
      </c>
      <c r="J28" s="3"/>
      <c r="K28" s="3">
        <v>0</v>
      </c>
      <c r="L28" s="20"/>
    </row>
    <row r="29" spans="6:12" ht="60" x14ac:dyDescent="0.2">
      <c r="F29" s="3" t="s">
        <v>26</v>
      </c>
      <c r="G29" s="3"/>
      <c r="H29" s="37" t="s">
        <v>161</v>
      </c>
      <c r="I29" s="3">
        <v>21</v>
      </c>
      <c r="J29" s="3"/>
      <c r="K29" s="3">
        <v>0</v>
      </c>
      <c r="L29" s="20"/>
    </row>
    <row r="30" spans="6:12" ht="19" customHeight="1" x14ac:dyDescent="0.2">
      <c r="F30" s="3" t="s">
        <v>25</v>
      </c>
      <c r="G30" s="3"/>
      <c r="H30" s="37" t="s">
        <v>162</v>
      </c>
      <c r="I30" s="3">
        <v>22</v>
      </c>
      <c r="J30" s="3"/>
      <c r="K30" s="3">
        <v>0</v>
      </c>
      <c r="L30" s="20"/>
    </row>
    <row r="31" spans="6:12" ht="19" customHeight="1" x14ac:dyDescent="0.2">
      <c r="F31" s="42" t="s">
        <v>116</v>
      </c>
      <c r="G31" s="43"/>
      <c r="H31" s="43"/>
      <c r="I31" s="44"/>
      <c r="J31" s="21"/>
      <c r="K31" s="4"/>
      <c r="L31" s="23"/>
    </row>
    <row r="32" spans="6:12" ht="20" x14ac:dyDescent="0.2">
      <c r="F32" s="4" t="s">
        <v>3</v>
      </c>
      <c r="G32" s="4"/>
      <c r="H32" s="4" t="s">
        <v>109</v>
      </c>
      <c r="I32" s="4" t="s">
        <v>1</v>
      </c>
      <c r="J32" s="4"/>
      <c r="K32" s="4" t="s">
        <v>2</v>
      </c>
      <c r="L32" s="23"/>
    </row>
    <row r="33" spans="1:12" ht="40" x14ac:dyDescent="0.2">
      <c r="F33" s="4" t="s">
        <v>98</v>
      </c>
      <c r="G33" s="4"/>
      <c r="H33" s="33" t="s">
        <v>163</v>
      </c>
      <c r="I33" s="4">
        <v>24</v>
      </c>
      <c r="J33" s="4"/>
      <c r="K33" s="4">
        <v>0</v>
      </c>
      <c r="L33" s="23"/>
    </row>
    <row r="34" spans="1:12" ht="19" customHeight="1" x14ac:dyDescent="0.2">
      <c r="F34" s="4" t="s">
        <v>99</v>
      </c>
      <c r="G34" s="4"/>
      <c r="H34" s="33" t="s">
        <v>164</v>
      </c>
      <c r="I34" s="4">
        <v>25</v>
      </c>
      <c r="J34" s="4"/>
      <c r="K34" s="4">
        <v>0</v>
      </c>
      <c r="L34" s="23"/>
    </row>
    <row r="35" spans="1:12" ht="20" x14ac:dyDescent="0.2">
      <c r="F35" s="4" t="s">
        <v>100</v>
      </c>
      <c r="G35" s="4"/>
      <c r="H35" s="33" t="s">
        <v>165</v>
      </c>
      <c r="I35" s="4">
        <v>26</v>
      </c>
      <c r="J35" s="4"/>
      <c r="K35" s="4">
        <v>0</v>
      </c>
      <c r="L35" s="23"/>
    </row>
    <row r="36" spans="1:12" ht="19" customHeight="1" x14ac:dyDescent="0.2">
      <c r="F36" s="45" t="s">
        <v>117</v>
      </c>
      <c r="G36" s="46"/>
      <c r="H36" s="46"/>
      <c r="I36" s="47"/>
      <c r="J36" s="6"/>
      <c r="K36" s="5"/>
      <c r="L36" s="24"/>
    </row>
    <row r="37" spans="1:12" ht="20" x14ac:dyDescent="0.2">
      <c r="F37" s="5" t="s">
        <v>3</v>
      </c>
      <c r="G37" s="5"/>
      <c r="H37" s="5" t="s">
        <v>109</v>
      </c>
      <c r="I37" s="5" t="s">
        <v>1</v>
      </c>
      <c r="J37" s="5"/>
      <c r="K37" s="5" t="s">
        <v>2</v>
      </c>
      <c r="L37" s="24"/>
    </row>
    <row r="38" spans="1:12" ht="20" x14ac:dyDescent="0.2">
      <c r="F38" s="5" t="s">
        <v>101</v>
      </c>
      <c r="G38" s="5"/>
      <c r="H38" s="35" t="s">
        <v>166</v>
      </c>
      <c r="I38" s="5">
        <v>28</v>
      </c>
      <c r="J38" s="5"/>
      <c r="K38" s="5">
        <v>0</v>
      </c>
      <c r="L38" s="24"/>
    </row>
    <row r="39" spans="1:12" ht="20" x14ac:dyDescent="0.2">
      <c r="F39" s="5" t="s">
        <v>102</v>
      </c>
      <c r="G39" s="5"/>
      <c r="H39" s="35" t="s">
        <v>167</v>
      </c>
      <c r="I39" s="5">
        <v>29</v>
      </c>
      <c r="J39" s="5"/>
      <c r="K39" s="5">
        <v>0</v>
      </c>
      <c r="L39" s="24"/>
    </row>
    <row r="40" spans="1:12" ht="20" x14ac:dyDescent="0.2">
      <c r="F40" s="5" t="s">
        <v>103</v>
      </c>
      <c r="G40" s="5"/>
      <c r="H40" s="35" t="s">
        <v>168</v>
      </c>
      <c r="I40" s="5">
        <v>30</v>
      </c>
      <c r="J40" s="5"/>
      <c r="K40" s="5">
        <v>0</v>
      </c>
      <c r="L40" s="24"/>
    </row>
    <row r="41" spans="1:12" x14ac:dyDescent="0.2">
      <c r="F41" s="55" t="s">
        <v>118</v>
      </c>
      <c r="G41" s="55"/>
      <c r="H41" s="55"/>
      <c r="I41" s="55"/>
      <c r="J41" s="2"/>
      <c r="K41" s="3"/>
      <c r="L41" s="20"/>
    </row>
    <row r="42" spans="1:12" ht="20" x14ac:dyDescent="0.2">
      <c r="F42" s="3" t="s">
        <v>3</v>
      </c>
      <c r="G42" s="3"/>
      <c r="H42" s="3" t="s">
        <v>109</v>
      </c>
      <c r="I42" s="3" t="s">
        <v>1</v>
      </c>
      <c r="J42" s="3"/>
      <c r="K42" s="3" t="s">
        <v>2</v>
      </c>
      <c r="L42" s="20"/>
    </row>
    <row r="43" spans="1:12" ht="20" x14ac:dyDescent="0.2">
      <c r="F43" s="3" t="s">
        <v>104</v>
      </c>
      <c r="G43" s="3"/>
      <c r="H43" s="37" t="s">
        <v>169</v>
      </c>
      <c r="I43" s="3">
        <v>32</v>
      </c>
      <c r="J43" s="3"/>
      <c r="K43" s="3">
        <v>0</v>
      </c>
      <c r="L43" s="20"/>
    </row>
    <row r="44" spans="1:12" ht="20" x14ac:dyDescent="0.2">
      <c r="F44" s="3" t="s">
        <v>105</v>
      </c>
      <c r="G44" s="3"/>
      <c r="H44" s="37" t="s">
        <v>170</v>
      </c>
      <c r="I44" s="3">
        <v>33</v>
      </c>
      <c r="J44" s="3"/>
      <c r="K44" s="3">
        <v>0</v>
      </c>
      <c r="L44" s="20"/>
    </row>
    <row r="45" spans="1:12" ht="20" x14ac:dyDescent="0.2">
      <c r="F45" s="3" t="s">
        <v>106</v>
      </c>
      <c r="G45" s="3"/>
      <c r="H45" s="37" t="s">
        <v>171</v>
      </c>
      <c r="I45" s="3">
        <v>34</v>
      </c>
      <c r="J45" s="3"/>
      <c r="K45" s="3">
        <v>0</v>
      </c>
      <c r="L45" s="20"/>
    </row>
    <row r="46" spans="1:12" ht="21" customHeight="1" x14ac:dyDescent="0.2">
      <c r="A46" s="52" t="s">
        <v>17</v>
      </c>
      <c r="B46" s="52"/>
      <c r="C46" s="52"/>
      <c r="D46" s="11"/>
      <c r="E46" s="11"/>
    </row>
    <row r="47" spans="1:12" ht="20" x14ac:dyDescent="0.2">
      <c r="A47" s="4" t="s">
        <v>3</v>
      </c>
      <c r="B47" s="4" t="s">
        <v>1</v>
      </c>
      <c r="C47" s="4" t="s">
        <v>2</v>
      </c>
    </row>
    <row r="48" spans="1:12" ht="20" x14ac:dyDescent="0.2">
      <c r="A48" s="4" t="s">
        <v>177</v>
      </c>
      <c r="B48" s="4">
        <v>0</v>
      </c>
      <c r="C48" s="4">
        <v>0</v>
      </c>
    </row>
    <row r="49" spans="1:22" x14ac:dyDescent="0.2">
      <c r="A49" s="4">
        <v>1982</v>
      </c>
      <c r="B49" s="4">
        <v>0</v>
      </c>
      <c r="C49" s="4">
        <v>1</v>
      </c>
    </row>
    <row r="50" spans="1:22" x14ac:dyDescent="0.2">
      <c r="A50" s="4">
        <v>1983</v>
      </c>
      <c r="B50" s="4">
        <v>0</v>
      </c>
      <c r="C50" s="4">
        <v>2</v>
      </c>
    </row>
    <row r="51" spans="1:22" x14ac:dyDescent="0.2">
      <c r="A51" s="4">
        <v>1984</v>
      </c>
      <c r="B51" s="4">
        <v>0</v>
      </c>
      <c r="C51" s="4">
        <v>3</v>
      </c>
    </row>
    <row r="52" spans="1:22" x14ac:dyDescent="0.2">
      <c r="A52" s="4">
        <v>1985</v>
      </c>
      <c r="B52" s="4">
        <v>0</v>
      </c>
      <c r="C52" s="4">
        <v>4</v>
      </c>
    </row>
    <row r="53" spans="1:22" x14ac:dyDescent="0.2">
      <c r="A53" s="4">
        <v>1986</v>
      </c>
      <c r="B53" s="4">
        <v>0</v>
      </c>
      <c r="C53" s="4">
        <v>5</v>
      </c>
    </row>
    <row r="54" spans="1:22" x14ac:dyDescent="0.2">
      <c r="A54" s="4">
        <v>1987</v>
      </c>
      <c r="B54" s="4">
        <v>0</v>
      </c>
      <c r="C54" s="4">
        <v>6</v>
      </c>
    </row>
    <row r="55" spans="1:22" ht="104" customHeight="1" x14ac:dyDescent="0.2">
      <c r="A55" s="4">
        <v>1988</v>
      </c>
      <c r="B55" s="4">
        <v>0</v>
      </c>
      <c r="C55" s="4">
        <v>7</v>
      </c>
    </row>
    <row r="56" spans="1:22" ht="78" customHeight="1" x14ac:dyDescent="0.2">
      <c r="A56" s="4">
        <v>1989</v>
      </c>
      <c r="B56" s="4">
        <v>0</v>
      </c>
      <c r="C56" s="4">
        <v>8</v>
      </c>
    </row>
    <row r="57" spans="1:22" ht="90" customHeight="1" x14ac:dyDescent="0.2">
      <c r="T57" s="15"/>
      <c r="U57" s="15"/>
    </row>
    <row r="58" spans="1:22" ht="54" customHeight="1" x14ac:dyDescent="0.2">
      <c r="A58" s="2" t="s">
        <v>7</v>
      </c>
      <c r="C58" s="2" t="s">
        <v>119</v>
      </c>
      <c r="D58" s="2" t="s">
        <v>136</v>
      </c>
      <c r="E58" s="25" t="s">
        <v>120</v>
      </c>
      <c r="F58" s="2" t="s">
        <v>137</v>
      </c>
      <c r="G58" s="2" t="s">
        <v>121</v>
      </c>
      <c r="H58" s="2" t="s">
        <v>138</v>
      </c>
      <c r="I58" s="12"/>
      <c r="J58" s="2" t="s">
        <v>122</v>
      </c>
      <c r="K58" s="2" t="s">
        <v>139</v>
      </c>
      <c r="L58" s="29" t="s">
        <v>123</v>
      </c>
      <c r="M58" s="2" t="s">
        <v>140</v>
      </c>
      <c r="N58" s="29" t="s">
        <v>124</v>
      </c>
      <c r="O58" s="2" t="s">
        <v>141</v>
      </c>
      <c r="Q58" s="2" t="s">
        <v>125</v>
      </c>
      <c r="R58" s="2" t="s">
        <v>142</v>
      </c>
      <c r="S58" s="2" t="s">
        <v>127</v>
      </c>
      <c r="T58" s="2" t="s">
        <v>143</v>
      </c>
      <c r="U58" s="29" t="s">
        <v>126</v>
      </c>
      <c r="V58" s="2" t="s">
        <v>144</v>
      </c>
    </row>
    <row r="59" spans="1:22" x14ac:dyDescent="0.2">
      <c r="A59" s="4">
        <v>0</v>
      </c>
      <c r="C59" s="4">
        <v>0</v>
      </c>
      <c r="D59" s="4">
        <f>COUNTIFS(D90:D189, "=0",$B$90:$B$189, "&gt;=1980",$B$90:$B$189, "&lt;=1981")</f>
        <v>2</v>
      </c>
      <c r="E59" s="26">
        <v>4</v>
      </c>
      <c r="F59" s="4">
        <f>COUNTIFS(F90:F189, "=0",$B$90:$B$189, "&gt;=1980",$B$90:$B$189, "&lt;=1981")</f>
        <v>2</v>
      </c>
      <c r="G59" s="4">
        <v>8</v>
      </c>
      <c r="H59" s="4">
        <f>COUNTIFS(H90:H189, "=0",$B$90:$B$189, "&gt;=1980",$B$90:$B$189, "&lt;=1981")</f>
        <v>0</v>
      </c>
      <c r="I59" s="16"/>
      <c r="J59" s="4">
        <v>12</v>
      </c>
      <c r="K59" s="4">
        <f>COUNTIFS(K90:K189, "=0",$B$90:$B$189, "&gt;=1980",$B$90:$B$189, "&lt;=1981")</f>
        <v>2</v>
      </c>
      <c r="L59" s="30">
        <v>16</v>
      </c>
      <c r="M59" s="4">
        <f>COUNTIFS(M90:M189, "=0",$B$90:$B$189, "&gt;=1980",$B$90:$B$189, "&lt;=1981")</f>
        <v>0</v>
      </c>
      <c r="N59" s="30">
        <v>20</v>
      </c>
      <c r="O59" s="4">
        <f>COUNTIFS(O90:O189, "=0",$B$90:$B$189, "&gt;=1980",$B$90:$B$189, "&lt;=1981")</f>
        <v>2</v>
      </c>
      <c r="Q59" s="4">
        <v>24</v>
      </c>
      <c r="R59" s="4">
        <f>COUNTIFS(R90:R189, "=0",$B$90:$B$189, "&gt;=1980",$B$90:$B$189, "&lt;=1981")</f>
        <v>2</v>
      </c>
      <c r="S59" s="30">
        <v>28</v>
      </c>
      <c r="T59" s="4">
        <f>COUNTIFS(T90:T189, "=0",$B$90:$B$189, "&gt;=1980",$B$90:$B$189, "&lt;=1981")</f>
        <v>2</v>
      </c>
      <c r="U59" s="30">
        <v>32</v>
      </c>
      <c r="V59" s="4">
        <f>COUNTIFS(V90:V189, "=0",$B$90:$B$189, "&gt;=1980",$B$90:$B$189, "&lt;=1981")</f>
        <v>0</v>
      </c>
    </row>
    <row r="60" spans="1:22" x14ac:dyDescent="0.2">
      <c r="A60" s="4">
        <v>1</v>
      </c>
      <c r="C60" s="4">
        <v>0</v>
      </c>
      <c r="D60" s="4">
        <f>COUNTIFS(D90:D189, "=0",$B$90:$B$189, "1982")</f>
        <v>3</v>
      </c>
      <c r="E60" s="26">
        <v>4</v>
      </c>
      <c r="F60" s="4">
        <f>COUNTIFS(F90:F189, "=0",$B$90:$B$189, "1982")</f>
        <v>3</v>
      </c>
      <c r="G60" s="4">
        <v>8</v>
      </c>
      <c r="H60" s="4">
        <f>COUNTIFS(H90:H189, "=0",$B$90:$B$189, "1982")</f>
        <v>0</v>
      </c>
      <c r="I60" s="16"/>
      <c r="J60" s="4">
        <v>12</v>
      </c>
      <c r="K60" s="4">
        <f>COUNTIFS(K90:K189, "=0",$B$90:$B$189, "1982")</f>
        <v>2</v>
      </c>
      <c r="L60" s="30">
        <v>16</v>
      </c>
      <c r="M60" s="4">
        <f>COUNTIFS(M90:M189, "=0",$B$90:$B$189, "1982")</f>
        <v>0</v>
      </c>
      <c r="N60" s="30">
        <v>20</v>
      </c>
      <c r="O60" s="4">
        <f>COUNTIFS(O90:O189, "=0",$B$90:$B$189, "1982")</f>
        <v>3</v>
      </c>
      <c r="Q60" s="4">
        <v>24</v>
      </c>
      <c r="R60" s="4">
        <f>COUNTIFS(R90:R189, "=0",$B$90:$B$189, "1982")</f>
        <v>3</v>
      </c>
      <c r="S60" s="30">
        <v>28</v>
      </c>
      <c r="T60" s="4">
        <f>COUNTIFS(T90:T189, "=0",$B$90:$B$189, "1982")</f>
        <v>1</v>
      </c>
      <c r="U60" s="30">
        <v>32</v>
      </c>
      <c r="V60" s="4">
        <f>COUNTIFS(V90:V189, "=0",$B$90:$B$189, "1982")</f>
        <v>0</v>
      </c>
    </row>
    <row r="61" spans="1:22" x14ac:dyDescent="0.2">
      <c r="A61" s="4">
        <v>2</v>
      </c>
      <c r="C61" s="4">
        <v>0</v>
      </c>
      <c r="D61" s="4">
        <f>COUNTIFS(D90:D189, "=0",$B$90:$B$189, "1983")</f>
        <v>5</v>
      </c>
      <c r="E61" s="26">
        <v>4</v>
      </c>
      <c r="F61" s="4">
        <f>COUNTIFS(F90:F189, "=0",$B$90:$B$189, "1983")</f>
        <v>5</v>
      </c>
      <c r="G61" s="4">
        <v>8</v>
      </c>
      <c r="H61" s="4">
        <f>COUNTIFS(H90:H189, "=0",$B$90:$B$189, "1983")</f>
        <v>0</v>
      </c>
      <c r="I61" s="16"/>
      <c r="J61" s="4">
        <v>12</v>
      </c>
      <c r="K61" s="4">
        <f>COUNTIFS(K90:K189, "=0",$B$90:$B$189, "1983")</f>
        <v>3</v>
      </c>
      <c r="L61" s="30">
        <v>16</v>
      </c>
      <c r="M61" s="4">
        <f>COUNTIFS(M90:M189, "=0",$B$90:$B$189, "1983")</f>
        <v>0</v>
      </c>
      <c r="N61" s="30">
        <v>20</v>
      </c>
      <c r="O61" s="4">
        <f>COUNTIFS(O90:O189, "=0",$B$90:$B$189, "1983")</f>
        <v>5</v>
      </c>
      <c r="Q61" s="4">
        <v>24</v>
      </c>
      <c r="R61" s="4">
        <f>COUNTIFS(R90:R189, "=0",$B$90:$B$189, "1983")</f>
        <v>5</v>
      </c>
      <c r="S61" s="30">
        <v>28</v>
      </c>
      <c r="T61" s="4">
        <f>COUNTIFS(T90:T189, "=0",$B$90:$B$189, "1983")</f>
        <v>1</v>
      </c>
      <c r="U61" s="30">
        <v>32</v>
      </c>
      <c r="V61" s="4">
        <f>COUNTIFS(V90:V189, "=0",$B$90:$B$189, "1983")</f>
        <v>0</v>
      </c>
    </row>
    <row r="62" spans="1:22" x14ac:dyDescent="0.2">
      <c r="A62" s="4">
        <v>3</v>
      </c>
      <c r="C62" s="4">
        <v>0</v>
      </c>
      <c r="D62" s="4">
        <f>COUNTIFS(D90:D189, "=0",$B$90:$B$189, "1984")</f>
        <v>5</v>
      </c>
      <c r="E62" s="26">
        <v>4</v>
      </c>
      <c r="F62" s="4">
        <f>COUNTIFS(F90:F189, "=0",$B$90:$B$189, "1984")</f>
        <v>5</v>
      </c>
      <c r="G62" s="4">
        <v>8</v>
      </c>
      <c r="H62" s="4">
        <f>COUNTIFS(H90:H189, "=0",$B$90:$B$189, "1984")</f>
        <v>0</v>
      </c>
      <c r="I62" s="16"/>
      <c r="J62" s="4">
        <v>12</v>
      </c>
      <c r="K62" s="4">
        <f>COUNTIFS(K90:K189, "=0",$B$90:$B$189, "1984")</f>
        <v>2</v>
      </c>
      <c r="L62" s="30">
        <v>16</v>
      </c>
      <c r="M62" s="4">
        <f>COUNTIFS(M90:M189, "=0",$B$90:$B$189, "1984")</f>
        <v>0</v>
      </c>
      <c r="N62" s="30">
        <v>20</v>
      </c>
      <c r="O62" s="4">
        <f>COUNTIFS(O90:O189, "=0",$B$90:$B$189, "1984")</f>
        <v>5</v>
      </c>
      <c r="Q62" s="4">
        <v>24</v>
      </c>
      <c r="R62" s="4">
        <f>COUNTIFS(R90:R189, "=0",$B$90:$B$189, "1984")</f>
        <v>5</v>
      </c>
      <c r="S62" s="30">
        <v>28</v>
      </c>
      <c r="T62" s="4">
        <f>COUNTIFS(T90:T189, "=0",$B$90:$B$189, "1984")</f>
        <v>1</v>
      </c>
      <c r="U62" s="30">
        <v>32</v>
      </c>
      <c r="V62" s="4">
        <f>COUNTIFS(V90:V189, "=0",$B$90:$B$189, "1984")</f>
        <v>0</v>
      </c>
    </row>
    <row r="63" spans="1:22" x14ac:dyDescent="0.2">
      <c r="A63" s="4">
        <v>4</v>
      </c>
      <c r="C63" s="4">
        <v>0</v>
      </c>
      <c r="D63" s="4">
        <f>COUNTIFS(D90:D189, "=0",$B$90:$B$189, "1985")</f>
        <v>3</v>
      </c>
      <c r="E63" s="26">
        <v>4</v>
      </c>
      <c r="F63" s="4">
        <f>COUNTIFS(F90:F189, "=0",$B$90:$B$189, "1985")</f>
        <v>3</v>
      </c>
      <c r="G63" s="4">
        <v>8</v>
      </c>
      <c r="H63" s="4">
        <f>COUNTIFS(H90:H189, "=0",$B$90:$B$189, "1985")</f>
        <v>0</v>
      </c>
      <c r="I63" s="16"/>
      <c r="J63" s="4">
        <v>12</v>
      </c>
      <c r="K63" s="4">
        <f>COUNTIFS(K90:K189, "=0",$B$90:$B$189, "1985")</f>
        <v>1</v>
      </c>
      <c r="L63" s="30">
        <v>16</v>
      </c>
      <c r="M63" s="4">
        <f>COUNTIFS(M90:M189, "=0",$B$90:$B$189, "1985")</f>
        <v>0</v>
      </c>
      <c r="N63" s="30">
        <v>20</v>
      </c>
      <c r="O63" s="4">
        <f>COUNTIFS(O90:O189, "=0",$B$90:$B$189, "1985")</f>
        <v>3</v>
      </c>
      <c r="Q63" s="4">
        <v>24</v>
      </c>
      <c r="R63" s="4">
        <f>COUNTIFS(R90:R189, "=0",$B$90:$B$189, "1985")</f>
        <v>3</v>
      </c>
      <c r="S63" s="30">
        <v>28</v>
      </c>
      <c r="T63" s="4">
        <f>COUNTIFS(T90:T189, "=0",$B$90:$B$189, "1985")</f>
        <v>1</v>
      </c>
      <c r="U63" s="30">
        <v>32</v>
      </c>
      <c r="V63" s="4">
        <f>COUNTIFS(V90:V189, "=0",$B$90:$B$189, "1985")</f>
        <v>0</v>
      </c>
    </row>
    <row r="64" spans="1:22" x14ac:dyDescent="0.2">
      <c r="A64" s="4">
        <v>5</v>
      </c>
      <c r="C64" s="4">
        <v>0</v>
      </c>
      <c r="D64" s="4">
        <f>COUNTIFS(D90:D189, "=0",$B$90:$B$189, "1986")</f>
        <v>5</v>
      </c>
      <c r="E64" s="26">
        <v>4</v>
      </c>
      <c r="F64" s="4">
        <f>COUNTIFS(F90:F189, "=0",$B$90:$B$189, "1986")</f>
        <v>5</v>
      </c>
      <c r="G64" s="4">
        <v>8</v>
      </c>
      <c r="H64" s="4">
        <f>COUNTIFS(H90:H189, "=0",$B$90:$B$189, "1986")</f>
        <v>0</v>
      </c>
      <c r="I64" s="16"/>
      <c r="J64" s="4">
        <v>12</v>
      </c>
      <c r="K64" s="4">
        <f>COUNTIFS(K90:K189, "=0",$B$90:$B$189, "1986")</f>
        <v>1</v>
      </c>
      <c r="L64" s="30">
        <v>16</v>
      </c>
      <c r="M64" s="4">
        <f>COUNTIFS(M90:M189, "=0",$B$90:$B$189, "1986")</f>
        <v>0</v>
      </c>
      <c r="N64" s="30">
        <v>20</v>
      </c>
      <c r="O64" s="4">
        <f>COUNTIFS(O90:O189, "=0",$B$90:$B$189, "1986")</f>
        <v>5</v>
      </c>
      <c r="Q64" s="4">
        <v>24</v>
      </c>
      <c r="R64" s="4">
        <f>COUNTIFS(R90:R189, "=0",$B$90:$B$189, "1986")</f>
        <v>5</v>
      </c>
      <c r="S64" s="30">
        <v>28</v>
      </c>
      <c r="T64" s="4">
        <f>COUNTIFS(T90:T189, "=0",$B$90:$B$189, "1986")</f>
        <v>0</v>
      </c>
      <c r="U64" s="30">
        <v>32</v>
      </c>
      <c r="V64" s="4">
        <f>COUNTIFS(V90:V189, "=0",$B$90:$B$189, "1986")</f>
        <v>0</v>
      </c>
    </row>
    <row r="65" spans="1:22" x14ac:dyDescent="0.2">
      <c r="A65" s="4">
        <v>6</v>
      </c>
      <c r="C65" s="4">
        <v>0</v>
      </c>
      <c r="D65" s="4">
        <f>COUNTIFS(D90:D189, "=0",$B$90:$B$189, "1987")</f>
        <v>8</v>
      </c>
      <c r="E65" s="26">
        <v>4</v>
      </c>
      <c r="F65" s="4">
        <f>COUNTIFS(F90:F189, "=0",$B$90:$B$189, "1987")</f>
        <v>8</v>
      </c>
      <c r="G65" s="4">
        <v>8</v>
      </c>
      <c r="H65" s="4">
        <f>COUNTIFS(H90:H189, "=0",$B$90:$B$189, "1987")</f>
        <v>0</v>
      </c>
      <c r="I65" s="16"/>
      <c r="J65" s="4">
        <v>12</v>
      </c>
      <c r="K65" s="4">
        <f>COUNTIFS(K90:K189, "=0",$B$90:$B$189, "1987")</f>
        <v>2</v>
      </c>
      <c r="L65" s="30">
        <v>16</v>
      </c>
      <c r="M65" s="4">
        <f>COUNTIFS(M90:M189, "=0",$B$90:$B$189, "1987")</f>
        <v>0</v>
      </c>
      <c r="N65" s="30">
        <v>20</v>
      </c>
      <c r="O65" s="4">
        <f>COUNTIFS(O90:O189, "=0",$B$90:$B$189, "1987")</f>
        <v>7</v>
      </c>
      <c r="Q65" s="4">
        <v>24</v>
      </c>
      <c r="R65" s="4">
        <f>COUNTIFS(R90:R189, "=0",$B$90:$B$189, "1987")</f>
        <v>8</v>
      </c>
      <c r="S65" s="30">
        <v>28</v>
      </c>
      <c r="T65" s="4">
        <f>COUNTIFS(T90:T189, "=0",$B$90:$B$189, "1987")</f>
        <v>2</v>
      </c>
      <c r="U65" s="30">
        <v>32</v>
      </c>
      <c r="V65" s="4">
        <f>COUNTIFS(V90:V189, "=0",$B$90:$B$189, "1987")</f>
        <v>1</v>
      </c>
    </row>
    <row r="66" spans="1:22" x14ac:dyDescent="0.2">
      <c r="A66" s="4">
        <v>7</v>
      </c>
      <c r="C66" s="4">
        <v>0</v>
      </c>
      <c r="D66" s="4">
        <f>COUNTIFS(D90:D189, "=0",$B$90:$B$189, "1988")</f>
        <v>2</v>
      </c>
      <c r="E66" s="26">
        <v>4</v>
      </c>
      <c r="F66" s="4">
        <f>COUNTIFS(F90:F189, "=0",$B$90:$B$189, "1988")</f>
        <v>1</v>
      </c>
      <c r="G66" s="4">
        <v>8</v>
      </c>
      <c r="H66" s="4">
        <f>COUNTIFS(H90:H189, "=0",$B$90:$B$189, "1988")</f>
        <v>0</v>
      </c>
      <c r="I66" s="16"/>
      <c r="J66" s="4">
        <v>12</v>
      </c>
      <c r="K66" s="4">
        <f>COUNTIFS(K90:K189, "=0",$B$90:$B$189, "1988")</f>
        <v>1</v>
      </c>
      <c r="L66" s="30">
        <v>16</v>
      </c>
      <c r="M66" s="4">
        <f>COUNTIFS(M90:M189, "=0",$B$90:$B$189, "1988")</f>
        <v>0</v>
      </c>
      <c r="N66" s="30">
        <v>20</v>
      </c>
      <c r="O66" s="4">
        <f>COUNTIFS(O90:O189, "=0",$B$90:$B$189, "1988")</f>
        <v>2</v>
      </c>
      <c r="Q66" s="4">
        <v>24</v>
      </c>
      <c r="R66" s="4">
        <f>COUNTIFS(R90:R189, "=0",$B$90:$B$189, "1988")</f>
        <v>2</v>
      </c>
      <c r="S66" s="30">
        <v>28</v>
      </c>
      <c r="T66" s="4">
        <f>COUNTIFS(T90:T189, "=0",$B$90:$B$189, "1988")</f>
        <v>1</v>
      </c>
      <c r="U66" s="30">
        <v>32</v>
      </c>
      <c r="V66" s="4">
        <f>COUNTIFS(V90:V189, "=0",$B$90:$B$189, "1988")</f>
        <v>0</v>
      </c>
    </row>
    <row r="67" spans="1:22" x14ac:dyDescent="0.2">
      <c r="A67" s="4">
        <v>8</v>
      </c>
      <c r="C67" s="4">
        <v>0</v>
      </c>
      <c r="D67" s="4">
        <f>COUNTIFS(D90:D189, "=0",$B$90:$B$189, "1989")</f>
        <v>3</v>
      </c>
      <c r="E67" s="26">
        <v>4</v>
      </c>
      <c r="F67" s="4">
        <f>COUNTIFS(F90:F189, "=0",$B$90:$B$189, "1989")</f>
        <v>3</v>
      </c>
      <c r="G67" s="4">
        <v>8</v>
      </c>
      <c r="H67" s="4">
        <f>COUNTIFS(H90:H189, "=0",$B$90:$B$189, "1989")</f>
        <v>0</v>
      </c>
      <c r="I67" s="16"/>
      <c r="J67" s="4">
        <v>12</v>
      </c>
      <c r="K67" s="4">
        <f>COUNTIFS(K90:K189, "=0",$B$90:$B$189, "1989")</f>
        <v>0</v>
      </c>
      <c r="L67" s="30">
        <v>16</v>
      </c>
      <c r="M67" s="4">
        <f>COUNTIFS(M90:M189, "=0",$B$90:$B$189, "1989")</f>
        <v>0</v>
      </c>
      <c r="N67" s="30">
        <v>20</v>
      </c>
      <c r="O67" s="4">
        <f>COUNTIFS(O90:O189, "=0",$B$90:$B$189, "1989")</f>
        <v>3</v>
      </c>
      <c r="Q67" s="4">
        <v>24</v>
      </c>
      <c r="R67" s="4">
        <f>COUNTIFS(R90:R189, "=0",$B$90:$B$189, "1989")</f>
        <v>3</v>
      </c>
      <c r="S67" s="30">
        <v>28</v>
      </c>
      <c r="T67" s="4">
        <f>COUNTIFS(T90:T189, "=0",$B$90:$B$189, "1989")</f>
        <v>0</v>
      </c>
      <c r="U67" s="30">
        <v>32</v>
      </c>
      <c r="V67" s="4">
        <f>COUNTIFS(V90:V189, "=0",$B$90:$B$189, "1989")</f>
        <v>0</v>
      </c>
    </row>
    <row r="68" spans="1:22" x14ac:dyDescent="0.2">
      <c r="A68" s="5">
        <v>0</v>
      </c>
      <c r="C68" s="5">
        <v>1</v>
      </c>
      <c r="D68" s="5">
        <f>COUNTIFS(D90:D189, "=1",$B$90:$B$189, "&gt;=1980",$B$90:$B$189, "&lt;=1981")</f>
        <v>0</v>
      </c>
      <c r="E68" s="27">
        <v>5</v>
      </c>
      <c r="F68" s="5">
        <f>COUNTIFS(F90:F189, "=1",$B$90:$B$189, "&gt;=1980",$B$90:$B$189, "&lt;=1981")</f>
        <v>0</v>
      </c>
      <c r="G68" s="5">
        <v>9</v>
      </c>
      <c r="H68" s="5">
        <f>COUNTIFS(H90:H189, "=1",$B$90:$B$189, "&gt;=1980",$B$90:$B$189, "&lt;=1981")</f>
        <v>2</v>
      </c>
      <c r="I68" s="16"/>
      <c r="J68" s="5">
        <v>13</v>
      </c>
      <c r="K68" s="5">
        <f>COUNTIFS(K90:K189, "=1",$B$90:$B$189, "&gt;=1980",$B$90:$B$189, "&lt;=1981")</f>
        <v>0</v>
      </c>
      <c r="L68" s="31">
        <v>17</v>
      </c>
      <c r="M68" s="5">
        <f>COUNTIFS(M90:M189, "=1",$B$90:$B$189, "&gt;=1980",$B$90:$B$189, "&lt;=1981")</f>
        <v>0</v>
      </c>
      <c r="N68" s="31">
        <v>21</v>
      </c>
      <c r="O68" s="5">
        <f>COUNTIFS(O90:O189, "=1",$B$90:$B$189, "&gt;=1980",$B$90:$B$189, "&lt;=1981")</f>
        <v>0</v>
      </c>
      <c r="Q68" s="5">
        <v>25</v>
      </c>
      <c r="R68" s="5">
        <f>COUNTIFS(R90:R189, "=1",$B$90:$B$189, "&gt;=1980",$B$90:$B$189, "&lt;=1981")</f>
        <v>0</v>
      </c>
      <c r="S68" s="31">
        <v>29</v>
      </c>
      <c r="T68" s="5">
        <f>COUNTIFS(T90:T189, "=1",$B$90:$B$189, "&gt;=1980",$B$90:$B$189, "&lt;=1981")</f>
        <v>0</v>
      </c>
      <c r="U68" s="31">
        <v>33</v>
      </c>
      <c r="V68" s="5">
        <f>COUNTIFS(V90:V189, "=1",$B$90:$B$189, "&gt;=1980",$B$90:$B$189, "&lt;=1981")</f>
        <v>2</v>
      </c>
    </row>
    <row r="69" spans="1:22" x14ac:dyDescent="0.2">
      <c r="A69" s="5">
        <v>1</v>
      </c>
      <c r="C69" s="5">
        <v>1</v>
      </c>
      <c r="D69" s="5">
        <f>COUNTIFS(D90:D189, "=1",$B$90:$B$189, "=1982")</f>
        <v>0</v>
      </c>
      <c r="E69" s="27">
        <v>5</v>
      </c>
      <c r="F69" s="5">
        <f>COUNTIFS(F90:F189, "=1",$B$90:$B$189, "=1982")</f>
        <v>0</v>
      </c>
      <c r="G69" s="5">
        <v>9</v>
      </c>
      <c r="H69" s="5">
        <f>COUNTIFS(H90:H189, "=1",$B$90:$B$189, "=1982")</f>
        <v>3</v>
      </c>
      <c r="I69" s="16"/>
      <c r="J69" s="5">
        <v>13</v>
      </c>
      <c r="K69" s="5">
        <f>COUNTIFS(K90:K189, "=1",$B$90:$B$189, "=1982")</f>
        <v>1</v>
      </c>
      <c r="L69" s="31">
        <v>17</v>
      </c>
      <c r="M69" s="5">
        <f>COUNTIFS(M90:M189, "=1",$B$90:$B$189, "=1982")</f>
        <v>1</v>
      </c>
      <c r="N69" s="31">
        <v>21</v>
      </c>
      <c r="O69" s="5">
        <f>COUNTIFS(O90:O189, "=1",$B$90:$B$189, "=1982")</f>
        <v>0</v>
      </c>
      <c r="Q69" s="5">
        <v>25</v>
      </c>
      <c r="R69" s="5">
        <f>COUNTIFS(R90:R189, "=1",$B$90:$B$189, "=1982")</f>
        <v>0</v>
      </c>
      <c r="S69" s="31">
        <v>29</v>
      </c>
      <c r="T69" s="5">
        <f>COUNTIFS(T90:T189, "=1",$B$90:$B$189, "=1982")</f>
        <v>0</v>
      </c>
      <c r="U69" s="31">
        <v>33</v>
      </c>
      <c r="V69" s="5">
        <f>COUNTIFS(V90:V189, "=1",$B$90:$B$189, "=1982")</f>
        <v>3</v>
      </c>
    </row>
    <row r="70" spans="1:22" x14ac:dyDescent="0.2">
      <c r="A70" s="5">
        <v>2</v>
      </c>
      <c r="C70" s="5">
        <v>1</v>
      </c>
      <c r="D70" s="5">
        <f>COUNTIFS(D90:D189, "=1",$B$90:$B$189, "=1983")</f>
        <v>0</v>
      </c>
      <c r="E70" s="27">
        <v>5</v>
      </c>
      <c r="F70" s="5">
        <f>COUNTIFS(F90:F189, "=1",$B$90:$B$189, "=1983")</f>
        <v>0</v>
      </c>
      <c r="G70" s="5">
        <v>9</v>
      </c>
      <c r="H70" s="5">
        <f>COUNTIFS(H90:H189, "=1",$B$90:$B$189, "=1983")</f>
        <v>5</v>
      </c>
      <c r="I70" s="16"/>
      <c r="J70" s="5">
        <v>13</v>
      </c>
      <c r="K70" s="5">
        <f>COUNTIFS(K90:K189, "=1",$B$90:$B$189, "=1983")</f>
        <v>2</v>
      </c>
      <c r="L70" s="31">
        <v>17</v>
      </c>
      <c r="M70" s="5">
        <f>COUNTIFS(M90:M189, "=1",$B$90:$B$189, "=1983")</f>
        <v>3</v>
      </c>
      <c r="N70" s="31">
        <v>21</v>
      </c>
      <c r="O70" s="5">
        <f>COUNTIFS(O90:O189, "=1",$B$90:$B$189, "=1983")</f>
        <v>0</v>
      </c>
      <c r="Q70" s="5">
        <v>25</v>
      </c>
      <c r="R70" s="5">
        <f>COUNTIFS(R90:R189, "=1",$B$90:$B$189, "=1983")</f>
        <v>0</v>
      </c>
      <c r="S70" s="31">
        <v>29</v>
      </c>
      <c r="T70" s="5">
        <f>COUNTIFS(T90:T189, "=1",$B$90:$B$189, "=1983")</f>
        <v>0</v>
      </c>
      <c r="U70" s="31">
        <v>33</v>
      </c>
      <c r="V70" s="5">
        <f>COUNTIFS(V90:V189, "=1",$B$90:$B$189, "=1983")</f>
        <v>5</v>
      </c>
    </row>
    <row r="71" spans="1:22" x14ac:dyDescent="0.2">
      <c r="A71" s="5">
        <v>3</v>
      </c>
      <c r="C71" s="5">
        <v>1</v>
      </c>
      <c r="D71" s="5">
        <f>COUNTIFS(D90:D189, "=1",$B$90:$B$189, "=1984")</f>
        <v>0</v>
      </c>
      <c r="E71" s="27">
        <v>5</v>
      </c>
      <c r="F71" s="5">
        <f>COUNTIFS(F90:F189, "=1",$B$90:$B$189, "=1984")</f>
        <v>0</v>
      </c>
      <c r="G71" s="5">
        <v>9</v>
      </c>
      <c r="H71" s="5">
        <f>COUNTIFS(H90:H189, "=1",$B$90:$B$189, "=1984")</f>
        <v>5</v>
      </c>
      <c r="I71" s="16"/>
      <c r="J71" s="5">
        <v>13</v>
      </c>
      <c r="K71" s="5">
        <f>COUNTIFS(K90:K189, "=1",$B$90:$B$189, "=1984")</f>
        <v>3</v>
      </c>
      <c r="L71" s="31">
        <v>17</v>
      </c>
      <c r="M71" s="5">
        <f>COUNTIFS(M90:M189, "=1",$B$90:$B$189, "=1984")</f>
        <v>2</v>
      </c>
      <c r="N71" s="31">
        <v>21</v>
      </c>
      <c r="O71" s="5">
        <f>COUNTIFS(O90:O189, "=1",$B$90:$B$189, "=1984")</f>
        <v>0</v>
      </c>
      <c r="Q71" s="5">
        <v>25</v>
      </c>
      <c r="R71" s="5">
        <f>COUNTIFS(R90:R189, "=1",$B$90:$B$189, "=1984")</f>
        <v>0</v>
      </c>
      <c r="S71" s="31">
        <v>29</v>
      </c>
      <c r="T71" s="5">
        <f>COUNTIFS(T90:T189, "=1",$B$90:$B$189, "=1984")</f>
        <v>0</v>
      </c>
      <c r="U71" s="31">
        <v>33</v>
      </c>
      <c r="V71" s="5">
        <f>COUNTIFS(V90:V189, "=1",$B$90:$B$189, "=1984")</f>
        <v>5</v>
      </c>
    </row>
    <row r="72" spans="1:22" x14ac:dyDescent="0.2">
      <c r="A72" s="5">
        <v>4</v>
      </c>
      <c r="C72" s="5">
        <v>1</v>
      </c>
      <c r="D72" s="5">
        <f>COUNTIFS(D90:D189, "=1",$B$90:$B$189, "=1985")</f>
        <v>0</v>
      </c>
      <c r="E72" s="27">
        <v>5</v>
      </c>
      <c r="F72" s="5">
        <f>COUNTIFS(F90:F189, "=1",$B$90:$B$189, "=1985")</f>
        <v>0</v>
      </c>
      <c r="G72" s="5">
        <v>9</v>
      </c>
      <c r="H72" s="5">
        <f>COUNTIFS(H90:H189, "=1",$B$90:$B$189, "=1985")</f>
        <v>2</v>
      </c>
      <c r="I72" s="16"/>
      <c r="J72" s="5">
        <v>13</v>
      </c>
      <c r="K72" s="5">
        <f>COUNTIFS(K90:K189, "=1",$B$90:$B$189, "=1985")</f>
        <v>2</v>
      </c>
      <c r="L72" s="31">
        <v>17</v>
      </c>
      <c r="M72" s="5">
        <f>COUNTIFS(M90:M189, "=1",$B$90:$B$189, "=1985")</f>
        <v>0</v>
      </c>
      <c r="N72" s="31">
        <v>21</v>
      </c>
      <c r="O72" s="5">
        <f>COUNTIFS(O90:O189, "=1",$B$90:$B$189, "=1985")</f>
        <v>0</v>
      </c>
      <c r="Q72" s="5">
        <v>25</v>
      </c>
      <c r="R72" s="5">
        <f>COUNTIFS(R90:R189, "=1",$B$90:$B$189, "=1985")</f>
        <v>0</v>
      </c>
      <c r="S72" s="31">
        <v>29</v>
      </c>
      <c r="T72" s="5">
        <f>COUNTIFS(T90:T189, "=1",$B$90:$B$189, "=1985")</f>
        <v>0</v>
      </c>
      <c r="U72" s="31">
        <v>33</v>
      </c>
      <c r="V72" s="5">
        <f>COUNTIFS(V90:V189, "=1",$B$90:$B$189, "=1985")</f>
        <v>3</v>
      </c>
    </row>
    <row r="73" spans="1:22" x14ac:dyDescent="0.2">
      <c r="A73" s="5">
        <v>5</v>
      </c>
      <c r="C73" s="5">
        <v>1</v>
      </c>
      <c r="D73" s="5">
        <f>COUNTIFS(D90:D189, "=1",$B$90:$B$189, "=1986")</f>
        <v>0</v>
      </c>
      <c r="E73" s="27">
        <v>5</v>
      </c>
      <c r="F73" s="5">
        <f>COUNTIFS(F90:F189, "=1",$B$90:$B$189, "=1986")</f>
        <v>0</v>
      </c>
      <c r="G73" s="5">
        <v>9</v>
      </c>
      <c r="H73" s="5">
        <f>COUNTIFS(H90:H189, "=1",$B$90:$B$189, "=1986")</f>
        <v>5</v>
      </c>
      <c r="I73" s="16"/>
      <c r="J73" s="5">
        <v>13</v>
      </c>
      <c r="K73" s="5">
        <f>COUNTIFS(K90:K189, "=1",$B$90:$B$189, "=1986")</f>
        <v>4</v>
      </c>
      <c r="L73" s="31">
        <v>17</v>
      </c>
      <c r="M73" s="5">
        <f>COUNTIFS(M90:M189, "=1",$B$90:$B$189, "=1986")</f>
        <v>0</v>
      </c>
      <c r="N73" s="31">
        <v>21</v>
      </c>
      <c r="O73" s="5">
        <f>COUNTIFS(O90:O189, "=1",$B$90:$B$189, "=1986")</f>
        <v>0</v>
      </c>
      <c r="Q73" s="5">
        <v>25</v>
      </c>
      <c r="R73" s="5">
        <f>COUNTIFS(R90:R189, "=1",$B$90:$B$189, "=1986")</f>
        <v>0</v>
      </c>
      <c r="S73" s="31">
        <v>29</v>
      </c>
      <c r="T73" s="5">
        <f>COUNTIFS(T90:T189, "=1",$B$90:$B$189, "=1986")</f>
        <v>0</v>
      </c>
      <c r="U73" s="31">
        <v>33</v>
      </c>
      <c r="V73" s="5">
        <f>COUNTIFS(V90:V189, "=1",$B$90:$B$189, "=1986")</f>
        <v>5</v>
      </c>
    </row>
    <row r="74" spans="1:22" x14ac:dyDescent="0.2">
      <c r="A74" s="5">
        <v>6</v>
      </c>
      <c r="C74" s="5">
        <v>1</v>
      </c>
      <c r="D74" s="5">
        <f>COUNTIFS(D90:D189, "=1",$B$90:$B$189, "=1987")</f>
        <v>0</v>
      </c>
      <c r="E74" s="27">
        <v>5</v>
      </c>
      <c r="F74" s="5">
        <f>COUNTIFS(F90:F189, "=1",$B$90:$B$189, "=1987")</f>
        <v>0</v>
      </c>
      <c r="G74" s="5">
        <v>9</v>
      </c>
      <c r="H74" s="5">
        <f>COUNTIFS(H90:H189, "=1",$B$90:$B$189, "=1987")</f>
        <v>7</v>
      </c>
      <c r="I74" s="16"/>
      <c r="J74" s="5">
        <v>13</v>
      </c>
      <c r="K74" s="5">
        <f>COUNTIFS(K90:K189, "=1",$B$90:$B$189, "=1987")</f>
        <v>6</v>
      </c>
      <c r="L74" s="31">
        <v>17</v>
      </c>
      <c r="M74" s="5">
        <f>COUNTIFS(M90:M189, "=1",$B$90:$B$189, "=1987")</f>
        <v>2</v>
      </c>
      <c r="N74" s="31">
        <v>21</v>
      </c>
      <c r="O74" s="5">
        <f>COUNTIFS(O90:O189, "=1",$B$90:$B$189, "=1987")</f>
        <v>0</v>
      </c>
      <c r="Q74" s="5">
        <v>25</v>
      </c>
      <c r="R74" s="5">
        <f>COUNTIFS(R90:R189, "=1",$B$90:$B$189, "=1987")</f>
        <v>0</v>
      </c>
      <c r="S74" s="31">
        <v>29</v>
      </c>
      <c r="T74" s="5">
        <f>COUNTIFS(T90:T189, "=1",$B$90:$B$189, "=1987")</f>
        <v>0</v>
      </c>
      <c r="U74" s="31">
        <v>33</v>
      </c>
      <c r="V74" s="5">
        <f>COUNTIFS(V90:V189, "=1",$B$90:$B$189, "=1987")</f>
        <v>7</v>
      </c>
    </row>
    <row r="75" spans="1:22" x14ac:dyDescent="0.2">
      <c r="A75" s="5">
        <v>7</v>
      </c>
      <c r="C75" s="5">
        <v>1</v>
      </c>
      <c r="D75" s="5">
        <f>COUNTIFS(D90:D189, "=1",$B$90:$B$189, "=1988")</f>
        <v>0</v>
      </c>
      <c r="E75" s="27">
        <v>5</v>
      </c>
      <c r="F75" s="5">
        <f>COUNTIFS(F90:F189, "=1",$B$90:$B$189, "=1988")</f>
        <v>1</v>
      </c>
      <c r="G75" s="5">
        <v>9</v>
      </c>
      <c r="H75" s="5">
        <f>COUNTIFS(H90:H189, "=1",$B$90:$B$189, "=1988")</f>
        <v>2</v>
      </c>
      <c r="I75" s="16"/>
      <c r="J75" s="5">
        <v>13</v>
      </c>
      <c r="K75" s="5">
        <f>COUNTIFS(K90:K189, "=1",$B$90:$B$189, "=1988")</f>
        <v>1</v>
      </c>
      <c r="L75" s="31">
        <v>17</v>
      </c>
      <c r="M75" s="5">
        <f>COUNTIFS(M90:M189, "=1",$B$90:$B$189, "=1988")</f>
        <v>0</v>
      </c>
      <c r="N75" s="31">
        <v>21</v>
      </c>
      <c r="O75" s="5">
        <f>COUNTIFS(O90:O189, "=1",$B$90:$B$189, "=1988")</f>
        <v>0</v>
      </c>
      <c r="Q75" s="5">
        <v>25</v>
      </c>
      <c r="R75" s="5">
        <f>COUNTIFS(R90:R189, "=1",$B$90:$B$189, "=1988")</f>
        <v>0</v>
      </c>
      <c r="S75" s="31">
        <v>29</v>
      </c>
      <c r="T75" s="5">
        <f>COUNTIFS(T90:T189, "=1",$B$90:$B$189, "=1988")</f>
        <v>0</v>
      </c>
      <c r="U75" s="31">
        <v>33</v>
      </c>
      <c r="V75" s="5">
        <f>COUNTIFS(V90:V189, "=1",$B$90:$B$189, "=1988")</f>
        <v>2</v>
      </c>
    </row>
    <row r="76" spans="1:22" x14ac:dyDescent="0.2">
      <c r="A76" s="5">
        <v>8</v>
      </c>
      <c r="C76" s="5">
        <v>1</v>
      </c>
      <c r="D76" s="5">
        <f>COUNTIFS(D90:D189, "=1",$B$90:$B$189, "=1989")</f>
        <v>0</v>
      </c>
      <c r="E76" s="27">
        <v>5</v>
      </c>
      <c r="F76" s="5">
        <f>COUNTIFS(F90:F189, "=1",$B$90:$B$189, "=1989")</f>
        <v>0</v>
      </c>
      <c r="G76" s="5">
        <v>9</v>
      </c>
      <c r="H76" s="5">
        <f>COUNTIFS(H90:H189, "=1",$B$90:$B$189, "=1989")</f>
        <v>2</v>
      </c>
      <c r="I76" s="16"/>
      <c r="J76" s="5">
        <v>13</v>
      </c>
      <c r="K76" s="5">
        <f>COUNTIFS(K90:K189, "=1",$B$90:$B$189, "=1989")</f>
        <v>2</v>
      </c>
      <c r="L76" s="31">
        <v>17</v>
      </c>
      <c r="M76" s="5">
        <f>COUNTIFS(M90:M189, "=1",$B$90:$B$189, "=1989")</f>
        <v>0</v>
      </c>
      <c r="N76" s="31">
        <v>21</v>
      </c>
      <c r="O76" s="5">
        <f>COUNTIFS(O90:O189, "=1",$B$90:$B$189, "=1989")</f>
        <v>0</v>
      </c>
      <c r="Q76" s="5">
        <v>25</v>
      </c>
      <c r="R76" s="5">
        <f>COUNTIFS(R90:R189, "=1",$B$90:$B$189, "=1989")</f>
        <v>0</v>
      </c>
      <c r="S76" s="31">
        <v>29</v>
      </c>
      <c r="T76" s="5">
        <f>COUNTIFS(T90:T189, "=1",$B$90:$B$189, "=1989")</f>
        <v>0</v>
      </c>
      <c r="U76" s="31">
        <v>33</v>
      </c>
      <c r="V76" s="5">
        <f>COUNTIFS(V90:V189, "=1",$B$90:$B$189, "=1989")</f>
        <v>3</v>
      </c>
    </row>
    <row r="77" spans="1:22" x14ac:dyDescent="0.2">
      <c r="A77" s="3">
        <v>0</v>
      </c>
      <c r="C77" s="3">
        <v>2</v>
      </c>
      <c r="D77" s="3">
        <f>COUNTIFS(D90:D189, "=2",$B$90:$B$189, "&gt;=1980",$B$90:$B$189, "&lt;=1981")</f>
        <v>0</v>
      </c>
      <c r="E77" s="28">
        <v>6</v>
      </c>
      <c r="F77" s="3">
        <f>COUNTIFS(F90:F189, "=2",$B$90:$B$189, "&gt;=1980",$B$90:$B$189, "&lt;=1981")</f>
        <v>0</v>
      </c>
      <c r="G77" s="3">
        <v>10</v>
      </c>
      <c r="H77" s="3">
        <f>COUNTIFS(H90:H189, "=2",$B$90:$B$189, "&gt;=1980",$B$90:$B$189, "&lt;=1981")</f>
        <v>0</v>
      </c>
      <c r="I77" s="16"/>
      <c r="J77" s="3">
        <v>14</v>
      </c>
      <c r="K77" s="3">
        <f>COUNTIFS(K90:K189, "=2",$B$90:$B$189, "&gt;=1980",$B$90:$B$189, "&lt;=1981")</f>
        <v>0</v>
      </c>
      <c r="L77" s="32">
        <v>18</v>
      </c>
      <c r="M77" s="3">
        <f>COUNTIFS(M90:M189, "=2",$B$90:$B$189, "&gt;=1980",$B$90:$B$189, "&lt;=1981")</f>
        <v>2</v>
      </c>
      <c r="N77" s="32">
        <v>22</v>
      </c>
      <c r="O77" s="3">
        <f>COUNTIFS(O90:O189, "=2",$B$90:$B$189, "&gt;=1980",$B$90:$B$189, "&lt;=1981")</f>
        <v>0</v>
      </c>
      <c r="Q77" s="3">
        <v>26</v>
      </c>
      <c r="R77" s="3">
        <f>COUNTIFS(R90:R189, "=2",$B$90:$B$189, "&gt;=1980",$B$90:$B$189, "&lt;=1981")</f>
        <v>0</v>
      </c>
      <c r="S77" s="32">
        <v>30</v>
      </c>
      <c r="T77" s="3">
        <f>COUNTIFS(T90:T189, "=2",$B$90:$B$189, "&gt;=1980",$B$90:$B$189, "&lt;=1981")</f>
        <v>0</v>
      </c>
      <c r="U77" s="32">
        <v>34</v>
      </c>
      <c r="V77" s="3">
        <f>COUNTIFS(V90:V189, "=2",$B$90:$B$189, "&gt;=1980",$B$90:$B$189, "&lt;=1981")</f>
        <v>0</v>
      </c>
    </row>
    <row r="78" spans="1:22" x14ac:dyDescent="0.2">
      <c r="A78" s="3">
        <v>1</v>
      </c>
      <c r="C78" s="3">
        <v>2</v>
      </c>
      <c r="D78" s="3">
        <f>COUNTIFS(D90:D189, "=2",$B$90:$B$189, "=1982")</f>
        <v>0</v>
      </c>
      <c r="E78" s="28">
        <v>6</v>
      </c>
      <c r="F78" s="3">
        <f>COUNTIFS(F90:F189, "=2",$B$90:$B$189, "=1982")</f>
        <v>0</v>
      </c>
      <c r="G78" s="3">
        <v>10</v>
      </c>
      <c r="H78" s="3">
        <f>COUNTIFS(H90:H189, "=2",$B$90:$B$189, "=1982")</f>
        <v>0</v>
      </c>
      <c r="I78" s="16"/>
      <c r="J78" s="3">
        <v>14</v>
      </c>
      <c r="K78" s="3">
        <f>COUNTIFS(K90:K189, "=2",$B$90:$B$189, "=1982")</f>
        <v>0</v>
      </c>
      <c r="L78" s="32">
        <v>18</v>
      </c>
      <c r="M78" s="3">
        <f>COUNTIFS(M90:M189, "=2",$B$90:$B$189, "=1982")</f>
        <v>2</v>
      </c>
      <c r="N78" s="32">
        <v>22</v>
      </c>
      <c r="O78" s="3">
        <f>COUNTIFS(O90:O189, "=2",$B$90:$B$189, "=1982")</f>
        <v>0</v>
      </c>
      <c r="Q78" s="3">
        <v>26</v>
      </c>
      <c r="R78" s="3">
        <f>COUNTIFS(R90:R189, "=2",$B$90:$B$189, "=1982")</f>
        <v>0</v>
      </c>
      <c r="S78" s="32">
        <v>30</v>
      </c>
      <c r="T78" s="3">
        <f>COUNTIFS(T90:T189, "=2",$B$90:$B$189, "=1982")</f>
        <v>2</v>
      </c>
      <c r="U78" s="32">
        <v>34</v>
      </c>
      <c r="V78" s="3">
        <f>COUNTIFS(V90:V189, "=2",$B$90:$B$189, "=1982")</f>
        <v>0</v>
      </c>
    </row>
    <row r="79" spans="1:22" x14ac:dyDescent="0.2">
      <c r="A79" s="3">
        <v>2</v>
      </c>
      <c r="C79" s="3">
        <v>2</v>
      </c>
      <c r="D79" s="3">
        <f>COUNTIFS(D90:D189, "=2",$B$90:$B$189, "=1983")</f>
        <v>0</v>
      </c>
      <c r="E79" s="28">
        <v>6</v>
      </c>
      <c r="F79" s="3">
        <f>COUNTIFS(F90:F189, "=2",$B$90:$B$189, "=1983")</f>
        <v>0</v>
      </c>
      <c r="G79" s="3">
        <v>10</v>
      </c>
      <c r="H79" s="3">
        <f>COUNTIFS(H90:H189, "=2",$B$90:$B$189, "=1983")</f>
        <v>0</v>
      </c>
      <c r="I79" s="16"/>
      <c r="J79" s="3">
        <v>14</v>
      </c>
      <c r="K79" s="3">
        <f>COUNTIFS(K90:K189, "=2",$B$90:$B$189, "=1983")</f>
        <v>0</v>
      </c>
      <c r="L79" s="32">
        <v>18</v>
      </c>
      <c r="M79" s="3">
        <f>COUNTIFS(M90:M189, "=2",$B$90:$B$189, "=1983")</f>
        <v>2</v>
      </c>
      <c r="N79" s="32">
        <v>22</v>
      </c>
      <c r="O79" s="3">
        <f>COUNTIFS(O90:O189, "=2",$B$90:$B$189, "=1983")</f>
        <v>0</v>
      </c>
      <c r="Q79" s="3">
        <v>26</v>
      </c>
      <c r="R79" s="3">
        <f>COUNTIFS(R90:R189, "=2",$B$90:$B$189, "=1983")</f>
        <v>0</v>
      </c>
      <c r="S79" s="32">
        <v>30</v>
      </c>
      <c r="T79" s="3">
        <f>COUNTIFS(T90:T189, "=2",$B$90:$B$189, "=1983")</f>
        <v>4</v>
      </c>
      <c r="U79" s="32">
        <v>34</v>
      </c>
      <c r="V79" s="3">
        <f>COUNTIFS(V90:V189, "=2",$B$90:$B$189, "=1983")</f>
        <v>0</v>
      </c>
    </row>
    <row r="80" spans="1:22" x14ac:dyDescent="0.2">
      <c r="A80" s="14">
        <v>3</v>
      </c>
      <c r="C80" s="14">
        <v>2</v>
      </c>
      <c r="D80" s="14">
        <f>COUNTIFS(D90:D189, "=2",$B$90:$B$189, "=1984")</f>
        <v>0</v>
      </c>
      <c r="E80" s="28">
        <v>6</v>
      </c>
      <c r="F80" s="14">
        <f>COUNTIFS(F90:F189, "=2",$B$90:$B$189, "=1984")</f>
        <v>0</v>
      </c>
      <c r="G80" s="3">
        <v>10</v>
      </c>
      <c r="H80" s="14">
        <f>COUNTIFS(H90:H189, "=2",$B$90:$B$189, "=1984")</f>
        <v>0</v>
      </c>
      <c r="I80" s="17"/>
      <c r="J80" s="3">
        <v>14</v>
      </c>
      <c r="K80" s="14">
        <f>COUNTIFS(K90:K189, "=2",$B$90:$B$189, "=1984")</f>
        <v>0</v>
      </c>
      <c r="L80" s="32">
        <v>18</v>
      </c>
      <c r="M80" s="14">
        <f>COUNTIFS(M90:M189, "=2",$B$90:$B$189, "=1984")</f>
        <v>3</v>
      </c>
      <c r="N80" s="32">
        <v>22</v>
      </c>
      <c r="O80" s="14">
        <f>COUNTIFS(O90:O189, "=2",$B$90:$B$189, "=1984")</f>
        <v>0</v>
      </c>
      <c r="Q80" s="3">
        <v>26</v>
      </c>
      <c r="R80" s="14">
        <f>COUNTIFS(R90:R189, "=2",$B$90:$B$189, "=1984")</f>
        <v>0</v>
      </c>
      <c r="S80" s="32">
        <v>30</v>
      </c>
      <c r="T80" s="14">
        <f>COUNTIFS(T90:T189, "=2",$B$90:$B$189, "=1984")</f>
        <v>4</v>
      </c>
      <c r="U80" s="32">
        <v>34</v>
      </c>
      <c r="V80" s="14">
        <f>COUNTIFS(V90:V189, "=2",$B$90:$B$189, "=1984")</f>
        <v>0</v>
      </c>
    </row>
    <row r="81" spans="1:22" x14ac:dyDescent="0.2">
      <c r="A81" s="3">
        <v>4</v>
      </c>
      <c r="C81" s="3">
        <v>2</v>
      </c>
      <c r="D81" s="3">
        <f>COUNTIFS(D90:D189, "=2",$B$90:$B$189, "=1985")</f>
        <v>0</v>
      </c>
      <c r="E81" s="28">
        <v>6</v>
      </c>
      <c r="F81" s="3">
        <f>COUNTIFS(F90:F189, "=2",$B$90:$B$189, "=1985")</f>
        <v>0</v>
      </c>
      <c r="G81" s="3">
        <v>10</v>
      </c>
      <c r="H81" s="3">
        <f>COUNTIFS(H90:H189, "=2",$B$90:$B$189, "=1985")</f>
        <v>1</v>
      </c>
      <c r="I81" s="16"/>
      <c r="J81" s="3">
        <v>14</v>
      </c>
      <c r="K81" s="3">
        <f>COUNTIFS(K90:K189, "=2",$B$90:$B$189, "=1985")</f>
        <v>0</v>
      </c>
      <c r="L81" s="32">
        <v>18</v>
      </c>
      <c r="M81" s="3">
        <f>COUNTIFS(M90:M189, "=2",$B$90:$B$189, "=1985")</f>
        <v>3</v>
      </c>
      <c r="N81" s="32">
        <v>22</v>
      </c>
      <c r="O81" s="3">
        <f>COUNTIFS(O90:O189, "=2",$B$90:$B$189, "=1985")</f>
        <v>0</v>
      </c>
      <c r="Q81" s="3">
        <v>26</v>
      </c>
      <c r="R81" s="3">
        <f>COUNTIFS(R90:R189, "=2",$B$90:$B$189, "=1985")</f>
        <v>0</v>
      </c>
      <c r="S81" s="32">
        <v>30</v>
      </c>
      <c r="T81" s="3">
        <f>COUNTIFS(T90:T189, "=2",$B$90:$B$189, "=1985")</f>
        <v>2</v>
      </c>
      <c r="U81" s="32">
        <v>34</v>
      </c>
      <c r="V81" s="3">
        <f>COUNTIFS(V90:V189, "=2",$B$90:$B$189, "=1985")</f>
        <v>0</v>
      </c>
    </row>
    <row r="82" spans="1:22" x14ac:dyDescent="0.2">
      <c r="A82" s="3">
        <v>5</v>
      </c>
      <c r="C82" s="3">
        <v>2</v>
      </c>
      <c r="D82" s="3">
        <f>COUNTIFS(D90:D189, "=2",$B$90:$B$189, "=1986")</f>
        <v>0</v>
      </c>
      <c r="E82" s="28">
        <v>6</v>
      </c>
      <c r="F82" s="3">
        <f>COUNTIFS(F90:F189, "=2",$B$90:$B$189, "=1986")</f>
        <v>0</v>
      </c>
      <c r="G82" s="3">
        <v>10</v>
      </c>
      <c r="H82" s="3">
        <f>COUNTIFS(H90:H189, "=2",$B$90:$B$189, "=1986")</f>
        <v>0</v>
      </c>
      <c r="I82" s="16"/>
      <c r="J82" s="3">
        <v>14</v>
      </c>
      <c r="K82" s="3">
        <f>COUNTIFS(K90:K189, "=2",$B$90:$B$189, "=1986")</f>
        <v>0</v>
      </c>
      <c r="L82" s="32">
        <v>18</v>
      </c>
      <c r="M82" s="3">
        <f>COUNTIFS(M90:M189, "=2",$B$90:$B$189, "=1986")</f>
        <v>5</v>
      </c>
      <c r="N82" s="32">
        <v>22</v>
      </c>
      <c r="O82" s="3">
        <f>COUNTIFS(O90:O189, "=2",$B$90:$B$189, "=1986")</f>
        <v>0</v>
      </c>
      <c r="Q82" s="3">
        <v>26</v>
      </c>
      <c r="R82" s="3">
        <f>COUNTIFS(R90:R189, "=2",$B$90:$B$189, "=1986")</f>
        <v>0</v>
      </c>
      <c r="S82" s="32">
        <v>30</v>
      </c>
      <c r="T82" s="3">
        <f>COUNTIFS(T90:T189, "=2",$B$90:$B$189, "=1986")</f>
        <v>5</v>
      </c>
      <c r="U82" s="32">
        <v>34</v>
      </c>
      <c r="V82" s="3">
        <f>COUNTIFS(V90:V189, "=2",$B$90:$B$189, "=1986")</f>
        <v>0</v>
      </c>
    </row>
    <row r="83" spans="1:22" x14ac:dyDescent="0.2">
      <c r="A83" s="3">
        <v>6</v>
      </c>
      <c r="C83" s="3">
        <v>2</v>
      </c>
      <c r="D83" s="3">
        <f>COUNTIFS(D90:D189, "=2",$B$90:$B$189, "=1987")</f>
        <v>0</v>
      </c>
      <c r="E83" s="28">
        <v>6</v>
      </c>
      <c r="F83" s="3">
        <f>COUNTIFS(F90:F189, "=2",$B$90:$B$189, "=1987")</f>
        <v>0</v>
      </c>
      <c r="G83" s="3">
        <v>10</v>
      </c>
      <c r="H83" s="3">
        <f>COUNTIFS(H90:H189, "=2",$B$90:$B$189, "=1987")</f>
        <v>1</v>
      </c>
      <c r="I83" s="16"/>
      <c r="J83" s="3">
        <v>14</v>
      </c>
      <c r="K83" s="3">
        <f>COUNTIFS(K90:K189, "=2",$B$90:$B$189, "=1987")</f>
        <v>0</v>
      </c>
      <c r="L83" s="32">
        <v>18</v>
      </c>
      <c r="M83" s="3">
        <f>COUNTIFS(M90:M189, "=2",$B$90:$B$189, "=1987")</f>
        <v>6</v>
      </c>
      <c r="N83" s="32">
        <v>22</v>
      </c>
      <c r="O83" s="3">
        <f>COUNTIFS(O90:O189, "=2",$B$90:$B$189, "=1987")</f>
        <v>1</v>
      </c>
      <c r="Q83" s="3">
        <v>26</v>
      </c>
      <c r="R83" s="3">
        <f>COUNTIFS(R90:R189, "=2",$B$90:$B$189, "=1987")</f>
        <v>0</v>
      </c>
      <c r="S83" s="32">
        <v>30</v>
      </c>
      <c r="T83" s="3">
        <f>COUNTIFS(T90:T189, "=2",$B$90:$B$189, "=1987")</f>
        <v>6</v>
      </c>
      <c r="U83" s="32">
        <v>34</v>
      </c>
      <c r="V83" s="3">
        <f>COUNTIFS(V90:V189, "=2",$B$90:$B$189, "=1987")</f>
        <v>0</v>
      </c>
    </row>
    <row r="84" spans="1:22" x14ac:dyDescent="0.2">
      <c r="A84" s="3">
        <v>7</v>
      </c>
      <c r="C84" s="3">
        <v>2</v>
      </c>
      <c r="D84" s="3">
        <f>COUNTIFS(D90:D189, "=2",$B$90:$B$189, "=1988")</f>
        <v>0</v>
      </c>
      <c r="E84" s="28">
        <v>6</v>
      </c>
      <c r="F84" s="3">
        <f>COUNTIFS(F90:F189, "=2",$B$90:$B$189, "=1988")</f>
        <v>0</v>
      </c>
      <c r="G84" s="3">
        <v>10</v>
      </c>
      <c r="H84" s="3">
        <f>COUNTIFS(H90:H189, "=2",$B$90:$B$189, "=1988")</f>
        <v>0</v>
      </c>
      <c r="I84" s="16"/>
      <c r="J84" s="3">
        <v>14</v>
      </c>
      <c r="K84" s="3">
        <f>COUNTIFS(K90:K189, "=2",$B$90:$B$189, "=1988")</f>
        <v>0</v>
      </c>
      <c r="L84" s="32">
        <v>18</v>
      </c>
      <c r="M84" s="3">
        <f>COUNTIFS(M90:M189, "=2",$B$90:$B$189, "=1988")</f>
        <v>2</v>
      </c>
      <c r="N84" s="32">
        <v>22</v>
      </c>
      <c r="O84" s="3">
        <f>COUNTIFS(O90:O189, "=2",$B$90:$B$189, "=1988")</f>
        <v>0</v>
      </c>
      <c r="Q84" s="3">
        <v>26</v>
      </c>
      <c r="R84" s="3">
        <f>COUNTIFS(R90:R189, "=2",$B$90:$B$189, "=1988")</f>
        <v>0</v>
      </c>
      <c r="S84" s="32">
        <v>30</v>
      </c>
      <c r="T84" s="3">
        <f>COUNTIFS(T90:T189, "=2",$B$90:$B$189, "=1988")</f>
        <v>1</v>
      </c>
      <c r="U84" s="32">
        <v>34</v>
      </c>
      <c r="V84" s="3">
        <f>COUNTIFS(V90:V189, "=2",$B$90:$B$189, "=1988")</f>
        <v>0</v>
      </c>
    </row>
    <row r="85" spans="1:22" x14ac:dyDescent="0.2">
      <c r="A85" s="3">
        <v>8</v>
      </c>
      <c r="C85" s="3">
        <v>2</v>
      </c>
      <c r="D85" s="3">
        <f>COUNTIFS(D90:D189, "=2",$B$90:$B$189, "=1989")</f>
        <v>0</v>
      </c>
      <c r="E85" s="28">
        <v>6</v>
      </c>
      <c r="F85" s="3">
        <f>COUNTIFS(F90:F189, "=2",$B$90:$B$189, "=1989")</f>
        <v>0</v>
      </c>
      <c r="G85" s="3">
        <v>10</v>
      </c>
      <c r="H85" s="3">
        <f>COUNTIFS(H90:H189, "=2",$B$90:$B$189, "=1989")</f>
        <v>1</v>
      </c>
      <c r="I85" s="16"/>
      <c r="J85" s="3">
        <v>14</v>
      </c>
      <c r="K85" s="3">
        <f>COUNTIFS(K90:K189, "=2",$B$90:$B$189, "=1989")</f>
        <v>1</v>
      </c>
      <c r="L85" s="32">
        <v>18</v>
      </c>
      <c r="M85" s="3">
        <f>COUNTIFS(M90:M189, "=2",$B$90:$B$189, "=1989")</f>
        <v>3</v>
      </c>
      <c r="N85" s="32">
        <v>22</v>
      </c>
      <c r="O85" s="3">
        <f>COUNTIFS(O90:O189, "=2",$B$90:$B$189, "=1989")</f>
        <v>0</v>
      </c>
      <c r="Q85" s="3">
        <v>26</v>
      </c>
      <c r="R85" s="3">
        <f>COUNTIFS(R90:R189, "=2",$B$90:$B$189, "=1989")</f>
        <v>0</v>
      </c>
      <c r="S85" s="32">
        <v>30</v>
      </c>
      <c r="T85" s="3">
        <f>COUNTIFS(T90:T189, "=2",$B$90:$B$189, "=1989")</f>
        <v>3</v>
      </c>
      <c r="U85" s="32">
        <v>34</v>
      </c>
      <c r="V85" s="3">
        <f>COUNTIFS(V90:V189, "=2",$B$90:$B$189, "=1989")</f>
        <v>0</v>
      </c>
    </row>
    <row r="86" spans="1:22" x14ac:dyDescent="0.2">
      <c r="A86" s="53" t="s">
        <v>24</v>
      </c>
      <c r="B86" s="54"/>
      <c r="D86" s="4">
        <f>SUM(D59:D85)</f>
        <v>36</v>
      </c>
      <c r="E86" s="4"/>
      <c r="F86" s="4">
        <f>SUM(F59:F85)</f>
        <v>36</v>
      </c>
      <c r="G86" s="4"/>
      <c r="H86" s="4">
        <f>SUM(H59:H85)</f>
        <v>36</v>
      </c>
      <c r="I86" s="16"/>
      <c r="J86" s="16"/>
      <c r="K86" s="4">
        <f>SUM(K59:K85)</f>
        <v>36</v>
      </c>
      <c r="L86" s="4"/>
      <c r="M86" s="4">
        <f>SUM(M59:M85)</f>
        <v>36</v>
      </c>
      <c r="N86" s="4"/>
      <c r="O86" s="4">
        <f>SUM(O59:O85)</f>
        <v>36</v>
      </c>
      <c r="R86" s="4">
        <f>SUM(R59:R85)</f>
        <v>36</v>
      </c>
      <c r="S86" s="4"/>
      <c r="T86" s="4">
        <f>SUM(T59:T85)</f>
        <v>36</v>
      </c>
      <c r="U86" s="4"/>
      <c r="V86" s="4">
        <f>SUM(V59:V85)</f>
        <v>36</v>
      </c>
    </row>
    <row r="88" spans="1:22" ht="40" customHeight="1" x14ac:dyDescent="0.2">
      <c r="A88" s="19"/>
      <c r="B88" s="19"/>
      <c r="D88" s="18"/>
      <c r="E88" s="18"/>
      <c r="F88" s="51"/>
      <c r="G88" s="51"/>
      <c r="H88" s="51"/>
    </row>
    <row r="89" spans="1:22" ht="60" x14ac:dyDescent="0.2">
      <c r="A89" s="10" t="s">
        <v>222</v>
      </c>
      <c r="B89" s="10" t="s">
        <v>223</v>
      </c>
      <c r="D89" s="6" t="s">
        <v>178</v>
      </c>
      <c r="E89" s="6"/>
      <c r="F89" s="6" t="s">
        <v>179</v>
      </c>
      <c r="G89" s="6"/>
      <c r="H89" s="6" t="s">
        <v>180</v>
      </c>
      <c r="I89" s="12"/>
      <c r="J89" s="6"/>
      <c r="K89" s="6" t="s">
        <v>23</v>
      </c>
      <c r="L89" s="6"/>
      <c r="M89" s="6" t="s">
        <v>181</v>
      </c>
      <c r="N89" s="6"/>
      <c r="O89" s="6" t="s">
        <v>182</v>
      </c>
      <c r="Q89" s="6"/>
      <c r="R89" s="6" t="s">
        <v>183</v>
      </c>
      <c r="S89" s="6"/>
      <c r="T89" s="6" t="s">
        <v>107</v>
      </c>
      <c r="U89" s="6"/>
      <c r="V89" s="6" t="s">
        <v>108</v>
      </c>
    </row>
    <row r="90" spans="1:22" ht="40" x14ac:dyDescent="0.2">
      <c r="A90" s="3" t="s">
        <v>61</v>
      </c>
      <c r="B90" s="7">
        <v>1980</v>
      </c>
      <c r="C90" s="41" t="s">
        <v>228</v>
      </c>
      <c r="D90" s="7">
        <v>0</v>
      </c>
      <c r="E90" s="7"/>
      <c r="F90" s="7">
        <v>0</v>
      </c>
      <c r="G90" s="7"/>
      <c r="H90" s="7">
        <v>1</v>
      </c>
      <c r="I90" s="13"/>
      <c r="J90" s="7"/>
      <c r="K90" s="7">
        <v>0</v>
      </c>
      <c r="L90" s="7"/>
      <c r="M90" s="7">
        <v>2</v>
      </c>
      <c r="N90" s="7"/>
      <c r="O90" s="7">
        <v>0</v>
      </c>
      <c r="Q90" s="7"/>
      <c r="R90" s="7">
        <v>0</v>
      </c>
      <c r="S90" s="7"/>
      <c r="T90" s="7">
        <v>0</v>
      </c>
      <c r="U90" s="7"/>
      <c r="V90" s="7">
        <v>1</v>
      </c>
    </row>
    <row r="91" spans="1:22" ht="40" x14ac:dyDescent="0.2">
      <c r="A91" s="3" t="s">
        <v>62</v>
      </c>
      <c r="B91" s="7">
        <v>1981</v>
      </c>
      <c r="C91" s="41" t="s">
        <v>229</v>
      </c>
      <c r="D91" s="7">
        <v>0</v>
      </c>
      <c r="E91" s="7"/>
      <c r="F91" s="7">
        <v>0</v>
      </c>
      <c r="G91" s="7"/>
      <c r="H91" s="7">
        <v>1</v>
      </c>
      <c r="I91" s="13"/>
      <c r="J91" s="7"/>
      <c r="K91" s="7">
        <v>0</v>
      </c>
      <c r="L91" s="7"/>
      <c r="M91" s="7">
        <v>2</v>
      </c>
      <c r="N91" s="7"/>
      <c r="O91" s="7">
        <v>0</v>
      </c>
      <c r="Q91" s="7"/>
      <c r="R91" s="7">
        <v>0</v>
      </c>
      <c r="S91" s="7"/>
      <c r="T91" s="7">
        <v>0</v>
      </c>
      <c r="U91" s="7"/>
      <c r="V91" s="7">
        <v>1</v>
      </c>
    </row>
    <row r="92" spans="1:22" ht="40" x14ac:dyDescent="0.2">
      <c r="A92" s="3" t="s">
        <v>63</v>
      </c>
      <c r="B92" s="7">
        <v>1982</v>
      </c>
      <c r="C92" s="41" t="s">
        <v>230</v>
      </c>
      <c r="D92" s="7">
        <v>0</v>
      </c>
      <c r="E92" s="7"/>
      <c r="F92" s="7">
        <v>0</v>
      </c>
      <c r="G92" s="7"/>
      <c r="H92" s="7">
        <v>1</v>
      </c>
      <c r="I92" s="13"/>
      <c r="J92" s="7"/>
      <c r="K92" s="7">
        <v>0</v>
      </c>
      <c r="L92" s="7"/>
      <c r="M92" s="7">
        <v>2</v>
      </c>
      <c r="N92" s="7"/>
      <c r="O92" s="7">
        <v>0</v>
      </c>
      <c r="Q92" s="7"/>
      <c r="R92" s="7">
        <v>0</v>
      </c>
      <c r="S92" s="7"/>
      <c r="T92" s="7">
        <v>0</v>
      </c>
      <c r="U92" s="7"/>
      <c r="V92" s="7">
        <v>1</v>
      </c>
    </row>
    <row r="93" spans="1:22" ht="34" x14ac:dyDescent="0.2">
      <c r="A93" s="3" t="s">
        <v>64</v>
      </c>
      <c r="B93" s="7">
        <v>1983</v>
      </c>
      <c r="C93" s="41" t="s">
        <v>225</v>
      </c>
      <c r="D93" s="7">
        <v>0</v>
      </c>
      <c r="E93" s="7"/>
      <c r="F93" s="7">
        <v>0</v>
      </c>
      <c r="G93" s="7"/>
      <c r="H93" s="7">
        <v>1</v>
      </c>
      <c r="I93" s="13"/>
      <c r="J93" s="7"/>
      <c r="K93" s="7">
        <v>0</v>
      </c>
      <c r="L93" s="7"/>
      <c r="M93" s="7">
        <v>2</v>
      </c>
      <c r="N93" s="7"/>
      <c r="O93" s="7">
        <v>0</v>
      </c>
      <c r="Q93" s="7"/>
      <c r="R93" s="7">
        <v>0</v>
      </c>
      <c r="S93" s="7"/>
      <c r="T93" s="7">
        <v>0</v>
      </c>
      <c r="U93" s="7"/>
      <c r="V93" s="7">
        <v>1</v>
      </c>
    </row>
    <row r="94" spans="1:22" ht="34" x14ac:dyDescent="0.2">
      <c r="A94" s="3" t="s">
        <v>65</v>
      </c>
      <c r="B94" s="7">
        <v>1984</v>
      </c>
      <c r="C94" s="41" t="s">
        <v>226</v>
      </c>
      <c r="D94" s="7">
        <v>0</v>
      </c>
      <c r="E94" s="7"/>
      <c r="F94" s="7">
        <v>0</v>
      </c>
      <c r="G94" s="7"/>
      <c r="H94" s="7">
        <v>1</v>
      </c>
      <c r="I94" s="13"/>
      <c r="J94" s="7"/>
      <c r="K94" s="7">
        <v>0</v>
      </c>
      <c r="L94" s="7"/>
      <c r="M94" s="7">
        <v>2</v>
      </c>
      <c r="N94" s="7"/>
      <c r="O94" s="7">
        <v>0</v>
      </c>
      <c r="Q94" s="7"/>
      <c r="R94" s="7">
        <v>0</v>
      </c>
      <c r="S94" s="7"/>
      <c r="T94" s="7">
        <v>0</v>
      </c>
      <c r="U94" s="7"/>
      <c r="V94" s="7">
        <v>1</v>
      </c>
    </row>
    <row r="95" spans="1:22" ht="34" x14ac:dyDescent="0.2">
      <c r="A95" s="3" t="s">
        <v>66</v>
      </c>
      <c r="B95" s="7">
        <v>1985</v>
      </c>
      <c r="C95" s="41" t="s">
        <v>227</v>
      </c>
      <c r="D95" s="7">
        <v>0</v>
      </c>
      <c r="E95" s="7"/>
      <c r="F95" s="7">
        <v>0</v>
      </c>
      <c r="G95" s="7"/>
      <c r="H95" s="7">
        <v>1</v>
      </c>
      <c r="I95" s="13"/>
      <c r="J95" s="7"/>
      <c r="K95" s="7">
        <v>0</v>
      </c>
      <c r="L95" s="7"/>
      <c r="M95" s="7">
        <v>2</v>
      </c>
      <c r="N95" s="7"/>
      <c r="O95" s="7">
        <v>0</v>
      </c>
      <c r="Q95" s="7"/>
      <c r="R95" s="7">
        <v>0</v>
      </c>
      <c r="S95" s="7"/>
      <c r="T95" s="7">
        <v>0</v>
      </c>
      <c r="U95" s="7"/>
      <c r="V95" s="7">
        <v>1</v>
      </c>
    </row>
    <row r="96" spans="1:22" ht="51" x14ac:dyDescent="0.2">
      <c r="A96" s="3" t="s">
        <v>67</v>
      </c>
      <c r="B96" s="7">
        <v>1987</v>
      </c>
      <c r="C96" s="41" t="s">
        <v>231</v>
      </c>
      <c r="D96" s="7">
        <v>0</v>
      </c>
      <c r="E96" s="7"/>
      <c r="F96" s="7">
        <v>0</v>
      </c>
      <c r="G96" s="7"/>
      <c r="H96" s="7">
        <v>1</v>
      </c>
      <c r="I96" s="13"/>
      <c r="J96" s="7"/>
      <c r="K96" s="7">
        <v>0</v>
      </c>
      <c r="L96" s="7"/>
      <c r="M96" s="7">
        <v>2</v>
      </c>
      <c r="N96" s="7"/>
      <c r="O96" s="7">
        <v>0</v>
      </c>
      <c r="Q96" s="7"/>
      <c r="R96" s="7">
        <v>0</v>
      </c>
      <c r="S96" s="7"/>
      <c r="T96" s="7">
        <v>0</v>
      </c>
      <c r="U96" s="7"/>
      <c r="V96" s="7">
        <v>0</v>
      </c>
    </row>
    <row r="97" spans="1:22" ht="40" x14ac:dyDescent="0.2">
      <c r="A97" s="3" t="s">
        <v>68</v>
      </c>
      <c r="B97" s="7">
        <v>1987</v>
      </c>
      <c r="C97" s="41" t="s">
        <v>232</v>
      </c>
      <c r="D97" s="7">
        <v>0</v>
      </c>
      <c r="E97" s="7"/>
      <c r="F97" s="7">
        <v>0</v>
      </c>
      <c r="G97" s="7"/>
      <c r="H97" s="7">
        <v>2</v>
      </c>
      <c r="I97" s="13"/>
      <c r="J97" s="7"/>
      <c r="K97" s="7">
        <v>1</v>
      </c>
      <c r="L97" s="7"/>
      <c r="M97" s="7">
        <v>2</v>
      </c>
      <c r="N97" s="7"/>
      <c r="O97" s="7">
        <v>2</v>
      </c>
      <c r="Q97" s="7"/>
      <c r="R97" s="7">
        <v>0</v>
      </c>
      <c r="S97" s="7"/>
      <c r="T97" s="7">
        <v>0</v>
      </c>
      <c r="U97" s="7"/>
      <c r="V97" s="7">
        <v>1</v>
      </c>
    </row>
    <row r="98" spans="1:22" ht="40" x14ac:dyDescent="0.2">
      <c r="A98" s="3" t="s">
        <v>69</v>
      </c>
      <c r="B98" s="7">
        <v>1988</v>
      </c>
      <c r="C98" s="41" t="s">
        <v>233</v>
      </c>
      <c r="D98" s="7">
        <v>0</v>
      </c>
      <c r="E98" s="7"/>
      <c r="F98" s="7">
        <v>1</v>
      </c>
      <c r="G98" s="7"/>
      <c r="H98" s="7">
        <v>1</v>
      </c>
      <c r="I98" s="13"/>
      <c r="J98" s="7"/>
      <c r="K98" s="7">
        <v>0</v>
      </c>
      <c r="L98" s="7"/>
      <c r="M98" s="7">
        <v>2</v>
      </c>
      <c r="N98" s="7"/>
      <c r="O98" s="7">
        <v>0</v>
      </c>
      <c r="Q98" s="7"/>
      <c r="R98" s="7">
        <v>0</v>
      </c>
      <c r="S98" s="7"/>
      <c r="T98" s="7">
        <v>0</v>
      </c>
      <c r="U98" s="7"/>
      <c r="V98" s="7">
        <v>1</v>
      </c>
    </row>
    <row r="99" spans="1:22" ht="40" x14ac:dyDescent="0.2">
      <c r="A99" s="4" t="s">
        <v>70</v>
      </c>
      <c r="B99" s="8">
        <v>1997</v>
      </c>
      <c r="C99" s="41" t="s">
        <v>234</v>
      </c>
      <c r="D99" s="8">
        <v>0</v>
      </c>
      <c r="E99" s="8"/>
      <c r="F99" s="8">
        <v>0</v>
      </c>
      <c r="G99" s="8"/>
      <c r="H99" s="8">
        <v>1</v>
      </c>
      <c r="I99" s="13"/>
      <c r="J99" s="8"/>
      <c r="K99" s="8">
        <v>0</v>
      </c>
      <c r="L99" s="8"/>
      <c r="M99" s="8">
        <v>2</v>
      </c>
      <c r="N99" s="8"/>
      <c r="O99" s="8">
        <v>0</v>
      </c>
      <c r="Q99" s="8"/>
      <c r="R99" s="8">
        <v>0</v>
      </c>
      <c r="S99" s="8"/>
      <c r="T99" s="8">
        <v>2</v>
      </c>
      <c r="U99" s="8"/>
      <c r="V99" s="8">
        <v>0</v>
      </c>
    </row>
    <row r="100" spans="1:22" ht="34" x14ac:dyDescent="0.2">
      <c r="A100" s="4" t="s">
        <v>71</v>
      </c>
      <c r="B100" s="8">
        <v>1983</v>
      </c>
      <c r="C100" s="41" t="s">
        <v>235</v>
      </c>
      <c r="D100" s="8">
        <v>0</v>
      </c>
      <c r="E100" s="8"/>
      <c r="F100" s="8">
        <v>0</v>
      </c>
      <c r="G100" s="8"/>
      <c r="H100" s="8">
        <v>1</v>
      </c>
      <c r="I100" s="13"/>
      <c r="J100" s="8"/>
      <c r="K100" s="8">
        <v>0</v>
      </c>
      <c r="L100" s="8"/>
      <c r="M100" s="8">
        <v>1</v>
      </c>
      <c r="N100" s="8"/>
      <c r="O100" s="8">
        <v>0</v>
      </c>
      <c r="Q100" s="8"/>
      <c r="R100" s="8">
        <v>0</v>
      </c>
      <c r="S100" s="8"/>
      <c r="T100" s="8">
        <v>2</v>
      </c>
      <c r="U100" s="8"/>
      <c r="V100" s="8">
        <v>1</v>
      </c>
    </row>
    <row r="101" spans="1:22" ht="34" x14ac:dyDescent="0.2">
      <c r="A101" s="4" t="s">
        <v>72</v>
      </c>
      <c r="B101" s="8">
        <v>1987</v>
      </c>
      <c r="C101" s="41" t="s">
        <v>236</v>
      </c>
      <c r="D101" s="8">
        <v>0</v>
      </c>
      <c r="E101" s="8"/>
      <c r="F101" s="8">
        <v>0</v>
      </c>
      <c r="G101" s="8"/>
      <c r="H101" s="8">
        <v>1</v>
      </c>
      <c r="I101" s="13"/>
      <c r="J101" s="8"/>
      <c r="K101" s="8">
        <v>0</v>
      </c>
      <c r="L101" s="8"/>
      <c r="M101" s="8">
        <v>1</v>
      </c>
      <c r="N101" s="8"/>
      <c r="O101" s="8">
        <v>0</v>
      </c>
      <c r="Q101" s="8"/>
      <c r="R101" s="8">
        <v>0</v>
      </c>
      <c r="S101" s="8"/>
      <c r="T101" s="8">
        <v>2</v>
      </c>
      <c r="U101" s="8"/>
      <c r="V101" s="8">
        <v>1</v>
      </c>
    </row>
    <row r="102" spans="1:22" ht="34" x14ac:dyDescent="0.2">
      <c r="A102" s="4" t="s">
        <v>27</v>
      </c>
      <c r="B102" s="8">
        <v>1982</v>
      </c>
      <c r="C102" s="41" t="s">
        <v>237</v>
      </c>
      <c r="D102" s="8">
        <v>0</v>
      </c>
      <c r="E102" s="8"/>
      <c r="F102" s="8">
        <v>0</v>
      </c>
      <c r="G102" s="8"/>
      <c r="H102" s="8">
        <v>1</v>
      </c>
      <c r="I102" s="13"/>
      <c r="J102" s="8"/>
      <c r="K102" s="8">
        <v>1</v>
      </c>
      <c r="L102" s="8"/>
      <c r="M102" s="8">
        <v>1</v>
      </c>
      <c r="N102" s="8"/>
      <c r="O102" s="8">
        <v>0</v>
      </c>
      <c r="Q102" s="8"/>
      <c r="R102" s="8">
        <v>0</v>
      </c>
      <c r="S102" s="8"/>
      <c r="T102" s="8">
        <v>2</v>
      </c>
      <c r="U102" s="8"/>
      <c r="V102" s="8">
        <v>1</v>
      </c>
    </row>
    <row r="103" spans="1:22" ht="34" x14ac:dyDescent="0.2">
      <c r="A103" s="4" t="s">
        <v>73</v>
      </c>
      <c r="B103" s="8">
        <v>1982</v>
      </c>
      <c r="C103" s="41" t="s">
        <v>238</v>
      </c>
      <c r="D103" s="8">
        <v>0</v>
      </c>
      <c r="E103" s="8"/>
      <c r="F103" s="8">
        <v>0</v>
      </c>
      <c r="G103" s="8"/>
      <c r="H103" s="8">
        <v>1</v>
      </c>
      <c r="I103" s="13"/>
      <c r="J103" s="8"/>
      <c r="K103" s="8">
        <v>0</v>
      </c>
      <c r="L103" s="8"/>
      <c r="M103" s="8">
        <v>2</v>
      </c>
      <c r="N103" s="8"/>
      <c r="O103" s="8">
        <v>0</v>
      </c>
      <c r="Q103" s="8"/>
      <c r="R103" s="8">
        <v>0</v>
      </c>
      <c r="S103" s="8"/>
      <c r="T103" s="8">
        <v>2</v>
      </c>
      <c r="U103" s="8"/>
      <c r="V103" s="8">
        <v>1</v>
      </c>
    </row>
    <row r="104" spans="1:22" ht="40" x14ac:dyDescent="0.2">
      <c r="A104" s="4" t="s">
        <v>74</v>
      </c>
      <c r="B104" s="8">
        <v>1983</v>
      </c>
      <c r="C104" s="41" t="s">
        <v>239</v>
      </c>
      <c r="D104" s="8">
        <v>0</v>
      </c>
      <c r="E104" s="8"/>
      <c r="F104" s="8">
        <v>0</v>
      </c>
      <c r="G104" s="8"/>
      <c r="H104" s="8">
        <v>1</v>
      </c>
      <c r="I104" s="13"/>
      <c r="J104" s="8"/>
      <c r="K104" s="8">
        <v>1</v>
      </c>
      <c r="L104" s="8"/>
      <c r="M104" s="8">
        <v>1</v>
      </c>
      <c r="N104" s="8"/>
      <c r="O104" s="8">
        <v>0</v>
      </c>
      <c r="Q104" s="8"/>
      <c r="R104" s="8">
        <v>0</v>
      </c>
      <c r="S104" s="8"/>
      <c r="T104" s="8">
        <v>2</v>
      </c>
      <c r="U104" s="8"/>
      <c r="V104" s="8">
        <v>1</v>
      </c>
    </row>
    <row r="105" spans="1:22" ht="34" x14ac:dyDescent="0.2">
      <c r="A105" s="4" t="s">
        <v>75</v>
      </c>
      <c r="B105" s="8">
        <v>1983</v>
      </c>
      <c r="C105" s="41" t="s">
        <v>240</v>
      </c>
      <c r="D105" s="8">
        <v>0</v>
      </c>
      <c r="E105" s="8"/>
      <c r="F105" s="8">
        <v>0</v>
      </c>
      <c r="G105" s="8"/>
      <c r="H105" s="8">
        <v>1</v>
      </c>
      <c r="I105" s="13"/>
      <c r="J105" s="8"/>
      <c r="K105" s="8">
        <v>1</v>
      </c>
      <c r="L105" s="8"/>
      <c r="M105" s="8">
        <v>1</v>
      </c>
      <c r="N105" s="8"/>
      <c r="O105" s="8">
        <v>0</v>
      </c>
      <c r="Q105" s="8"/>
      <c r="R105" s="8">
        <v>0</v>
      </c>
      <c r="S105" s="8"/>
      <c r="T105" s="8">
        <v>2</v>
      </c>
      <c r="U105" s="8"/>
      <c r="V105" s="8">
        <v>1</v>
      </c>
    </row>
    <row r="106" spans="1:22" ht="34" x14ac:dyDescent="0.2">
      <c r="A106" s="4" t="s">
        <v>76</v>
      </c>
      <c r="B106" s="8">
        <v>1983</v>
      </c>
      <c r="C106" s="41" t="s">
        <v>241</v>
      </c>
      <c r="D106" s="8">
        <v>0</v>
      </c>
      <c r="E106" s="8"/>
      <c r="F106" s="8">
        <v>0</v>
      </c>
      <c r="G106" s="8"/>
      <c r="H106" s="8">
        <v>1</v>
      </c>
      <c r="I106" s="13"/>
      <c r="J106" s="8"/>
      <c r="K106" s="8">
        <v>0</v>
      </c>
      <c r="L106" s="8"/>
      <c r="M106" s="8">
        <v>2</v>
      </c>
      <c r="N106" s="8"/>
      <c r="O106" s="8">
        <v>0</v>
      </c>
      <c r="Q106" s="8"/>
      <c r="R106" s="8">
        <v>0</v>
      </c>
      <c r="S106" s="8"/>
      <c r="T106" s="8">
        <v>2</v>
      </c>
      <c r="U106" s="8"/>
      <c r="V106" s="8">
        <v>1</v>
      </c>
    </row>
    <row r="107" spans="1:22" ht="34" x14ac:dyDescent="0.2">
      <c r="A107" s="4" t="s">
        <v>77</v>
      </c>
      <c r="B107" s="8">
        <v>1984</v>
      </c>
      <c r="C107" s="41" t="s">
        <v>242</v>
      </c>
      <c r="D107" s="8">
        <v>0</v>
      </c>
      <c r="E107" s="8"/>
      <c r="F107" s="8">
        <v>0</v>
      </c>
      <c r="G107" s="8"/>
      <c r="H107" s="8">
        <v>1</v>
      </c>
      <c r="I107" s="13"/>
      <c r="J107" s="8"/>
      <c r="K107" s="8">
        <v>0</v>
      </c>
      <c r="L107" s="8"/>
      <c r="M107" s="8">
        <v>1</v>
      </c>
      <c r="N107" s="8"/>
      <c r="O107" s="8">
        <v>0</v>
      </c>
      <c r="Q107" s="8"/>
      <c r="R107" s="8">
        <v>0</v>
      </c>
      <c r="S107" s="8"/>
      <c r="T107" s="8">
        <v>2</v>
      </c>
      <c r="U107" s="8"/>
      <c r="V107" s="8">
        <v>1</v>
      </c>
    </row>
    <row r="108" spans="1:22" ht="34" x14ac:dyDescent="0.2">
      <c r="A108" s="5" t="s">
        <v>78</v>
      </c>
      <c r="B108" s="9">
        <v>1984</v>
      </c>
      <c r="C108" s="41" t="s">
        <v>243</v>
      </c>
      <c r="D108" s="9">
        <v>0</v>
      </c>
      <c r="E108" s="9"/>
      <c r="F108" s="9">
        <v>0</v>
      </c>
      <c r="G108" s="9"/>
      <c r="H108" s="9">
        <v>1</v>
      </c>
      <c r="I108" s="13"/>
      <c r="J108" s="9"/>
      <c r="K108" s="9">
        <v>1</v>
      </c>
      <c r="L108" s="9"/>
      <c r="M108" s="9">
        <v>2</v>
      </c>
      <c r="N108" s="9"/>
      <c r="O108" s="9">
        <v>0</v>
      </c>
      <c r="Q108" s="9"/>
      <c r="R108" s="9">
        <v>0</v>
      </c>
      <c r="S108" s="9"/>
      <c r="T108" s="9">
        <v>2</v>
      </c>
      <c r="U108" s="9"/>
      <c r="V108" s="9">
        <v>1</v>
      </c>
    </row>
    <row r="109" spans="1:22" ht="40" x14ac:dyDescent="0.2">
      <c r="A109" s="5" t="s">
        <v>79</v>
      </c>
      <c r="B109" s="9">
        <v>1984</v>
      </c>
      <c r="C109" s="41" t="s">
        <v>244</v>
      </c>
      <c r="D109" s="9">
        <v>0</v>
      </c>
      <c r="E109" s="9"/>
      <c r="F109" s="9">
        <v>0</v>
      </c>
      <c r="G109" s="9"/>
      <c r="H109" s="9">
        <v>1</v>
      </c>
      <c r="I109" s="13"/>
      <c r="J109" s="9"/>
      <c r="K109" s="9">
        <v>1</v>
      </c>
      <c r="L109" s="9"/>
      <c r="M109" s="9">
        <v>2</v>
      </c>
      <c r="N109" s="9"/>
      <c r="O109" s="9">
        <v>0</v>
      </c>
      <c r="Q109" s="9"/>
      <c r="R109" s="9">
        <v>0</v>
      </c>
      <c r="S109" s="9"/>
      <c r="T109" s="9">
        <v>2</v>
      </c>
      <c r="U109" s="9"/>
      <c r="V109" s="9">
        <v>1</v>
      </c>
    </row>
    <row r="110" spans="1:22" ht="34" x14ac:dyDescent="0.2">
      <c r="A110" s="5" t="s">
        <v>80</v>
      </c>
      <c r="B110" s="9">
        <v>1984</v>
      </c>
      <c r="C110" s="41" t="s">
        <v>245</v>
      </c>
      <c r="D110" s="9">
        <v>0</v>
      </c>
      <c r="E110" s="9"/>
      <c r="F110" s="9">
        <v>0</v>
      </c>
      <c r="G110" s="9"/>
      <c r="H110" s="9">
        <v>1</v>
      </c>
      <c r="I110" s="13"/>
      <c r="J110" s="9"/>
      <c r="K110" s="9">
        <v>1</v>
      </c>
      <c r="L110" s="9"/>
      <c r="M110" s="9">
        <v>1</v>
      </c>
      <c r="N110" s="9"/>
      <c r="O110" s="9">
        <v>0</v>
      </c>
      <c r="Q110" s="9"/>
      <c r="R110" s="9">
        <v>0</v>
      </c>
      <c r="S110" s="9"/>
      <c r="T110" s="9">
        <v>2</v>
      </c>
      <c r="U110" s="9"/>
      <c r="V110" s="9">
        <v>1</v>
      </c>
    </row>
    <row r="111" spans="1:22" ht="34" x14ac:dyDescent="0.2">
      <c r="A111" s="5" t="s">
        <v>81</v>
      </c>
      <c r="B111" s="9">
        <v>1985</v>
      </c>
      <c r="C111" s="41" t="s">
        <v>246</v>
      </c>
      <c r="D111" s="9">
        <v>0</v>
      </c>
      <c r="E111" s="9"/>
      <c r="F111" s="9">
        <v>0</v>
      </c>
      <c r="G111" s="9"/>
      <c r="H111" s="9">
        <v>2</v>
      </c>
      <c r="I111" s="13"/>
      <c r="J111" s="9"/>
      <c r="K111" s="9">
        <v>1</v>
      </c>
      <c r="L111" s="9"/>
      <c r="M111" s="9">
        <v>2</v>
      </c>
      <c r="N111" s="9"/>
      <c r="O111" s="9">
        <v>0</v>
      </c>
      <c r="Q111" s="9"/>
      <c r="R111" s="9">
        <v>0</v>
      </c>
      <c r="S111" s="9"/>
      <c r="T111" s="9">
        <v>2</v>
      </c>
      <c r="U111" s="9"/>
      <c r="V111" s="9">
        <v>1</v>
      </c>
    </row>
    <row r="112" spans="1:22" ht="40" x14ac:dyDescent="0.2">
      <c r="A112" s="5" t="s">
        <v>82</v>
      </c>
      <c r="B112" s="9">
        <v>1985</v>
      </c>
      <c r="C112" s="41" t="s">
        <v>247</v>
      </c>
      <c r="D112" s="9">
        <v>0</v>
      </c>
      <c r="E112" s="9"/>
      <c r="F112" s="9">
        <v>0</v>
      </c>
      <c r="G112" s="9"/>
      <c r="H112" s="9">
        <v>1</v>
      </c>
      <c r="I112" s="13"/>
      <c r="J112" s="9"/>
      <c r="K112" s="9">
        <v>1</v>
      </c>
      <c r="L112" s="9"/>
      <c r="M112" s="9">
        <v>2</v>
      </c>
      <c r="N112" s="9"/>
      <c r="O112" s="9">
        <v>0</v>
      </c>
      <c r="Q112" s="9"/>
      <c r="R112" s="9">
        <v>0</v>
      </c>
      <c r="S112" s="9"/>
      <c r="T112" s="9">
        <v>2</v>
      </c>
      <c r="U112" s="9"/>
      <c r="V112" s="9">
        <v>1</v>
      </c>
    </row>
    <row r="113" spans="1:22" ht="34" x14ac:dyDescent="0.2">
      <c r="A113" s="5" t="s">
        <v>83</v>
      </c>
      <c r="B113" s="9">
        <v>1986</v>
      </c>
      <c r="C113" s="41" t="s">
        <v>248</v>
      </c>
      <c r="D113" s="9">
        <v>0</v>
      </c>
      <c r="E113" s="9"/>
      <c r="F113" s="9">
        <v>0</v>
      </c>
      <c r="G113" s="9"/>
      <c r="H113" s="9">
        <v>1</v>
      </c>
      <c r="I113" s="13"/>
      <c r="J113" s="9"/>
      <c r="K113" s="9">
        <v>0</v>
      </c>
      <c r="L113" s="9"/>
      <c r="M113" s="9">
        <v>2</v>
      </c>
      <c r="N113" s="9"/>
      <c r="O113" s="9">
        <v>0</v>
      </c>
      <c r="Q113" s="9"/>
      <c r="R113" s="9">
        <v>0</v>
      </c>
      <c r="S113" s="9"/>
      <c r="T113" s="9">
        <v>2</v>
      </c>
      <c r="U113" s="9"/>
      <c r="V113" s="9">
        <v>1</v>
      </c>
    </row>
    <row r="114" spans="1:22" ht="34" x14ac:dyDescent="0.2">
      <c r="A114" s="5" t="s">
        <v>84</v>
      </c>
      <c r="B114" s="9">
        <v>1986</v>
      </c>
      <c r="C114" s="41" t="s">
        <v>249</v>
      </c>
      <c r="D114" s="9">
        <v>0</v>
      </c>
      <c r="E114" s="9"/>
      <c r="F114" s="9">
        <v>0</v>
      </c>
      <c r="G114" s="9"/>
      <c r="H114" s="9">
        <v>1</v>
      </c>
      <c r="I114" s="13"/>
      <c r="J114" s="9"/>
      <c r="K114" s="9">
        <v>1</v>
      </c>
      <c r="L114" s="9"/>
      <c r="M114" s="9">
        <v>2</v>
      </c>
      <c r="N114" s="9"/>
      <c r="O114" s="9">
        <v>0</v>
      </c>
      <c r="Q114" s="9"/>
      <c r="R114" s="9">
        <v>0</v>
      </c>
      <c r="S114" s="9"/>
      <c r="T114" s="9">
        <v>2</v>
      </c>
      <c r="U114" s="9"/>
      <c r="V114" s="9">
        <v>1</v>
      </c>
    </row>
    <row r="115" spans="1:22" ht="40" x14ac:dyDescent="0.2">
      <c r="A115" s="5" t="s">
        <v>85</v>
      </c>
      <c r="B115" s="9">
        <v>1986</v>
      </c>
      <c r="C115" s="41" t="s">
        <v>250</v>
      </c>
      <c r="D115" s="9">
        <v>0</v>
      </c>
      <c r="E115" s="9"/>
      <c r="F115" s="9">
        <v>0</v>
      </c>
      <c r="G115" s="9"/>
      <c r="H115" s="9">
        <v>1</v>
      </c>
      <c r="I115" s="13"/>
      <c r="J115" s="9"/>
      <c r="K115" s="9">
        <v>1</v>
      </c>
      <c r="L115" s="9"/>
      <c r="M115" s="9">
        <v>2</v>
      </c>
      <c r="N115" s="9"/>
      <c r="O115" s="9">
        <v>0</v>
      </c>
      <c r="Q115" s="9"/>
      <c r="R115" s="9">
        <v>0</v>
      </c>
      <c r="S115" s="9"/>
      <c r="T115" s="9">
        <v>2</v>
      </c>
      <c r="U115" s="9"/>
      <c r="V115" s="9">
        <v>1</v>
      </c>
    </row>
    <row r="116" spans="1:22" ht="34" x14ac:dyDescent="0.2">
      <c r="A116" s="5" t="s">
        <v>86</v>
      </c>
      <c r="B116" s="9">
        <v>1986</v>
      </c>
      <c r="C116" s="41" t="s">
        <v>251</v>
      </c>
      <c r="D116" s="9">
        <v>0</v>
      </c>
      <c r="E116" s="9"/>
      <c r="F116" s="9">
        <v>0</v>
      </c>
      <c r="G116" s="9"/>
      <c r="H116" s="9">
        <v>1</v>
      </c>
      <c r="I116" s="13"/>
      <c r="J116" s="9"/>
      <c r="K116" s="9">
        <v>1</v>
      </c>
      <c r="L116" s="9"/>
      <c r="M116" s="9">
        <v>2</v>
      </c>
      <c r="N116" s="9"/>
      <c r="O116" s="9">
        <v>0</v>
      </c>
      <c r="Q116" s="9"/>
      <c r="R116" s="9">
        <v>0</v>
      </c>
      <c r="S116" s="9"/>
      <c r="T116" s="9">
        <v>2</v>
      </c>
      <c r="U116" s="9"/>
      <c r="V116" s="9">
        <v>1</v>
      </c>
    </row>
    <row r="117" spans="1:22" ht="34" x14ac:dyDescent="0.2">
      <c r="A117" s="3" t="s">
        <v>87</v>
      </c>
      <c r="B117" s="7">
        <v>1986</v>
      </c>
      <c r="C117" s="41" t="s">
        <v>252</v>
      </c>
      <c r="D117" s="7">
        <v>0</v>
      </c>
      <c r="E117" s="7"/>
      <c r="F117" s="7">
        <v>0</v>
      </c>
      <c r="G117" s="7"/>
      <c r="H117" s="7">
        <v>1</v>
      </c>
      <c r="I117" s="13"/>
      <c r="J117" s="7"/>
      <c r="K117" s="7">
        <v>1</v>
      </c>
      <c r="L117" s="7"/>
      <c r="M117" s="7">
        <v>2</v>
      </c>
      <c r="N117" s="7"/>
      <c r="O117" s="7">
        <v>0</v>
      </c>
      <c r="Q117" s="7"/>
      <c r="R117" s="7">
        <v>0</v>
      </c>
      <c r="S117" s="7"/>
      <c r="T117" s="7">
        <v>2</v>
      </c>
      <c r="U117" s="7"/>
      <c r="V117" s="7">
        <v>1</v>
      </c>
    </row>
    <row r="118" spans="1:22" ht="34" x14ac:dyDescent="0.2">
      <c r="A118" s="3" t="s">
        <v>88</v>
      </c>
      <c r="B118" s="7">
        <v>1987</v>
      </c>
      <c r="C118" s="41" t="s">
        <v>253</v>
      </c>
      <c r="D118" s="7">
        <v>0</v>
      </c>
      <c r="E118" s="7"/>
      <c r="F118" s="7">
        <v>0</v>
      </c>
      <c r="G118" s="7"/>
      <c r="H118" s="7">
        <v>1</v>
      </c>
      <c r="I118" s="13"/>
      <c r="J118" s="7"/>
      <c r="K118" s="7">
        <v>1</v>
      </c>
      <c r="L118" s="7"/>
      <c r="M118" s="7">
        <v>1</v>
      </c>
      <c r="N118" s="7"/>
      <c r="O118" s="7">
        <v>0</v>
      </c>
      <c r="Q118" s="7"/>
      <c r="R118" s="7">
        <v>0</v>
      </c>
      <c r="S118" s="7"/>
      <c r="T118" s="7">
        <v>2</v>
      </c>
      <c r="U118" s="7"/>
      <c r="V118" s="7">
        <v>1</v>
      </c>
    </row>
    <row r="119" spans="1:22" ht="34" x14ac:dyDescent="0.2">
      <c r="A119" s="3" t="s">
        <v>89</v>
      </c>
      <c r="B119" s="7">
        <v>1987</v>
      </c>
      <c r="C119" s="41" t="s">
        <v>254</v>
      </c>
      <c r="D119" s="7">
        <v>0</v>
      </c>
      <c r="E119" s="7"/>
      <c r="F119" s="7">
        <v>0</v>
      </c>
      <c r="G119" s="7"/>
      <c r="H119" s="7">
        <v>1</v>
      </c>
      <c r="I119" s="13"/>
      <c r="J119" s="7"/>
      <c r="K119" s="7">
        <v>1</v>
      </c>
      <c r="L119" s="7"/>
      <c r="M119" s="7">
        <v>2</v>
      </c>
      <c r="N119" s="7"/>
      <c r="O119" s="7">
        <v>0</v>
      </c>
      <c r="Q119" s="7"/>
      <c r="R119" s="7">
        <v>0</v>
      </c>
      <c r="S119" s="7"/>
      <c r="T119" s="7">
        <v>2</v>
      </c>
      <c r="U119" s="7"/>
      <c r="V119" s="7">
        <v>1</v>
      </c>
    </row>
    <row r="120" spans="1:22" ht="34" x14ac:dyDescent="0.2">
      <c r="A120" s="3" t="s">
        <v>8</v>
      </c>
      <c r="B120" s="7">
        <v>1987</v>
      </c>
      <c r="C120" s="41" t="s">
        <v>255</v>
      </c>
      <c r="D120" s="7">
        <v>0</v>
      </c>
      <c r="E120" s="7"/>
      <c r="F120" s="7">
        <v>0</v>
      </c>
      <c r="G120" s="7"/>
      <c r="H120" s="7">
        <v>1</v>
      </c>
      <c r="I120" s="13"/>
      <c r="J120" s="7"/>
      <c r="K120" s="7">
        <v>1</v>
      </c>
      <c r="L120" s="7"/>
      <c r="M120" s="7">
        <v>2</v>
      </c>
      <c r="N120" s="7"/>
      <c r="O120" s="7">
        <v>0</v>
      </c>
      <c r="Q120" s="7"/>
      <c r="R120" s="7">
        <v>0</v>
      </c>
      <c r="S120" s="7"/>
      <c r="T120" s="7">
        <v>2</v>
      </c>
      <c r="U120" s="7"/>
      <c r="V120" s="7">
        <v>1</v>
      </c>
    </row>
    <row r="121" spans="1:22" ht="40" x14ac:dyDescent="0.2">
      <c r="A121" s="3" t="s">
        <v>90</v>
      </c>
      <c r="B121" s="7">
        <v>1987</v>
      </c>
      <c r="C121" s="41" t="s">
        <v>256</v>
      </c>
      <c r="D121" s="7">
        <v>0</v>
      </c>
      <c r="E121" s="7"/>
      <c r="F121" s="7">
        <v>0</v>
      </c>
      <c r="G121" s="7"/>
      <c r="H121" s="7">
        <v>1</v>
      </c>
      <c r="I121" s="13"/>
      <c r="J121" s="7"/>
      <c r="K121" s="7">
        <v>1</v>
      </c>
      <c r="L121" s="7"/>
      <c r="M121" s="7">
        <v>2</v>
      </c>
      <c r="N121" s="7"/>
      <c r="O121" s="7">
        <v>0</v>
      </c>
      <c r="Q121" s="7"/>
      <c r="R121" s="7">
        <v>0</v>
      </c>
      <c r="S121" s="7"/>
      <c r="T121" s="7">
        <v>2</v>
      </c>
      <c r="U121" s="7"/>
      <c r="V121" s="7">
        <v>1</v>
      </c>
    </row>
    <row r="122" spans="1:22" ht="34" x14ac:dyDescent="0.2">
      <c r="A122" s="3" t="s">
        <v>91</v>
      </c>
      <c r="B122" s="7">
        <v>1987</v>
      </c>
      <c r="C122" s="41" t="s">
        <v>257</v>
      </c>
      <c r="D122" s="7">
        <v>0</v>
      </c>
      <c r="E122" s="7"/>
      <c r="F122" s="7">
        <v>0</v>
      </c>
      <c r="G122" s="7"/>
      <c r="H122" s="7">
        <v>1</v>
      </c>
      <c r="I122" s="13"/>
      <c r="J122" s="7"/>
      <c r="K122" s="7">
        <v>1</v>
      </c>
      <c r="L122" s="7"/>
      <c r="M122" s="7">
        <v>2</v>
      </c>
      <c r="N122" s="7"/>
      <c r="O122" s="7">
        <v>0</v>
      </c>
      <c r="Q122" s="7"/>
      <c r="R122" s="7">
        <v>0</v>
      </c>
      <c r="S122" s="7"/>
      <c r="T122" s="7">
        <v>2</v>
      </c>
      <c r="U122" s="7"/>
      <c r="V122" s="7">
        <v>1</v>
      </c>
    </row>
    <row r="123" spans="1:22" ht="40" x14ac:dyDescent="0.2">
      <c r="A123" s="3" t="s">
        <v>92</v>
      </c>
      <c r="B123" s="7">
        <v>1988</v>
      </c>
      <c r="C123" s="41" t="s">
        <v>258</v>
      </c>
      <c r="D123" s="7">
        <v>0</v>
      </c>
      <c r="E123" s="7"/>
      <c r="F123" s="7">
        <v>0</v>
      </c>
      <c r="G123" s="7"/>
      <c r="H123" s="7">
        <v>1</v>
      </c>
      <c r="I123" s="13"/>
      <c r="J123" s="7"/>
      <c r="K123" s="7">
        <v>1</v>
      </c>
      <c r="L123" s="7"/>
      <c r="M123" s="7">
        <v>2</v>
      </c>
      <c r="N123" s="7"/>
      <c r="O123" s="7">
        <v>0</v>
      </c>
      <c r="Q123" s="7"/>
      <c r="R123" s="7">
        <v>0</v>
      </c>
      <c r="S123" s="7"/>
      <c r="T123" s="7">
        <v>2</v>
      </c>
      <c r="U123" s="7"/>
      <c r="V123" s="7">
        <v>1</v>
      </c>
    </row>
    <row r="124" spans="1:22" ht="40" x14ac:dyDescent="0.2">
      <c r="A124" s="3" t="s">
        <v>93</v>
      </c>
      <c r="B124" s="7">
        <v>1989</v>
      </c>
      <c r="C124" s="41" t="s">
        <v>259</v>
      </c>
      <c r="D124" s="7">
        <v>0</v>
      </c>
      <c r="E124" s="7"/>
      <c r="F124" s="7">
        <v>0</v>
      </c>
      <c r="G124" s="7"/>
      <c r="H124" s="7">
        <v>1</v>
      </c>
      <c r="I124" s="13"/>
      <c r="J124" s="7"/>
      <c r="K124" s="7">
        <v>1</v>
      </c>
      <c r="L124" s="7"/>
      <c r="M124" s="7">
        <v>2</v>
      </c>
      <c r="N124" s="7"/>
      <c r="O124" s="7">
        <v>0</v>
      </c>
      <c r="Q124" s="7"/>
      <c r="R124" s="7">
        <v>0</v>
      </c>
      <c r="S124" s="7"/>
      <c r="T124" s="7">
        <v>2</v>
      </c>
      <c r="U124" s="7"/>
      <c r="V124" s="7">
        <v>1</v>
      </c>
    </row>
    <row r="125" spans="1:22" ht="34" x14ac:dyDescent="0.2">
      <c r="A125" s="3" t="s">
        <v>94</v>
      </c>
      <c r="B125" s="7">
        <v>1989</v>
      </c>
      <c r="C125" s="41" t="s">
        <v>260</v>
      </c>
      <c r="D125" s="7">
        <v>0</v>
      </c>
      <c r="E125" s="7"/>
      <c r="F125" s="7">
        <v>0</v>
      </c>
      <c r="G125" s="7"/>
      <c r="H125" s="7">
        <v>1</v>
      </c>
      <c r="I125" s="13"/>
      <c r="J125" s="7"/>
      <c r="K125" s="7">
        <v>1</v>
      </c>
      <c r="L125" s="7"/>
      <c r="M125" s="7">
        <v>2</v>
      </c>
      <c r="N125" s="7"/>
      <c r="O125" s="7">
        <v>0</v>
      </c>
      <c r="Q125" s="7"/>
      <c r="R125" s="7">
        <v>0</v>
      </c>
      <c r="S125" s="7"/>
      <c r="T125" s="7">
        <v>2</v>
      </c>
      <c r="U125" s="7"/>
      <c r="V125" s="7">
        <v>1</v>
      </c>
    </row>
    <row r="126" spans="1:22" ht="34" x14ac:dyDescent="0.2">
      <c r="A126" s="4" t="s">
        <v>95</v>
      </c>
      <c r="B126" s="8">
        <v>1989</v>
      </c>
      <c r="C126" s="41" t="s">
        <v>261</v>
      </c>
      <c r="D126" s="8">
        <v>0</v>
      </c>
      <c r="E126" s="8"/>
      <c r="F126" s="8">
        <v>0</v>
      </c>
      <c r="G126" s="8"/>
      <c r="H126" s="8">
        <v>2</v>
      </c>
      <c r="I126" s="13"/>
      <c r="J126" s="8"/>
      <c r="K126" s="8">
        <v>2</v>
      </c>
      <c r="L126" s="8"/>
      <c r="M126" s="8">
        <v>2</v>
      </c>
      <c r="N126" s="8"/>
      <c r="O126" s="8">
        <v>0</v>
      </c>
      <c r="Q126" s="8"/>
      <c r="R126" s="8">
        <v>0</v>
      </c>
      <c r="S126" s="8"/>
      <c r="T126" s="8">
        <v>2</v>
      </c>
      <c r="U126" s="8"/>
      <c r="V126" s="8">
        <v>1</v>
      </c>
    </row>
    <row r="127" spans="1:22" x14ac:dyDescent="0.2">
      <c r="A127" s="4"/>
      <c r="B127" s="8"/>
      <c r="D127" s="8"/>
      <c r="E127" s="8"/>
      <c r="F127" s="8"/>
      <c r="G127" s="8"/>
      <c r="H127" s="8"/>
      <c r="I127" s="13"/>
      <c r="J127" s="13"/>
      <c r="K127" s="8"/>
      <c r="L127" s="8"/>
      <c r="M127" s="8"/>
      <c r="N127" s="8"/>
      <c r="O127" s="8"/>
    </row>
    <row r="128" spans="1:22" x14ac:dyDescent="0.2">
      <c r="A128" s="4"/>
      <c r="B128" s="8"/>
      <c r="D128" s="8"/>
      <c r="E128" s="8"/>
      <c r="F128" s="8"/>
      <c r="G128" s="8"/>
      <c r="H128" s="8"/>
      <c r="I128" s="13"/>
      <c r="J128" s="13"/>
      <c r="K128" s="8"/>
      <c r="L128" s="8"/>
      <c r="M128" s="8"/>
      <c r="N128" s="8"/>
      <c r="O128" s="8"/>
    </row>
    <row r="129" spans="1:15" x14ac:dyDescent="0.2">
      <c r="A129" s="4"/>
      <c r="B129" s="8"/>
      <c r="D129" s="8"/>
      <c r="E129" s="8"/>
      <c r="F129" s="8"/>
      <c r="G129" s="8"/>
      <c r="H129" s="8"/>
      <c r="I129" s="13"/>
      <c r="J129" s="13"/>
      <c r="K129" s="8"/>
      <c r="L129" s="8"/>
      <c r="M129" s="8"/>
      <c r="N129" s="8"/>
      <c r="O129" s="8"/>
    </row>
    <row r="130" spans="1:15" x14ac:dyDescent="0.2">
      <c r="A130" s="4"/>
      <c r="B130" s="8"/>
      <c r="D130" s="8"/>
      <c r="E130" s="8"/>
      <c r="F130" s="8"/>
      <c r="G130" s="8"/>
      <c r="H130" s="8"/>
      <c r="I130" s="13"/>
      <c r="J130" s="13"/>
      <c r="K130" s="8"/>
      <c r="L130" s="8"/>
      <c r="M130" s="8"/>
      <c r="N130" s="8"/>
      <c r="O130" s="8"/>
    </row>
    <row r="131" spans="1:15" x14ac:dyDescent="0.2">
      <c r="A131" s="4"/>
      <c r="B131" s="8"/>
      <c r="D131" s="8"/>
      <c r="E131" s="8"/>
      <c r="F131" s="8"/>
      <c r="G131" s="8"/>
      <c r="H131" s="8"/>
      <c r="I131" s="13"/>
      <c r="J131" s="13"/>
      <c r="K131" s="8"/>
      <c r="L131" s="8"/>
      <c r="M131" s="8"/>
      <c r="N131" s="8"/>
      <c r="O131" s="8"/>
    </row>
    <row r="132" spans="1:15" x14ac:dyDescent="0.2">
      <c r="A132" s="4"/>
      <c r="B132" s="8"/>
      <c r="D132" s="8"/>
      <c r="E132" s="8"/>
      <c r="F132" s="8"/>
      <c r="G132" s="8"/>
      <c r="H132" s="8"/>
      <c r="I132" s="13"/>
      <c r="J132" s="13"/>
      <c r="K132" s="8"/>
      <c r="L132" s="8"/>
      <c r="M132" s="8"/>
      <c r="N132" s="8"/>
      <c r="O132" s="8"/>
    </row>
    <row r="133" spans="1:15" x14ac:dyDescent="0.2">
      <c r="A133" s="4"/>
      <c r="B133" s="8"/>
      <c r="D133" s="8"/>
      <c r="E133" s="8"/>
      <c r="F133" s="8"/>
      <c r="G133" s="8"/>
      <c r="H133" s="8"/>
      <c r="I133" s="13"/>
      <c r="J133" s="13"/>
      <c r="K133" s="8"/>
      <c r="L133" s="8"/>
      <c r="M133" s="8"/>
      <c r="N133" s="8"/>
      <c r="O133" s="8"/>
    </row>
    <row r="134" spans="1:15" x14ac:dyDescent="0.2">
      <c r="A134" s="4"/>
      <c r="B134" s="8"/>
      <c r="D134" s="8"/>
      <c r="E134" s="8"/>
      <c r="F134" s="8"/>
      <c r="G134" s="8"/>
      <c r="H134" s="8"/>
      <c r="I134" s="13"/>
      <c r="J134" s="13"/>
      <c r="K134" s="8"/>
      <c r="L134" s="8"/>
      <c r="M134" s="8"/>
      <c r="N134" s="8"/>
      <c r="O134" s="8"/>
    </row>
    <row r="135" spans="1:15" x14ac:dyDescent="0.2">
      <c r="A135" s="5"/>
      <c r="B135" s="9"/>
      <c r="D135" s="9"/>
      <c r="E135" s="9"/>
      <c r="F135" s="9"/>
      <c r="G135" s="9"/>
      <c r="H135" s="9"/>
      <c r="I135" s="13"/>
      <c r="J135" s="13"/>
      <c r="K135" s="9"/>
      <c r="L135" s="9"/>
      <c r="M135" s="9"/>
      <c r="N135" s="9"/>
      <c r="O135" s="9"/>
    </row>
    <row r="136" spans="1:15" x14ac:dyDescent="0.2">
      <c r="A136" s="5"/>
      <c r="B136" s="9"/>
      <c r="D136" s="9"/>
      <c r="E136" s="9"/>
      <c r="F136" s="9"/>
      <c r="G136" s="9"/>
      <c r="H136" s="9"/>
      <c r="I136" s="13"/>
      <c r="J136" s="13"/>
      <c r="K136" s="9"/>
      <c r="L136" s="9"/>
      <c r="M136" s="9"/>
      <c r="N136" s="9"/>
      <c r="O136" s="9"/>
    </row>
    <row r="137" spans="1:15" x14ac:dyDescent="0.2">
      <c r="A137" s="5"/>
      <c r="B137" s="9"/>
      <c r="D137" s="9"/>
      <c r="E137" s="9"/>
      <c r="F137" s="9"/>
      <c r="G137" s="9"/>
      <c r="H137" s="9"/>
      <c r="I137" s="13"/>
      <c r="J137" s="13"/>
      <c r="K137" s="9"/>
      <c r="L137" s="9"/>
      <c r="M137" s="9"/>
      <c r="N137" s="9"/>
      <c r="O137" s="9"/>
    </row>
    <row r="138" spans="1:15" x14ac:dyDescent="0.2">
      <c r="A138" s="5"/>
      <c r="B138" s="9"/>
      <c r="D138" s="9"/>
      <c r="E138" s="9"/>
      <c r="F138" s="9"/>
      <c r="G138" s="9"/>
      <c r="H138" s="9"/>
      <c r="I138" s="13"/>
      <c r="J138" s="13"/>
      <c r="K138" s="9"/>
      <c r="L138" s="9"/>
      <c r="M138" s="9"/>
      <c r="N138" s="9"/>
      <c r="O138" s="9"/>
    </row>
    <row r="139" spans="1:15" x14ac:dyDescent="0.2">
      <c r="A139" s="5"/>
      <c r="B139" s="9"/>
      <c r="D139" s="9"/>
      <c r="E139" s="9"/>
      <c r="F139" s="9"/>
      <c r="G139" s="9"/>
      <c r="H139" s="9"/>
      <c r="I139" s="13"/>
      <c r="J139" s="13"/>
      <c r="K139" s="9"/>
      <c r="L139" s="9"/>
      <c r="M139" s="9"/>
      <c r="N139" s="9"/>
      <c r="O139" s="9"/>
    </row>
    <row r="140" spans="1:15" x14ac:dyDescent="0.2">
      <c r="A140" s="5"/>
      <c r="B140" s="9"/>
      <c r="D140" s="9"/>
      <c r="E140" s="9"/>
      <c r="F140" s="9"/>
      <c r="G140" s="9"/>
      <c r="H140" s="9"/>
      <c r="I140" s="13"/>
      <c r="J140" s="13"/>
      <c r="K140" s="9"/>
      <c r="L140" s="9"/>
      <c r="M140" s="9"/>
      <c r="N140" s="9"/>
      <c r="O140" s="9"/>
    </row>
    <row r="141" spans="1:15" x14ac:dyDescent="0.2">
      <c r="A141" s="5"/>
      <c r="B141" s="9"/>
      <c r="D141" s="9"/>
      <c r="E141" s="9"/>
      <c r="F141" s="9"/>
      <c r="G141" s="9"/>
      <c r="H141" s="9"/>
      <c r="I141" s="13"/>
      <c r="J141" s="13"/>
      <c r="K141" s="9"/>
      <c r="L141" s="9"/>
      <c r="M141" s="9"/>
      <c r="N141" s="9"/>
      <c r="O141" s="9"/>
    </row>
    <row r="142" spans="1:15" x14ac:dyDescent="0.2">
      <c r="A142" s="5"/>
      <c r="B142" s="9"/>
      <c r="D142" s="9"/>
      <c r="E142" s="9"/>
      <c r="F142" s="9"/>
      <c r="G142" s="9"/>
      <c r="H142" s="9"/>
      <c r="I142" s="13"/>
      <c r="J142" s="13"/>
      <c r="K142" s="9"/>
      <c r="L142" s="9"/>
      <c r="M142" s="9"/>
      <c r="N142" s="9"/>
      <c r="O142" s="9"/>
    </row>
    <row r="143" spans="1:15" x14ac:dyDescent="0.2">
      <c r="A143" s="5"/>
      <c r="B143" s="9"/>
      <c r="D143" s="9"/>
      <c r="E143" s="9"/>
      <c r="F143" s="9"/>
      <c r="G143" s="9"/>
      <c r="H143" s="9"/>
      <c r="I143" s="13"/>
      <c r="J143" s="13"/>
      <c r="K143" s="9"/>
      <c r="L143" s="9"/>
      <c r="M143" s="9"/>
      <c r="N143" s="9"/>
      <c r="O143" s="9"/>
    </row>
    <row r="144" spans="1:15" x14ac:dyDescent="0.2">
      <c r="A144" s="3"/>
      <c r="B144" s="7"/>
      <c r="D144" s="7"/>
      <c r="E144" s="7"/>
      <c r="F144" s="7"/>
      <c r="G144" s="7"/>
      <c r="H144" s="7"/>
      <c r="I144" s="13"/>
      <c r="J144" s="13"/>
      <c r="K144" s="7"/>
      <c r="L144" s="7"/>
      <c r="M144" s="7"/>
      <c r="N144" s="7"/>
      <c r="O144" s="7"/>
    </row>
    <row r="145" spans="1:15" x14ac:dyDescent="0.2">
      <c r="A145" s="3"/>
      <c r="B145" s="7"/>
      <c r="D145" s="7"/>
      <c r="E145" s="7"/>
      <c r="F145" s="7"/>
      <c r="G145" s="7"/>
      <c r="H145" s="7"/>
      <c r="I145" s="13"/>
      <c r="J145" s="13"/>
      <c r="K145" s="7"/>
      <c r="L145" s="7"/>
      <c r="M145" s="7"/>
      <c r="N145" s="7"/>
      <c r="O145" s="7"/>
    </row>
    <row r="146" spans="1:15" x14ac:dyDescent="0.2">
      <c r="A146" s="3"/>
      <c r="B146" s="7"/>
      <c r="D146" s="7"/>
      <c r="E146" s="7"/>
      <c r="F146" s="7"/>
      <c r="G146" s="7"/>
      <c r="H146" s="7"/>
      <c r="I146" s="13"/>
      <c r="J146" s="13"/>
      <c r="K146" s="7"/>
      <c r="L146" s="7"/>
      <c r="M146" s="7"/>
      <c r="N146" s="7"/>
      <c r="O146" s="7"/>
    </row>
    <row r="147" spans="1:15" x14ac:dyDescent="0.2">
      <c r="A147" s="3"/>
      <c r="B147" s="7"/>
      <c r="D147" s="7"/>
      <c r="E147" s="7"/>
      <c r="F147" s="7"/>
      <c r="G147" s="7"/>
      <c r="H147" s="7"/>
      <c r="I147" s="13"/>
      <c r="J147" s="13"/>
      <c r="K147" s="7"/>
      <c r="L147" s="7"/>
      <c r="M147" s="7"/>
      <c r="N147" s="7"/>
      <c r="O147" s="7"/>
    </row>
    <row r="148" spans="1:15" x14ac:dyDescent="0.2">
      <c r="A148" s="3"/>
      <c r="B148" s="7"/>
      <c r="D148" s="7"/>
      <c r="E148" s="7"/>
      <c r="F148" s="7"/>
      <c r="G148" s="7"/>
      <c r="H148" s="7"/>
      <c r="I148" s="13"/>
      <c r="J148" s="13"/>
      <c r="K148" s="7"/>
      <c r="L148" s="7"/>
      <c r="M148" s="7"/>
      <c r="N148" s="7"/>
      <c r="O148" s="7"/>
    </row>
    <row r="149" spans="1:15" x14ac:dyDescent="0.2">
      <c r="A149" s="3"/>
      <c r="B149" s="7"/>
      <c r="D149" s="7"/>
      <c r="E149" s="7"/>
      <c r="F149" s="7"/>
      <c r="G149" s="7"/>
      <c r="H149" s="7"/>
      <c r="I149" s="13"/>
      <c r="J149" s="13"/>
      <c r="K149" s="7"/>
      <c r="L149" s="7"/>
      <c r="M149" s="7"/>
      <c r="N149" s="7"/>
      <c r="O149" s="7"/>
    </row>
    <row r="150" spans="1:15" x14ac:dyDescent="0.2">
      <c r="A150" s="3"/>
      <c r="B150" s="7"/>
      <c r="D150" s="7"/>
      <c r="E150" s="7"/>
      <c r="F150" s="7"/>
      <c r="G150" s="7"/>
      <c r="H150" s="7"/>
      <c r="I150" s="13"/>
      <c r="J150" s="13"/>
      <c r="K150" s="7"/>
      <c r="L150" s="7"/>
      <c r="M150" s="7"/>
      <c r="N150" s="7"/>
      <c r="O150" s="7"/>
    </row>
    <row r="151" spans="1:15" x14ac:dyDescent="0.2">
      <c r="A151" s="3"/>
      <c r="B151" s="7"/>
      <c r="D151" s="7"/>
      <c r="E151" s="7"/>
      <c r="F151" s="7"/>
      <c r="G151" s="7"/>
      <c r="H151" s="7"/>
      <c r="I151" s="13"/>
      <c r="J151" s="13"/>
      <c r="K151" s="7"/>
      <c r="L151" s="7"/>
      <c r="M151" s="7"/>
      <c r="N151" s="7"/>
      <c r="O151" s="7"/>
    </row>
    <row r="152" spans="1:15" x14ac:dyDescent="0.2">
      <c r="A152" s="3"/>
      <c r="B152" s="7"/>
      <c r="D152" s="7"/>
      <c r="E152" s="7"/>
      <c r="F152" s="7"/>
      <c r="G152" s="7"/>
      <c r="H152" s="7"/>
      <c r="I152" s="13"/>
      <c r="J152" s="13"/>
      <c r="K152" s="7"/>
      <c r="L152" s="7"/>
      <c r="M152" s="7"/>
      <c r="N152" s="7"/>
      <c r="O152" s="7"/>
    </row>
    <row r="153" spans="1:15" x14ac:dyDescent="0.2">
      <c r="A153" s="4"/>
      <c r="B153" s="8"/>
      <c r="D153" s="8"/>
      <c r="E153" s="8"/>
      <c r="F153" s="8"/>
      <c r="G153" s="8"/>
      <c r="H153" s="8"/>
      <c r="I153" s="13"/>
      <c r="J153" s="13"/>
      <c r="K153" s="8"/>
      <c r="L153" s="8"/>
      <c r="M153" s="8"/>
      <c r="N153" s="8"/>
      <c r="O153" s="8"/>
    </row>
    <row r="154" spans="1:15" x14ac:dyDescent="0.2">
      <c r="A154" s="4"/>
      <c r="B154" s="8"/>
      <c r="D154" s="8"/>
      <c r="E154" s="8"/>
      <c r="F154" s="8"/>
      <c r="G154" s="8"/>
      <c r="H154" s="8"/>
      <c r="I154" s="13"/>
      <c r="J154" s="13"/>
      <c r="K154" s="8"/>
      <c r="L154" s="8"/>
      <c r="M154" s="8"/>
      <c r="N154" s="8"/>
      <c r="O154" s="8"/>
    </row>
    <row r="155" spans="1:15" x14ac:dyDescent="0.2">
      <c r="A155" s="4"/>
      <c r="B155" s="8"/>
      <c r="D155" s="8"/>
      <c r="E155" s="8"/>
      <c r="F155" s="8"/>
      <c r="G155" s="8"/>
      <c r="H155" s="8"/>
      <c r="I155" s="13"/>
      <c r="J155" s="13"/>
      <c r="K155" s="8"/>
      <c r="L155" s="8"/>
      <c r="M155" s="8"/>
      <c r="N155" s="8"/>
      <c r="O155" s="8"/>
    </row>
    <row r="156" spans="1:15" x14ac:dyDescent="0.2">
      <c r="A156" s="4"/>
      <c r="B156" s="8"/>
      <c r="D156" s="8"/>
      <c r="E156" s="8"/>
      <c r="F156" s="8"/>
      <c r="G156" s="8"/>
      <c r="H156" s="8"/>
      <c r="I156" s="13"/>
      <c r="J156" s="13"/>
      <c r="K156" s="8"/>
      <c r="L156" s="8"/>
      <c r="M156" s="8"/>
      <c r="N156" s="8"/>
      <c r="O156" s="8"/>
    </row>
    <row r="157" spans="1:15" x14ac:dyDescent="0.2">
      <c r="A157" s="4"/>
      <c r="B157" s="8"/>
      <c r="D157" s="8"/>
      <c r="E157" s="8"/>
      <c r="F157" s="8"/>
      <c r="G157" s="8"/>
      <c r="H157" s="8"/>
      <c r="I157" s="13"/>
      <c r="J157" s="13"/>
      <c r="K157" s="8"/>
      <c r="L157" s="8"/>
      <c r="M157" s="8"/>
      <c r="N157" s="8"/>
      <c r="O157" s="8"/>
    </row>
    <row r="158" spans="1:15" x14ac:dyDescent="0.2">
      <c r="A158" s="4"/>
      <c r="B158" s="8"/>
      <c r="D158" s="8"/>
      <c r="E158" s="8"/>
      <c r="F158" s="8"/>
      <c r="G158" s="8"/>
      <c r="H158" s="8"/>
      <c r="I158" s="13"/>
      <c r="J158" s="13"/>
      <c r="K158" s="8"/>
      <c r="L158" s="8"/>
      <c r="M158" s="8"/>
      <c r="N158" s="8"/>
      <c r="O158" s="8"/>
    </row>
    <row r="159" spans="1:15" x14ac:dyDescent="0.2">
      <c r="A159" s="4"/>
      <c r="B159" s="8"/>
      <c r="D159" s="8"/>
      <c r="E159" s="8"/>
      <c r="F159" s="8"/>
      <c r="G159" s="8"/>
      <c r="H159" s="8"/>
      <c r="I159" s="13"/>
      <c r="J159" s="13"/>
      <c r="K159" s="8"/>
      <c r="L159" s="8"/>
      <c r="M159" s="8"/>
      <c r="N159" s="8"/>
      <c r="O159" s="8"/>
    </row>
    <row r="160" spans="1:15" x14ac:dyDescent="0.2">
      <c r="A160" s="4"/>
      <c r="B160" s="8"/>
      <c r="D160" s="8"/>
      <c r="E160" s="8"/>
      <c r="F160" s="8"/>
      <c r="G160" s="8"/>
      <c r="H160" s="8"/>
      <c r="I160" s="13"/>
      <c r="J160" s="13"/>
      <c r="K160" s="8"/>
      <c r="L160" s="8"/>
      <c r="M160" s="8"/>
      <c r="N160" s="8"/>
      <c r="O160" s="8"/>
    </row>
    <row r="161" spans="1:15" x14ac:dyDescent="0.2">
      <c r="A161" s="4"/>
      <c r="B161" s="8"/>
      <c r="D161" s="8"/>
      <c r="E161" s="8"/>
      <c r="F161" s="8"/>
      <c r="G161" s="8"/>
      <c r="H161" s="8"/>
      <c r="I161" s="13"/>
      <c r="J161" s="13"/>
      <c r="K161" s="8"/>
      <c r="L161" s="8"/>
      <c r="M161" s="8"/>
      <c r="N161" s="8"/>
      <c r="O161" s="8"/>
    </row>
    <row r="162" spans="1:15" x14ac:dyDescent="0.2">
      <c r="A162" s="5"/>
      <c r="B162" s="9"/>
      <c r="D162" s="9"/>
      <c r="E162" s="9"/>
      <c r="F162" s="9"/>
      <c r="G162" s="9"/>
      <c r="H162" s="9"/>
      <c r="I162" s="13"/>
      <c r="J162" s="13"/>
      <c r="K162" s="9"/>
      <c r="L162" s="9"/>
      <c r="M162" s="9"/>
      <c r="N162" s="9"/>
      <c r="O162" s="9"/>
    </row>
    <row r="163" spans="1:15" x14ac:dyDescent="0.2">
      <c r="A163" s="5"/>
      <c r="B163" s="9"/>
      <c r="D163" s="9"/>
      <c r="E163" s="9"/>
      <c r="F163" s="9"/>
      <c r="G163" s="9"/>
      <c r="H163" s="9"/>
      <c r="I163" s="13"/>
      <c r="J163" s="13"/>
      <c r="K163" s="9"/>
      <c r="L163" s="9"/>
      <c r="M163" s="9"/>
      <c r="N163" s="9"/>
      <c r="O163" s="9"/>
    </row>
    <row r="164" spans="1:15" x14ac:dyDescent="0.2">
      <c r="A164" s="5"/>
      <c r="B164" s="9"/>
      <c r="D164" s="9"/>
      <c r="E164" s="9"/>
      <c r="F164" s="9"/>
      <c r="G164" s="9"/>
      <c r="H164" s="9"/>
      <c r="I164" s="13"/>
      <c r="J164" s="13"/>
      <c r="K164" s="9"/>
      <c r="L164" s="9"/>
      <c r="M164" s="9"/>
      <c r="N164" s="9"/>
      <c r="O164" s="9"/>
    </row>
    <row r="165" spans="1:15" x14ac:dyDescent="0.2">
      <c r="A165" s="5"/>
      <c r="B165" s="9"/>
      <c r="D165" s="9"/>
      <c r="E165" s="9"/>
      <c r="F165" s="9"/>
      <c r="G165" s="9"/>
      <c r="H165" s="9"/>
      <c r="I165" s="13"/>
      <c r="J165" s="13"/>
      <c r="K165" s="9"/>
      <c r="L165" s="9"/>
      <c r="M165" s="9"/>
      <c r="N165" s="9"/>
      <c r="O165" s="9"/>
    </row>
    <row r="166" spans="1:15" x14ac:dyDescent="0.2">
      <c r="A166" s="5"/>
      <c r="B166" s="9"/>
      <c r="D166" s="9"/>
      <c r="E166" s="9"/>
      <c r="F166" s="9"/>
      <c r="G166" s="9"/>
      <c r="H166" s="9"/>
      <c r="I166" s="13"/>
      <c r="J166" s="13"/>
      <c r="K166" s="9"/>
      <c r="L166" s="9"/>
      <c r="M166" s="9"/>
      <c r="N166" s="9"/>
      <c r="O166" s="9"/>
    </row>
    <row r="167" spans="1:15" x14ac:dyDescent="0.2">
      <c r="A167" s="5"/>
      <c r="B167" s="9"/>
      <c r="D167" s="9"/>
      <c r="E167" s="9"/>
      <c r="F167" s="9"/>
      <c r="G167" s="9"/>
      <c r="H167" s="9"/>
      <c r="I167" s="13"/>
      <c r="J167" s="13"/>
      <c r="K167" s="9"/>
      <c r="L167" s="9"/>
      <c r="M167" s="9"/>
      <c r="N167" s="9"/>
      <c r="O167" s="9"/>
    </row>
    <row r="168" spans="1:15" x14ac:dyDescent="0.2">
      <c r="A168" s="5"/>
      <c r="B168" s="9"/>
      <c r="D168" s="9"/>
      <c r="E168" s="9"/>
      <c r="F168" s="9"/>
      <c r="G168" s="9"/>
      <c r="H168" s="9"/>
      <c r="I168" s="13"/>
      <c r="J168" s="13"/>
      <c r="K168" s="9"/>
      <c r="L168" s="9"/>
      <c r="M168" s="9"/>
      <c r="N168" s="9"/>
      <c r="O168" s="9"/>
    </row>
    <row r="169" spans="1:15" x14ac:dyDescent="0.2">
      <c r="A169" s="5"/>
      <c r="B169" s="9"/>
      <c r="D169" s="9"/>
      <c r="E169" s="9"/>
      <c r="F169" s="9"/>
      <c r="G169" s="9"/>
      <c r="H169" s="9"/>
      <c r="I169" s="13"/>
      <c r="J169" s="13"/>
      <c r="K169" s="9"/>
      <c r="L169" s="9"/>
      <c r="M169" s="9"/>
      <c r="N169" s="9"/>
      <c r="O169" s="9"/>
    </row>
    <row r="170" spans="1:15" x14ac:dyDescent="0.2">
      <c r="A170" s="5"/>
      <c r="B170" s="9"/>
      <c r="D170" s="9"/>
      <c r="E170" s="9"/>
      <c r="F170" s="9"/>
      <c r="G170" s="9"/>
      <c r="H170" s="9"/>
      <c r="I170" s="13"/>
      <c r="J170" s="13"/>
      <c r="K170" s="9"/>
      <c r="L170" s="9"/>
      <c r="M170" s="9"/>
      <c r="N170" s="9"/>
      <c r="O170" s="9"/>
    </row>
    <row r="171" spans="1:15" x14ac:dyDescent="0.2">
      <c r="A171" s="3"/>
      <c r="B171" s="7"/>
      <c r="D171" s="7"/>
      <c r="E171" s="7"/>
      <c r="F171" s="7"/>
      <c r="G171" s="7"/>
      <c r="H171" s="7"/>
      <c r="I171" s="13"/>
      <c r="J171" s="13"/>
      <c r="K171" s="7"/>
      <c r="L171" s="7"/>
      <c r="M171" s="7"/>
      <c r="N171" s="7"/>
      <c r="O171" s="7"/>
    </row>
    <row r="172" spans="1:15" x14ac:dyDescent="0.2">
      <c r="A172" s="3"/>
      <c r="B172" s="7"/>
      <c r="D172" s="7"/>
      <c r="E172" s="7"/>
      <c r="F172" s="7"/>
      <c r="G172" s="7"/>
      <c r="H172" s="7"/>
      <c r="I172" s="13"/>
      <c r="J172" s="13"/>
      <c r="K172" s="7"/>
      <c r="L172" s="7"/>
      <c r="M172" s="7"/>
      <c r="N172" s="7"/>
      <c r="O172" s="7"/>
    </row>
    <row r="173" spans="1:15" x14ac:dyDescent="0.2">
      <c r="A173" s="3"/>
      <c r="B173" s="7"/>
      <c r="D173" s="7"/>
      <c r="E173" s="7"/>
      <c r="F173" s="7"/>
      <c r="G173" s="7"/>
      <c r="H173" s="7"/>
      <c r="I173" s="13"/>
      <c r="J173" s="13"/>
      <c r="K173" s="7"/>
      <c r="L173" s="7"/>
      <c r="M173" s="7"/>
      <c r="N173" s="7"/>
      <c r="O173" s="7"/>
    </row>
    <row r="174" spans="1:15" x14ac:dyDescent="0.2">
      <c r="A174" s="3"/>
      <c r="B174" s="7"/>
      <c r="D174" s="7"/>
      <c r="E174" s="7"/>
      <c r="F174" s="7"/>
      <c r="G174" s="7"/>
      <c r="H174" s="7"/>
      <c r="I174" s="13"/>
      <c r="J174" s="13"/>
      <c r="K174" s="7"/>
      <c r="L174" s="7"/>
      <c r="M174" s="7"/>
      <c r="N174" s="7"/>
      <c r="O174" s="7"/>
    </row>
    <row r="175" spans="1:15" x14ac:dyDescent="0.2">
      <c r="A175" s="3"/>
      <c r="B175" s="7"/>
      <c r="D175" s="7"/>
      <c r="E175" s="7"/>
      <c r="F175" s="7"/>
      <c r="G175" s="7"/>
      <c r="H175" s="7"/>
      <c r="I175" s="13"/>
      <c r="J175" s="13"/>
      <c r="K175" s="7"/>
      <c r="L175" s="7"/>
      <c r="M175" s="7"/>
      <c r="N175" s="7"/>
      <c r="O175" s="7"/>
    </row>
    <row r="176" spans="1:15" x14ac:dyDescent="0.2">
      <c r="A176" s="3"/>
      <c r="B176" s="7"/>
      <c r="D176" s="7"/>
      <c r="E176" s="7"/>
      <c r="F176" s="7"/>
      <c r="G176" s="7"/>
      <c r="H176" s="7"/>
      <c r="I176" s="13"/>
      <c r="J176" s="13"/>
      <c r="K176" s="7"/>
      <c r="L176" s="7"/>
      <c r="M176" s="7"/>
      <c r="N176" s="7"/>
      <c r="O176" s="7"/>
    </row>
    <row r="177" spans="1:15" x14ac:dyDescent="0.2">
      <c r="A177" s="3"/>
      <c r="B177" s="7"/>
      <c r="D177" s="7"/>
      <c r="E177" s="7"/>
      <c r="F177" s="7"/>
      <c r="G177" s="7"/>
      <c r="H177" s="7"/>
      <c r="I177" s="13"/>
      <c r="J177" s="13"/>
      <c r="K177" s="7"/>
      <c r="L177" s="7"/>
      <c r="M177" s="7"/>
      <c r="N177" s="7"/>
      <c r="O177" s="7"/>
    </row>
    <row r="178" spans="1:15" x14ac:dyDescent="0.2">
      <c r="A178" s="3"/>
      <c r="B178" s="7"/>
      <c r="D178" s="7"/>
      <c r="E178" s="7"/>
      <c r="F178" s="7"/>
      <c r="G178" s="7"/>
      <c r="H178" s="7"/>
      <c r="I178" s="13"/>
      <c r="J178" s="13"/>
      <c r="K178" s="7"/>
      <c r="L178" s="7"/>
      <c r="M178" s="7"/>
      <c r="N178" s="7"/>
      <c r="O178" s="7"/>
    </row>
    <row r="179" spans="1:15" x14ac:dyDescent="0.2">
      <c r="A179" s="3"/>
      <c r="B179" s="7"/>
      <c r="D179" s="7"/>
      <c r="E179" s="7"/>
      <c r="F179" s="7"/>
      <c r="G179" s="7"/>
      <c r="H179" s="7"/>
      <c r="I179" s="13"/>
      <c r="J179" s="13"/>
      <c r="K179" s="7"/>
      <c r="L179" s="7"/>
      <c r="M179" s="7"/>
      <c r="N179" s="7"/>
      <c r="O179" s="7"/>
    </row>
    <row r="180" spans="1:15" x14ac:dyDescent="0.2">
      <c r="A180" s="4"/>
      <c r="B180" s="8"/>
      <c r="D180" s="8"/>
      <c r="E180" s="8"/>
      <c r="F180" s="8"/>
      <c r="G180" s="8"/>
      <c r="H180" s="8"/>
      <c r="I180" s="13"/>
      <c r="J180" s="13"/>
      <c r="K180" s="8"/>
      <c r="L180" s="8"/>
      <c r="M180" s="8"/>
      <c r="N180" s="8"/>
      <c r="O180" s="8"/>
    </row>
    <row r="181" spans="1:15" x14ac:dyDescent="0.2">
      <c r="A181" s="4"/>
      <c r="B181" s="8"/>
      <c r="D181" s="8"/>
      <c r="E181" s="8"/>
      <c r="F181" s="8"/>
      <c r="G181" s="8"/>
      <c r="H181" s="8"/>
      <c r="I181" s="13"/>
      <c r="J181" s="13"/>
      <c r="K181" s="8"/>
      <c r="L181" s="8"/>
      <c r="M181" s="8"/>
      <c r="N181" s="8"/>
      <c r="O181" s="8"/>
    </row>
    <row r="182" spans="1:15" x14ac:dyDescent="0.2">
      <c r="A182" s="4"/>
      <c r="B182" s="8"/>
      <c r="D182" s="8"/>
      <c r="E182" s="8"/>
      <c r="F182" s="8"/>
      <c r="G182" s="8"/>
      <c r="H182" s="8"/>
      <c r="I182" s="13"/>
      <c r="J182" s="13"/>
      <c r="K182" s="8"/>
      <c r="L182" s="8"/>
      <c r="M182" s="8"/>
      <c r="N182" s="8"/>
      <c r="O182" s="8"/>
    </row>
    <row r="183" spans="1:15" x14ac:dyDescent="0.2">
      <c r="A183" s="4"/>
      <c r="B183" s="8"/>
      <c r="D183" s="8"/>
      <c r="E183" s="8"/>
      <c r="F183" s="8"/>
      <c r="G183" s="8"/>
      <c r="H183" s="8"/>
      <c r="I183" s="13"/>
      <c r="J183" s="13"/>
      <c r="K183" s="8"/>
      <c r="L183" s="8"/>
      <c r="M183" s="8"/>
      <c r="N183" s="8"/>
      <c r="O183" s="8"/>
    </row>
    <row r="184" spans="1:15" x14ac:dyDescent="0.2">
      <c r="A184" s="4"/>
      <c r="B184" s="8"/>
      <c r="D184" s="8"/>
      <c r="E184" s="8"/>
      <c r="F184" s="8"/>
      <c r="G184" s="8"/>
      <c r="H184" s="8"/>
      <c r="I184" s="13"/>
      <c r="J184" s="13"/>
      <c r="K184" s="8"/>
      <c r="L184" s="8"/>
      <c r="M184" s="8"/>
      <c r="N184" s="8"/>
      <c r="O184" s="8"/>
    </row>
    <row r="185" spans="1:15" x14ac:dyDescent="0.2">
      <c r="A185" s="4"/>
      <c r="B185" s="8"/>
      <c r="D185" s="8"/>
      <c r="E185" s="8"/>
      <c r="F185" s="8"/>
      <c r="G185" s="8"/>
      <c r="H185" s="8"/>
      <c r="I185" s="13"/>
      <c r="J185" s="13"/>
      <c r="K185" s="8"/>
      <c r="L185" s="8"/>
      <c r="M185" s="8"/>
      <c r="N185" s="8"/>
      <c r="O185" s="8"/>
    </row>
    <row r="186" spans="1:15" x14ac:dyDescent="0.2">
      <c r="A186" s="4"/>
      <c r="B186" s="8"/>
      <c r="D186" s="8"/>
      <c r="E186" s="8"/>
      <c r="F186" s="8"/>
      <c r="G186" s="8"/>
      <c r="H186" s="8"/>
      <c r="I186" s="13"/>
      <c r="J186" s="13"/>
      <c r="K186" s="8"/>
      <c r="L186" s="8"/>
      <c r="M186" s="8"/>
      <c r="N186" s="8"/>
      <c r="O186" s="8"/>
    </row>
    <row r="187" spans="1:15" x14ac:dyDescent="0.2">
      <c r="A187" s="4"/>
      <c r="B187" s="8"/>
      <c r="D187" s="8"/>
      <c r="E187" s="8"/>
      <c r="F187" s="8"/>
      <c r="G187" s="8"/>
      <c r="H187" s="8"/>
      <c r="I187" s="13"/>
      <c r="J187" s="13"/>
      <c r="K187" s="8"/>
      <c r="L187" s="8"/>
      <c r="M187" s="8"/>
      <c r="N187" s="8"/>
      <c r="O187" s="8"/>
    </row>
    <row r="188" spans="1:15" x14ac:dyDescent="0.2">
      <c r="A188" s="4"/>
      <c r="B188" s="8"/>
      <c r="D188" s="8"/>
      <c r="E188" s="8"/>
      <c r="F188" s="8"/>
      <c r="G188" s="8"/>
      <c r="H188" s="8"/>
      <c r="I188" s="13"/>
      <c r="J188" s="13"/>
      <c r="K188" s="8"/>
      <c r="L188" s="8"/>
      <c r="M188" s="8"/>
      <c r="N188" s="8"/>
      <c r="O188" s="8"/>
    </row>
    <row r="189" spans="1:15" x14ac:dyDescent="0.2">
      <c r="A189" s="4"/>
      <c r="B189" s="8"/>
      <c r="D189" s="8"/>
      <c r="E189" s="8"/>
      <c r="F189" s="8"/>
      <c r="G189" s="8"/>
      <c r="H189" s="8"/>
      <c r="I189" s="13"/>
      <c r="J189" s="13"/>
      <c r="K189" s="8"/>
      <c r="L189" s="8"/>
      <c r="M189" s="8"/>
      <c r="N189" s="8"/>
      <c r="O189" s="8"/>
    </row>
  </sheetData>
  <mergeCells count="12">
    <mergeCell ref="F88:H88"/>
    <mergeCell ref="F16:I16"/>
    <mergeCell ref="F21:I21"/>
    <mergeCell ref="F26:I26"/>
    <mergeCell ref="A46:C46"/>
    <mergeCell ref="A86:B86"/>
    <mergeCell ref="F41:I41"/>
    <mergeCell ref="F1:K1"/>
    <mergeCell ref="F6:I6"/>
    <mergeCell ref="F11:I11"/>
    <mergeCell ref="F31:I31"/>
    <mergeCell ref="F36:I36"/>
  </mergeCells>
  <hyperlinks>
    <hyperlink ref="C93" r:id="rId1" xr:uid="{CF9C019F-3E6D-C143-88B5-8ACB7B18DC78}"/>
    <hyperlink ref="C94" r:id="rId2" xr:uid="{F1D554B6-42B5-9046-98B5-5EE00438AF19}"/>
    <hyperlink ref="C95" r:id="rId3" xr:uid="{6CC82BE2-B7B8-2142-9811-0C7056C6F8FC}"/>
    <hyperlink ref="C90" r:id="rId4" xr:uid="{DBB37C2B-23F7-4541-B9A3-05D189F885D5}"/>
    <hyperlink ref="C91" r:id="rId5" xr:uid="{B0C43173-9EAC-3949-8C18-C54D1E8FC353}"/>
    <hyperlink ref="C92" r:id="rId6" xr:uid="{3C725CE2-4540-4E48-BE9D-2368573D6685}"/>
    <hyperlink ref="C96" r:id="rId7" xr:uid="{431C7BB7-CCCC-6148-B77D-3EDB85B7EE8C}"/>
    <hyperlink ref="C97" r:id="rId8" xr:uid="{2D24E61A-C534-384C-AD39-F739D549EB84}"/>
    <hyperlink ref="C98" r:id="rId9" xr:uid="{DBD4E3F4-125F-A04B-B987-0957FCCABF8A}"/>
    <hyperlink ref="C99" r:id="rId10" xr:uid="{72BF9444-4D36-9346-8CEC-D6691B8D2AC6}"/>
    <hyperlink ref="C100" r:id="rId11" xr:uid="{EB64F75F-AC2A-DC47-B863-780B3D59A1F3}"/>
    <hyperlink ref="C101" r:id="rId12" xr:uid="{78D03309-04DE-714E-A534-3DD23D6F41DB}"/>
    <hyperlink ref="C102" r:id="rId13" xr:uid="{04199506-112E-C34F-809C-51EBF0CB3EA0}"/>
    <hyperlink ref="C103" r:id="rId14" xr:uid="{9095B503-0E79-E14F-B68F-622FC2B7274E}"/>
    <hyperlink ref="C104" r:id="rId15" xr:uid="{D95DB4DF-AE67-AC4D-80E5-64B3612BC6D3}"/>
    <hyperlink ref="C105" r:id="rId16" xr:uid="{02ECE670-6E62-1A40-ADE5-DCC9C8E76AD5}"/>
    <hyperlink ref="C106" r:id="rId17" xr:uid="{F0161EC0-FC30-3840-9BAF-EDBC14EAC510}"/>
    <hyperlink ref="C107" r:id="rId18" xr:uid="{AB03DB09-FCEE-484B-A129-9FA1EE91999D}"/>
    <hyperlink ref="C108" r:id="rId19" xr:uid="{EA8B45F7-1A31-934F-BB7C-69BB2B37F254}"/>
    <hyperlink ref="C109" r:id="rId20" xr:uid="{68761D67-B8BD-E24E-A6F1-6752C45F4990}"/>
    <hyperlink ref="C110" r:id="rId21" xr:uid="{8CD07224-405A-7F44-9194-E013D1BEB59A}"/>
    <hyperlink ref="C111" r:id="rId22" xr:uid="{B4B31931-CD50-C64B-85A0-929DBD446F37}"/>
    <hyperlink ref="C112" r:id="rId23" xr:uid="{96DCFA73-FF4B-F041-8B65-E8FF0DBAF264}"/>
    <hyperlink ref="C113" r:id="rId24" xr:uid="{057CA42D-80E2-9C4A-A3E3-2DDF3DF882D8}"/>
    <hyperlink ref="C114" r:id="rId25" xr:uid="{C2F1FF98-338C-7945-A78E-89A8235346AA}"/>
    <hyperlink ref="C115" r:id="rId26" xr:uid="{C4F4A01F-E204-F44E-95BD-D7D7AAF01FE5}"/>
    <hyperlink ref="C116" r:id="rId27" xr:uid="{501E7A89-EFBB-654B-944D-A830CE6447F2}"/>
    <hyperlink ref="C117" r:id="rId28" xr:uid="{C6894019-695B-D84D-99EE-33DB78E147C5}"/>
    <hyperlink ref="C118" r:id="rId29" xr:uid="{27C8C804-A109-CC48-A53F-3996FC3922E1}"/>
    <hyperlink ref="C119" r:id="rId30" xr:uid="{3119D986-AAE3-5142-86B6-1F2D559EC270}"/>
    <hyperlink ref="C120" r:id="rId31" xr:uid="{3C043E36-D8C9-A845-8D6E-AE00BEC45013}"/>
    <hyperlink ref="C121" r:id="rId32" xr:uid="{1F7DED7C-5BE4-2741-A03B-AA42B54F0FDA}"/>
    <hyperlink ref="C122" r:id="rId33" xr:uid="{B691F284-83D1-5F43-82F0-C99AF43FA11F}"/>
    <hyperlink ref="C123" r:id="rId34" xr:uid="{D46B5431-1681-1B45-8FA6-6C9EFD638E69}"/>
    <hyperlink ref="C124" r:id="rId35" xr:uid="{3336B55C-F578-664E-B811-1778F3F8214A}"/>
    <hyperlink ref="C125" r:id="rId36" xr:uid="{88C924B5-50ED-6A4D-9270-F62A0E3DE4F0}"/>
    <hyperlink ref="C126" r:id="rId37" xr:uid="{50EED3A7-DE54-E44B-BD66-1303414F147E}"/>
  </hyperlinks>
  <pageMargins left="0.7" right="0.7" top="0.75" bottom="0.75" header="0.3" footer="0.3"/>
  <drawing r:id="rId3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6A4F8-B34C-0C4C-B9AA-3F8A7B0FA34C}">
  <sheetPr codeName="Sheet7"/>
  <dimension ref="A1:V189"/>
  <sheetViews>
    <sheetView topLeftCell="A105" zoomScale="120" zoomScaleNormal="120" workbookViewId="0">
      <selection activeCell="B108" sqref="B108"/>
    </sheetView>
  </sheetViews>
  <sheetFormatPr baseColWidth="10" defaultRowHeight="19" x14ac:dyDescent="0.2"/>
  <cols>
    <col min="1" max="3" width="30.83203125" style="1" customWidth="1"/>
    <col min="4" max="5" width="10.83203125" style="1" customWidth="1"/>
    <col min="6" max="6" width="30.83203125" style="1" customWidth="1"/>
    <col min="7" max="7" width="10.83203125" style="1" customWidth="1"/>
    <col min="8" max="8" width="30.83203125" style="1" customWidth="1"/>
    <col min="9" max="14" width="10.83203125" style="1" customWidth="1"/>
    <col min="15" max="15" width="30.83203125" style="1" customWidth="1"/>
    <col min="16" max="22" width="10.83203125" style="1" customWidth="1"/>
    <col min="23" max="36" width="30.83203125" style="1" customWidth="1"/>
    <col min="37" max="37" width="10.83203125" style="1"/>
    <col min="38" max="40" width="30.83203125" style="1" customWidth="1"/>
    <col min="41" max="41" width="10.83203125" style="1"/>
    <col min="42" max="44" width="30.83203125" style="1" customWidth="1"/>
    <col min="45" max="45" width="10.83203125" style="1"/>
    <col min="46" max="48" width="30.83203125" style="1" customWidth="1"/>
    <col min="49" max="16384" width="10.83203125" style="1"/>
  </cols>
  <sheetData>
    <row r="1" spans="6:15" ht="20" customHeight="1" x14ac:dyDescent="0.2">
      <c r="F1" s="42" t="s">
        <v>110</v>
      </c>
      <c r="G1" s="43"/>
      <c r="H1" s="43"/>
      <c r="I1" s="43"/>
      <c r="J1" s="43"/>
      <c r="K1" s="44"/>
      <c r="L1" s="22"/>
      <c r="M1" s="40" t="s">
        <v>172</v>
      </c>
      <c r="N1" s="39" t="s">
        <v>173</v>
      </c>
      <c r="O1" s="39" t="s">
        <v>174</v>
      </c>
    </row>
    <row r="2" spans="6:15" ht="20" x14ac:dyDescent="0.2">
      <c r="F2" s="4" t="s">
        <v>3</v>
      </c>
      <c r="G2" s="4"/>
      <c r="H2" s="4" t="s">
        <v>109</v>
      </c>
      <c r="I2" s="4" t="s">
        <v>1</v>
      </c>
      <c r="J2" s="4"/>
      <c r="K2" s="4" t="s">
        <v>2</v>
      </c>
      <c r="L2" s="23"/>
      <c r="M2" s="33">
        <v>1</v>
      </c>
      <c r="N2" s="34">
        <v>9</v>
      </c>
      <c r="O2" s="34" t="s">
        <v>178</v>
      </c>
    </row>
    <row r="3" spans="6:15" ht="20" x14ac:dyDescent="0.2">
      <c r="F3" s="4" t="s">
        <v>4</v>
      </c>
      <c r="G3" s="4"/>
      <c r="H3" s="33" t="s">
        <v>145</v>
      </c>
      <c r="I3" s="4">
        <v>0</v>
      </c>
      <c r="J3" s="4"/>
      <c r="K3" s="4">
        <v>0</v>
      </c>
      <c r="L3" s="23"/>
      <c r="M3" s="33">
        <v>5</v>
      </c>
      <c r="N3" s="34">
        <v>9</v>
      </c>
      <c r="O3" s="34" t="s">
        <v>179</v>
      </c>
    </row>
    <row r="4" spans="6:15" ht="20" x14ac:dyDescent="0.2">
      <c r="F4" s="4" t="s">
        <v>6</v>
      </c>
      <c r="G4" s="4"/>
      <c r="H4" s="33" t="s">
        <v>146</v>
      </c>
      <c r="I4" s="4">
        <v>1</v>
      </c>
      <c r="J4" s="4"/>
      <c r="K4" s="4">
        <v>0</v>
      </c>
      <c r="L4" s="23"/>
      <c r="M4" s="33">
        <v>9</v>
      </c>
      <c r="N4" s="34">
        <v>9</v>
      </c>
      <c r="O4" s="34" t="s">
        <v>180</v>
      </c>
    </row>
    <row r="5" spans="6:15" ht="20" x14ac:dyDescent="0.2">
      <c r="F5" s="4" t="s">
        <v>5</v>
      </c>
      <c r="G5" s="4"/>
      <c r="H5" s="33" t="s">
        <v>147</v>
      </c>
      <c r="I5" s="4">
        <v>2</v>
      </c>
      <c r="J5" s="4"/>
      <c r="K5" s="4">
        <v>0</v>
      </c>
      <c r="L5" s="23"/>
      <c r="M5" s="35">
        <v>13</v>
      </c>
      <c r="N5" s="36">
        <v>9</v>
      </c>
      <c r="O5" s="36" t="s">
        <v>175</v>
      </c>
    </row>
    <row r="6" spans="6:15" ht="19" customHeight="1" x14ac:dyDescent="0.2">
      <c r="F6" s="45" t="s">
        <v>111</v>
      </c>
      <c r="G6" s="46"/>
      <c r="H6" s="46"/>
      <c r="I6" s="47"/>
      <c r="J6" s="6"/>
      <c r="K6" s="5"/>
      <c r="L6" s="24"/>
      <c r="M6" s="35">
        <v>17</v>
      </c>
      <c r="N6" s="36">
        <v>9</v>
      </c>
      <c r="O6" s="36" t="s">
        <v>181</v>
      </c>
    </row>
    <row r="7" spans="6:15" ht="20" x14ac:dyDescent="0.2">
      <c r="F7" s="5" t="s">
        <v>3</v>
      </c>
      <c r="G7" s="5"/>
      <c r="H7" s="5" t="s">
        <v>109</v>
      </c>
      <c r="I7" s="5" t="s">
        <v>1</v>
      </c>
      <c r="J7" s="5"/>
      <c r="K7" s="5" t="s">
        <v>2</v>
      </c>
      <c r="L7" s="24"/>
      <c r="M7" s="35">
        <v>21</v>
      </c>
      <c r="N7" s="36">
        <v>9</v>
      </c>
      <c r="O7" s="36" t="s">
        <v>184</v>
      </c>
    </row>
    <row r="8" spans="6:15" ht="20" x14ac:dyDescent="0.2">
      <c r="F8" s="5" t="s">
        <v>19</v>
      </c>
      <c r="G8" s="5"/>
      <c r="H8" s="35" t="s">
        <v>148</v>
      </c>
      <c r="I8" s="5">
        <v>4</v>
      </c>
      <c r="J8" s="5"/>
      <c r="K8" s="5">
        <v>0</v>
      </c>
      <c r="L8" s="24"/>
      <c r="M8" s="37">
        <v>25</v>
      </c>
      <c r="N8" s="38">
        <v>9</v>
      </c>
      <c r="O8" s="38" t="s">
        <v>183</v>
      </c>
    </row>
    <row r="9" spans="6:15" ht="20" x14ac:dyDescent="0.2">
      <c r="F9" s="5" t="s">
        <v>15</v>
      </c>
      <c r="G9" s="5"/>
      <c r="H9" s="35" t="s">
        <v>149</v>
      </c>
      <c r="I9" s="5">
        <v>5</v>
      </c>
      <c r="J9" s="5"/>
      <c r="K9" s="5">
        <v>0</v>
      </c>
      <c r="L9" s="24"/>
      <c r="M9" s="37">
        <v>29</v>
      </c>
      <c r="N9" s="38">
        <v>9</v>
      </c>
      <c r="O9" s="38" t="s">
        <v>185</v>
      </c>
    </row>
    <row r="10" spans="6:15" ht="40" x14ac:dyDescent="0.2">
      <c r="F10" s="5" t="s">
        <v>16</v>
      </c>
      <c r="G10" s="5"/>
      <c r="H10" s="35" t="s">
        <v>150</v>
      </c>
      <c r="I10" s="5">
        <v>6</v>
      </c>
      <c r="J10" s="5"/>
      <c r="K10" s="5">
        <v>0</v>
      </c>
      <c r="L10" s="24"/>
      <c r="M10" s="37">
        <v>33</v>
      </c>
      <c r="N10" s="38">
        <v>9</v>
      </c>
      <c r="O10" s="38" t="s">
        <v>176</v>
      </c>
    </row>
    <row r="11" spans="6:15" ht="19" customHeight="1" x14ac:dyDescent="0.2">
      <c r="F11" s="48" t="s">
        <v>112</v>
      </c>
      <c r="G11" s="49"/>
      <c r="H11" s="49"/>
      <c r="I11" s="50"/>
      <c r="J11" s="2"/>
      <c r="K11" s="3"/>
      <c r="L11" s="20"/>
    </row>
    <row r="12" spans="6:15" ht="20" x14ac:dyDescent="0.2">
      <c r="F12" s="3" t="s">
        <v>3</v>
      </c>
      <c r="G12" s="3"/>
      <c r="H12" s="3" t="s">
        <v>109</v>
      </c>
      <c r="I12" s="3" t="s">
        <v>1</v>
      </c>
      <c r="J12" s="3"/>
      <c r="K12" s="3" t="s">
        <v>2</v>
      </c>
      <c r="L12" s="20"/>
    </row>
    <row r="13" spans="6:15" ht="20" x14ac:dyDescent="0.2">
      <c r="F13" s="3" t="s">
        <v>9</v>
      </c>
      <c r="G13" s="3"/>
      <c r="H13" s="37" t="s">
        <v>151</v>
      </c>
      <c r="I13" s="3">
        <v>8</v>
      </c>
      <c r="J13" s="3"/>
      <c r="K13" s="3">
        <v>0</v>
      </c>
      <c r="L13" s="20"/>
    </row>
    <row r="14" spans="6:15" ht="20" x14ac:dyDescent="0.2">
      <c r="F14" s="3" t="s">
        <v>10</v>
      </c>
      <c r="G14" s="3"/>
      <c r="H14" s="37" t="s">
        <v>152</v>
      </c>
      <c r="I14" s="3">
        <v>9</v>
      </c>
      <c r="J14" s="3"/>
      <c r="K14" s="3">
        <v>0</v>
      </c>
      <c r="L14" s="20"/>
    </row>
    <row r="15" spans="6:15" ht="20" x14ac:dyDescent="0.2">
      <c r="F15" s="3" t="s">
        <v>11</v>
      </c>
      <c r="G15" s="3"/>
      <c r="H15" s="37" t="s">
        <v>153</v>
      </c>
      <c r="I15" s="3">
        <v>10</v>
      </c>
      <c r="J15" s="3"/>
      <c r="K15" s="3">
        <v>0</v>
      </c>
      <c r="L15" s="20"/>
    </row>
    <row r="16" spans="6:15" ht="19" customHeight="1" x14ac:dyDescent="0.2">
      <c r="F16" s="42" t="s">
        <v>113</v>
      </c>
      <c r="G16" s="43"/>
      <c r="H16" s="43"/>
      <c r="I16" s="44"/>
      <c r="J16" s="21"/>
      <c r="K16" s="4"/>
      <c r="L16" s="23"/>
    </row>
    <row r="17" spans="6:12" ht="20" x14ac:dyDescent="0.2">
      <c r="F17" s="4" t="s">
        <v>3</v>
      </c>
      <c r="G17" s="4"/>
      <c r="H17" s="4" t="s">
        <v>109</v>
      </c>
      <c r="I17" s="4" t="s">
        <v>1</v>
      </c>
      <c r="J17" s="4"/>
      <c r="K17" s="4" t="s">
        <v>2</v>
      </c>
      <c r="L17" s="23"/>
    </row>
    <row r="18" spans="6:12" ht="20" x14ac:dyDescent="0.2">
      <c r="F18" s="4" t="s">
        <v>20</v>
      </c>
      <c r="G18" s="4"/>
      <c r="H18" s="33" t="s">
        <v>154</v>
      </c>
      <c r="I18" s="4">
        <v>12</v>
      </c>
      <c r="J18" s="4"/>
      <c r="K18" s="4">
        <v>0</v>
      </c>
      <c r="L18" s="23"/>
    </row>
    <row r="19" spans="6:12" ht="40" x14ac:dyDescent="0.2">
      <c r="F19" s="4" t="s">
        <v>22</v>
      </c>
      <c r="G19" s="4"/>
      <c r="H19" s="33" t="s">
        <v>155</v>
      </c>
      <c r="I19" s="4">
        <v>13</v>
      </c>
      <c r="J19" s="4"/>
      <c r="K19" s="4">
        <v>0</v>
      </c>
      <c r="L19" s="23"/>
    </row>
    <row r="20" spans="6:12" ht="20" x14ac:dyDescent="0.2">
      <c r="F20" s="4" t="s">
        <v>21</v>
      </c>
      <c r="G20" s="4"/>
      <c r="H20" s="33" t="s">
        <v>156</v>
      </c>
      <c r="I20" s="4">
        <v>14</v>
      </c>
      <c r="J20" s="4"/>
      <c r="K20" s="4">
        <v>0</v>
      </c>
      <c r="L20" s="23"/>
    </row>
    <row r="21" spans="6:12" ht="19" customHeight="1" x14ac:dyDescent="0.2">
      <c r="F21" s="45" t="s">
        <v>114</v>
      </c>
      <c r="G21" s="46"/>
      <c r="H21" s="46"/>
      <c r="I21" s="47"/>
      <c r="J21" s="6"/>
      <c r="K21" s="5"/>
      <c r="L21" s="24"/>
    </row>
    <row r="22" spans="6:12" ht="20" x14ac:dyDescent="0.2">
      <c r="F22" s="5" t="s">
        <v>3</v>
      </c>
      <c r="G22" s="5"/>
      <c r="H22" s="5" t="s">
        <v>109</v>
      </c>
      <c r="I22" s="5" t="s">
        <v>1</v>
      </c>
      <c r="J22" s="5"/>
      <c r="K22" s="5" t="s">
        <v>2</v>
      </c>
      <c r="L22" s="24"/>
    </row>
    <row r="23" spans="6:12" ht="20" x14ac:dyDescent="0.2">
      <c r="F23" s="5" t="s">
        <v>12</v>
      </c>
      <c r="G23" s="5"/>
      <c r="H23" s="35" t="s">
        <v>157</v>
      </c>
      <c r="I23" s="5">
        <v>16</v>
      </c>
      <c r="J23" s="5"/>
      <c r="K23" s="5">
        <v>0</v>
      </c>
      <c r="L23" s="24"/>
    </row>
    <row r="24" spans="6:12" ht="20" x14ac:dyDescent="0.2">
      <c r="F24" s="5" t="s">
        <v>13</v>
      </c>
      <c r="G24" s="5"/>
      <c r="H24" s="35" t="s">
        <v>158</v>
      </c>
      <c r="I24" s="5">
        <v>17</v>
      </c>
      <c r="J24" s="5"/>
      <c r="K24" s="5">
        <v>0</v>
      </c>
      <c r="L24" s="24"/>
    </row>
    <row r="25" spans="6:12" ht="20" x14ac:dyDescent="0.2">
      <c r="F25" s="5" t="s">
        <v>14</v>
      </c>
      <c r="G25" s="5"/>
      <c r="H25" s="35" t="s">
        <v>159</v>
      </c>
      <c r="I25" s="5">
        <v>18</v>
      </c>
      <c r="J25" s="5"/>
      <c r="K25" s="5">
        <v>0</v>
      </c>
      <c r="L25" s="24"/>
    </row>
    <row r="26" spans="6:12" ht="19" customHeight="1" x14ac:dyDescent="0.2">
      <c r="F26" s="48" t="s">
        <v>115</v>
      </c>
      <c r="G26" s="49"/>
      <c r="H26" s="49"/>
      <c r="I26" s="50"/>
      <c r="J26" s="2"/>
      <c r="K26" s="3"/>
      <c r="L26" s="20"/>
    </row>
    <row r="27" spans="6:12" ht="20" x14ac:dyDescent="0.2">
      <c r="F27" s="3" t="s">
        <v>3</v>
      </c>
      <c r="G27" s="3"/>
      <c r="H27" s="3" t="s">
        <v>109</v>
      </c>
      <c r="I27" s="3" t="s">
        <v>1</v>
      </c>
      <c r="J27" s="3"/>
      <c r="K27" s="3" t="s">
        <v>2</v>
      </c>
      <c r="L27" s="20"/>
    </row>
    <row r="28" spans="6:12" ht="60" x14ac:dyDescent="0.2">
      <c r="F28" s="3" t="s">
        <v>97</v>
      </c>
      <c r="G28" s="3"/>
      <c r="H28" s="37" t="s">
        <v>160</v>
      </c>
      <c r="I28" s="3">
        <v>20</v>
      </c>
      <c r="J28" s="3"/>
      <c r="K28" s="3">
        <v>0</v>
      </c>
      <c r="L28" s="20"/>
    </row>
    <row r="29" spans="6:12" ht="60" x14ac:dyDescent="0.2">
      <c r="F29" s="3" t="s">
        <v>26</v>
      </c>
      <c r="G29" s="3"/>
      <c r="H29" s="37" t="s">
        <v>161</v>
      </c>
      <c r="I29" s="3">
        <v>21</v>
      </c>
      <c r="J29" s="3"/>
      <c r="K29" s="3">
        <v>0</v>
      </c>
      <c r="L29" s="20"/>
    </row>
    <row r="30" spans="6:12" ht="40" x14ac:dyDescent="0.2">
      <c r="F30" s="3" t="s">
        <v>25</v>
      </c>
      <c r="G30" s="3"/>
      <c r="H30" s="37" t="s">
        <v>162</v>
      </c>
      <c r="I30" s="3">
        <v>22</v>
      </c>
      <c r="J30" s="3"/>
      <c r="K30" s="3">
        <v>0</v>
      </c>
      <c r="L30" s="20"/>
    </row>
    <row r="31" spans="6:12" ht="19" customHeight="1" x14ac:dyDescent="0.2">
      <c r="F31" s="42" t="s">
        <v>116</v>
      </c>
      <c r="G31" s="43"/>
      <c r="H31" s="43"/>
      <c r="I31" s="44"/>
      <c r="J31" s="21"/>
      <c r="K31" s="4"/>
      <c r="L31" s="23"/>
    </row>
    <row r="32" spans="6:12" ht="20" x14ac:dyDescent="0.2">
      <c r="F32" s="4" t="s">
        <v>3</v>
      </c>
      <c r="G32" s="4"/>
      <c r="H32" s="4" t="s">
        <v>109</v>
      </c>
      <c r="I32" s="4" t="s">
        <v>1</v>
      </c>
      <c r="J32" s="4"/>
      <c r="K32" s="4" t="s">
        <v>2</v>
      </c>
      <c r="L32" s="23"/>
    </row>
    <row r="33" spans="1:12" ht="40" x14ac:dyDescent="0.2">
      <c r="F33" s="4" t="s">
        <v>98</v>
      </c>
      <c r="G33" s="4"/>
      <c r="H33" s="33" t="s">
        <v>163</v>
      </c>
      <c r="I33" s="4">
        <v>24</v>
      </c>
      <c r="J33" s="4"/>
      <c r="K33" s="4">
        <v>0</v>
      </c>
      <c r="L33" s="23"/>
    </row>
    <row r="34" spans="1:12" ht="20" x14ac:dyDescent="0.2">
      <c r="F34" s="4" t="s">
        <v>99</v>
      </c>
      <c r="G34" s="4"/>
      <c r="H34" s="33" t="s">
        <v>164</v>
      </c>
      <c r="I34" s="4">
        <v>25</v>
      </c>
      <c r="J34" s="4"/>
      <c r="K34" s="4">
        <v>0</v>
      </c>
      <c r="L34" s="23"/>
    </row>
    <row r="35" spans="1:12" ht="20" x14ac:dyDescent="0.2">
      <c r="F35" s="4" t="s">
        <v>100</v>
      </c>
      <c r="G35" s="4"/>
      <c r="H35" s="33" t="s">
        <v>165</v>
      </c>
      <c r="I35" s="4">
        <v>26</v>
      </c>
      <c r="J35" s="4"/>
      <c r="K35" s="4">
        <v>0</v>
      </c>
      <c r="L35" s="23"/>
    </row>
    <row r="36" spans="1:12" ht="19" customHeight="1" x14ac:dyDescent="0.2">
      <c r="F36" s="45" t="s">
        <v>117</v>
      </c>
      <c r="G36" s="46"/>
      <c r="H36" s="46"/>
      <c r="I36" s="47"/>
      <c r="J36" s="6"/>
      <c r="K36" s="5"/>
      <c r="L36" s="24"/>
    </row>
    <row r="37" spans="1:12" ht="20" x14ac:dyDescent="0.2">
      <c r="F37" s="5" t="s">
        <v>3</v>
      </c>
      <c r="G37" s="5"/>
      <c r="H37" s="5" t="s">
        <v>109</v>
      </c>
      <c r="I37" s="5" t="s">
        <v>1</v>
      </c>
      <c r="J37" s="5"/>
      <c r="K37" s="5" t="s">
        <v>2</v>
      </c>
      <c r="L37" s="24"/>
    </row>
    <row r="38" spans="1:12" ht="20" x14ac:dyDescent="0.2">
      <c r="F38" s="5" t="s">
        <v>101</v>
      </c>
      <c r="G38" s="5"/>
      <c r="H38" s="35" t="s">
        <v>166</v>
      </c>
      <c r="I38" s="5">
        <v>28</v>
      </c>
      <c r="J38" s="5"/>
      <c r="K38" s="5">
        <v>0</v>
      </c>
      <c r="L38" s="24"/>
    </row>
    <row r="39" spans="1:12" ht="20" x14ac:dyDescent="0.2">
      <c r="F39" s="5" t="s">
        <v>102</v>
      </c>
      <c r="G39" s="5"/>
      <c r="H39" s="35" t="s">
        <v>167</v>
      </c>
      <c r="I39" s="5">
        <v>29</v>
      </c>
      <c r="J39" s="5"/>
      <c r="K39" s="5">
        <v>0</v>
      </c>
      <c r="L39" s="24"/>
    </row>
    <row r="40" spans="1:12" ht="20" x14ac:dyDescent="0.2">
      <c r="F40" s="5" t="s">
        <v>103</v>
      </c>
      <c r="G40" s="5"/>
      <c r="H40" s="35" t="s">
        <v>168</v>
      </c>
      <c r="I40" s="5">
        <v>30</v>
      </c>
      <c r="J40" s="5"/>
      <c r="K40" s="5">
        <v>0</v>
      </c>
      <c r="L40" s="24"/>
    </row>
    <row r="41" spans="1:12" ht="19" customHeight="1" x14ac:dyDescent="0.2">
      <c r="F41" s="55" t="s">
        <v>118</v>
      </c>
      <c r="G41" s="55"/>
      <c r="H41" s="55"/>
      <c r="I41" s="55"/>
      <c r="J41" s="2"/>
      <c r="K41" s="3"/>
      <c r="L41" s="20"/>
    </row>
    <row r="42" spans="1:12" ht="20" x14ac:dyDescent="0.2">
      <c r="F42" s="3" t="s">
        <v>3</v>
      </c>
      <c r="G42" s="3"/>
      <c r="H42" s="3" t="s">
        <v>109</v>
      </c>
      <c r="I42" s="3" t="s">
        <v>1</v>
      </c>
      <c r="J42" s="3"/>
      <c r="K42" s="3" t="s">
        <v>2</v>
      </c>
      <c r="L42" s="20"/>
    </row>
    <row r="43" spans="1:12" ht="20" x14ac:dyDescent="0.2">
      <c r="F43" s="3" t="s">
        <v>104</v>
      </c>
      <c r="G43" s="3"/>
      <c r="H43" s="37" t="s">
        <v>169</v>
      </c>
      <c r="I43" s="3">
        <v>32</v>
      </c>
      <c r="J43" s="3"/>
      <c r="K43" s="3">
        <v>0</v>
      </c>
      <c r="L43" s="20"/>
    </row>
    <row r="44" spans="1:12" ht="20" x14ac:dyDescent="0.2">
      <c r="F44" s="3" t="s">
        <v>105</v>
      </c>
      <c r="G44" s="3"/>
      <c r="H44" s="37" t="s">
        <v>170</v>
      </c>
      <c r="I44" s="3">
        <v>33</v>
      </c>
      <c r="J44" s="3"/>
      <c r="K44" s="3">
        <v>0</v>
      </c>
      <c r="L44" s="20"/>
    </row>
    <row r="45" spans="1:12" ht="20" x14ac:dyDescent="0.2">
      <c r="F45" s="3" t="s">
        <v>106</v>
      </c>
      <c r="G45" s="3"/>
      <c r="H45" s="37" t="s">
        <v>171</v>
      </c>
      <c r="I45" s="3">
        <v>34</v>
      </c>
      <c r="J45" s="3"/>
      <c r="K45" s="3">
        <v>0</v>
      </c>
      <c r="L45" s="20"/>
    </row>
    <row r="46" spans="1:12" ht="21" customHeight="1" x14ac:dyDescent="0.2">
      <c r="A46" s="52" t="s">
        <v>17</v>
      </c>
      <c r="B46" s="52"/>
      <c r="C46" s="52"/>
      <c r="D46" s="11"/>
      <c r="E46" s="11"/>
    </row>
    <row r="47" spans="1:12" ht="20" x14ac:dyDescent="0.2">
      <c r="A47" s="4" t="s">
        <v>3</v>
      </c>
      <c r="B47" s="4" t="s">
        <v>1</v>
      </c>
      <c r="C47" s="4" t="s">
        <v>2</v>
      </c>
    </row>
    <row r="48" spans="1:12" ht="20" x14ac:dyDescent="0.2">
      <c r="A48" s="4" t="s">
        <v>18</v>
      </c>
      <c r="B48" s="4">
        <v>0</v>
      </c>
      <c r="C48" s="4">
        <v>0</v>
      </c>
    </row>
    <row r="49" spans="1:22" ht="20" x14ac:dyDescent="0.2">
      <c r="A49" s="4" t="s">
        <v>128</v>
      </c>
      <c r="B49" s="4">
        <v>0</v>
      </c>
      <c r="C49" s="4">
        <v>1</v>
      </c>
    </row>
    <row r="50" spans="1:22" ht="20" x14ac:dyDescent="0.2">
      <c r="A50" s="4" t="s">
        <v>129</v>
      </c>
      <c r="B50" s="4">
        <v>0</v>
      </c>
      <c r="C50" s="4">
        <v>2</v>
      </c>
    </row>
    <row r="51" spans="1:22" ht="20" x14ac:dyDescent="0.2">
      <c r="A51" s="4" t="s">
        <v>130</v>
      </c>
      <c r="B51" s="4">
        <v>0</v>
      </c>
      <c r="C51" s="4">
        <v>3</v>
      </c>
    </row>
    <row r="52" spans="1:22" ht="20" x14ac:dyDescent="0.2">
      <c r="A52" s="4" t="s">
        <v>131</v>
      </c>
      <c r="B52" s="4">
        <v>0</v>
      </c>
      <c r="C52" s="4">
        <v>4</v>
      </c>
    </row>
    <row r="53" spans="1:22" ht="20" x14ac:dyDescent="0.2">
      <c r="A53" s="4" t="s">
        <v>132</v>
      </c>
      <c r="B53" s="4">
        <v>0</v>
      </c>
      <c r="C53" s="4">
        <v>5</v>
      </c>
    </row>
    <row r="54" spans="1:22" ht="20" x14ac:dyDescent="0.2">
      <c r="A54" s="4" t="s">
        <v>133</v>
      </c>
      <c r="B54" s="4">
        <v>0</v>
      </c>
      <c r="C54" s="4">
        <v>6</v>
      </c>
    </row>
    <row r="55" spans="1:22" ht="67" customHeight="1" x14ac:dyDescent="0.2">
      <c r="A55" s="4" t="s">
        <v>134</v>
      </c>
      <c r="B55" s="4">
        <v>0</v>
      </c>
      <c r="C55" s="4">
        <v>7</v>
      </c>
    </row>
    <row r="56" spans="1:22" ht="78" customHeight="1" x14ac:dyDescent="0.2">
      <c r="A56" s="4" t="s">
        <v>135</v>
      </c>
      <c r="B56" s="4">
        <v>0</v>
      </c>
      <c r="C56" s="4">
        <v>8</v>
      </c>
    </row>
    <row r="57" spans="1:22" ht="90" customHeight="1" x14ac:dyDescent="0.2">
      <c r="T57" s="15"/>
      <c r="U57" s="15"/>
    </row>
    <row r="58" spans="1:22" ht="54" customHeight="1" x14ac:dyDescent="0.2">
      <c r="A58" s="2" t="s">
        <v>7</v>
      </c>
      <c r="C58" s="2" t="s">
        <v>119</v>
      </c>
      <c r="D58" s="2" t="s">
        <v>136</v>
      </c>
      <c r="E58" s="25" t="s">
        <v>120</v>
      </c>
      <c r="F58" s="2" t="s">
        <v>137</v>
      </c>
      <c r="G58" s="2" t="s">
        <v>121</v>
      </c>
      <c r="H58" s="2" t="s">
        <v>138</v>
      </c>
      <c r="I58" s="12"/>
      <c r="J58" s="2" t="s">
        <v>122</v>
      </c>
      <c r="K58" s="2" t="s">
        <v>139</v>
      </c>
      <c r="L58" s="29" t="s">
        <v>123</v>
      </c>
      <c r="M58" s="2" t="s">
        <v>140</v>
      </c>
      <c r="N58" s="29" t="s">
        <v>124</v>
      </c>
      <c r="O58" s="2" t="s">
        <v>141</v>
      </c>
      <c r="Q58" s="2" t="s">
        <v>125</v>
      </c>
      <c r="R58" s="2" t="s">
        <v>142</v>
      </c>
      <c r="S58" s="2" t="s">
        <v>127</v>
      </c>
      <c r="T58" s="2" t="s">
        <v>143</v>
      </c>
      <c r="U58" s="29" t="s">
        <v>126</v>
      </c>
      <c r="V58" s="2" t="s">
        <v>144</v>
      </c>
    </row>
    <row r="59" spans="1:22" x14ac:dyDescent="0.2">
      <c r="A59" s="4">
        <v>0</v>
      </c>
      <c r="C59" s="4">
        <v>0</v>
      </c>
      <c r="D59" s="4">
        <f>COUNTIFS(D90:D189, "=0",$B$90:$B$189, "&lt;2000")</f>
        <v>0</v>
      </c>
      <c r="E59" s="26">
        <v>4</v>
      </c>
      <c r="F59" s="4">
        <f>COUNTIFS(F90:F189, "=0",$B$90:$B$189, "&lt;2000")</f>
        <v>0</v>
      </c>
      <c r="G59" s="4">
        <v>8</v>
      </c>
      <c r="H59" s="4">
        <f>COUNTIFS(H90:H189, "=0",$B$90:$B$189, "&lt;2000")</f>
        <v>0</v>
      </c>
      <c r="I59" s="16"/>
      <c r="J59" s="4">
        <v>12</v>
      </c>
      <c r="K59" s="4">
        <f>COUNTIFS(K90:K189, "=0",$B$90:$B$189, "&lt;2000")</f>
        <v>2</v>
      </c>
      <c r="L59" s="30">
        <v>16</v>
      </c>
      <c r="M59" s="4">
        <f>COUNTIFS(M90:M189, "=0",$B$90:$B$189, "&lt;2000")</f>
        <v>0</v>
      </c>
      <c r="N59" s="30">
        <v>20</v>
      </c>
      <c r="O59" s="4">
        <f>COUNTIFS(O90:O189, "=0",$B$90:$B$189, "&lt;2000")</f>
        <v>0</v>
      </c>
      <c r="Q59" s="4">
        <v>24</v>
      </c>
      <c r="R59" s="4">
        <f>COUNTIFS(R90:R189, "=0",$B$90:$B$189, "&lt;2000")</f>
        <v>2</v>
      </c>
      <c r="S59" s="30">
        <v>28</v>
      </c>
      <c r="T59" s="4">
        <f>COUNTIFS(T90:T189, "=0",$B$90:$B$189, "&lt;2000")</f>
        <v>2</v>
      </c>
      <c r="U59" s="30">
        <v>32</v>
      </c>
      <c r="V59" s="4">
        <f>COUNTIFS(V90:V189, "=0",$B$90:$B$189, "&lt;2000")</f>
        <v>0</v>
      </c>
    </row>
    <row r="60" spans="1:22" x14ac:dyDescent="0.2">
      <c r="A60" s="4">
        <v>1</v>
      </c>
      <c r="C60" s="4">
        <v>0</v>
      </c>
      <c r="D60" s="4">
        <f>COUNTIFS(D90:D189, "=0",$B$90:$B$189, "&gt;=2000",$B$90:$B$189, "&lt;=2002")</f>
        <v>0</v>
      </c>
      <c r="E60" s="26">
        <v>4</v>
      </c>
      <c r="F60" s="4">
        <f>COUNTIFS(F90:F189, "=0",$B$90:$B$189, "&gt;=2000",$B$90:$B$189, "&lt;=2002")</f>
        <v>0</v>
      </c>
      <c r="G60" s="4">
        <v>8</v>
      </c>
      <c r="H60" s="4">
        <f>COUNTIFS(H90:H189, "=0",$B$90:$B$189, "&gt;=2000",$B$90:$B$189, "&lt;=2002")</f>
        <v>0</v>
      </c>
      <c r="I60" s="16"/>
      <c r="J60" s="4">
        <v>12</v>
      </c>
      <c r="K60" s="4">
        <f>COUNTIFS(K90:K189, "=0",$B$90:$B$189, "&gt;=2000",$B$90:$B$189, "&lt;=2002")</f>
        <v>5</v>
      </c>
      <c r="L60" s="30">
        <v>16</v>
      </c>
      <c r="M60" s="4">
        <f>COUNTIFS(M90:M189, "=0",$B$90:$B$189, "&gt;=2000",$B$90:$B$189, "&lt;=2002")</f>
        <v>0</v>
      </c>
      <c r="N60" s="30">
        <v>20</v>
      </c>
      <c r="O60" s="4">
        <f>COUNTIFS(O90:O189, "=0",$B$90:$B$189, "&gt;=2000",$B$90:$B$189, "&lt;=2002")</f>
        <v>0</v>
      </c>
      <c r="Q60" s="4">
        <v>24</v>
      </c>
      <c r="R60" s="4">
        <f>COUNTIFS(R90:R189, "=0",$B$90:$B$189, "&gt;=2000",$B$90:$B$189, "&lt;=2002")</f>
        <v>5</v>
      </c>
      <c r="S60" s="30">
        <v>28</v>
      </c>
      <c r="T60" s="4">
        <f>COUNTIFS(T90:T189, "=0",$B$90:$B$189, "&gt;=2000",$B$90:$B$189, "&lt;=2002")</f>
        <v>5</v>
      </c>
      <c r="U60" s="30">
        <v>32</v>
      </c>
      <c r="V60" s="4">
        <f>COUNTIFS(V90:V189, "=0",$B$90:$B$189, "&gt;=2000",$B$90:$B$189, "&lt;=2002")</f>
        <v>0</v>
      </c>
    </row>
    <row r="61" spans="1:22" x14ac:dyDescent="0.2">
      <c r="A61" s="4">
        <v>2</v>
      </c>
      <c r="C61" s="4">
        <v>0</v>
      </c>
      <c r="D61" s="4">
        <f>COUNTIFS(D90:D189, "=0",$B$90:$B$189, "&gt;=2003",$B$90:$B$189, "&lt;=2005")</f>
        <v>0</v>
      </c>
      <c r="E61" s="26">
        <v>4</v>
      </c>
      <c r="F61" s="4">
        <f>COUNTIFS(F90:F189, "=0",$B$90:$B$189, "&gt;=2003",$B$90:$B$189, "&lt;=2005")</f>
        <v>0</v>
      </c>
      <c r="G61" s="4">
        <v>8</v>
      </c>
      <c r="H61" s="4">
        <f>COUNTIFS(H90:H189, "=0",$B$90:$B$189, "&gt;=2003",$B$90:$B$189, "&lt;=2005")</f>
        <v>0</v>
      </c>
      <c r="I61" s="16"/>
      <c r="J61" s="4">
        <v>12</v>
      </c>
      <c r="K61" s="4">
        <f>COUNTIFS(K90:K189, "=0",$B$90:$B$189, "&gt;=2003",$B$90:$B$189, "&lt;=2005")</f>
        <v>6</v>
      </c>
      <c r="L61" s="30">
        <v>16</v>
      </c>
      <c r="M61" s="4">
        <f>COUNTIFS(M90:M189, "=0",$B$90:$B$189, "&gt;=2003",$B$90:$B$189, "&lt;=2005")</f>
        <v>0</v>
      </c>
      <c r="N61" s="30">
        <v>20</v>
      </c>
      <c r="O61" s="4">
        <f>COUNTIFS(O90:O189, "=0",$B$90:$B$189, "&gt;=2003",$B$90:$B$189, "&lt;=2005")</f>
        <v>0</v>
      </c>
      <c r="Q61" s="4">
        <v>24</v>
      </c>
      <c r="R61" s="4">
        <f>COUNTIFS(R90:R189, "=0",$B$90:$B$189, "&gt;=2003",$B$90:$B$189, "&lt;=2005")</f>
        <v>6</v>
      </c>
      <c r="S61" s="30">
        <v>28</v>
      </c>
      <c r="T61" s="4">
        <f>COUNTIFS(T90:T189, "=0",$B$90:$B$189, "&gt;=2003",$B$90:$B$189, "&lt;=2005")</f>
        <v>6</v>
      </c>
      <c r="U61" s="30">
        <v>32</v>
      </c>
      <c r="V61" s="4">
        <f>COUNTIFS(V90:V189, "=0",$B$90:$B$189, "&gt;=2003",$B$90:$B$189, "&lt;=2005")</f>
        <v>0</v>
      </c>
    </row>
    <row r="62" spans="1:22" x14ac:dyDescent="0.2">
      <c r="A62" s="4">
        <v>3</v>
      </c>
      <c r="C62" s="4">
        <v>0</v>
      </c>
      <c r="D62" s="4">
        <f>COUNTIFS(D90:D189, "=0",$B$90:$B$189, "&gt;=2006",$B$90:$B$189, "&lt;=2008")</f>
        <v>0</v>
      </c>
      <c r="E62" s="26">
        <v>4</v>
      </c>
      <c r="F62" s="4">
        <f>COUNTIFS(F90:F189, "=0",$B$90:$B$189, "&gt;=2006",$B$90:$B$189, "&lt;=2008")</f>
        <v>0</v>
      </c>
      <c r="G62" s="4">
        <v>8</v>
      </c>
      <c r="H62" s="4">
        <f>COUNTIFS(H90:H189, "=0",$B$90:$B$189, "&gt;=2006",$B$90:$B$189, "&lt;=2008")</f>
        <v>0</v>
      </c>
      <c r="I62" s="16"/>
      <c r="J62" s="4">
        <v>12</v>
      </c>
      <c r="K62" s="4">
        <f>COUNTIFS(K90:K189, "=0",$B$90:$B$189, "&gt;=2006",$B$90:$B$189, "&lt;=2008")</f>
        <v>6</v>
      </c>
      <c r="L62" s="30">
        <v>16</v>
      </c>
      <c r="M62" s="4">
        <f>COUNTIFS(M90:M189, "=0",$B$90:$B$189, "&gt;=2006",$B$90:$B$189, "&lt;=2008")</f>
        <v>0</v>
      </c>
      <c r="N62" s="30">
        <v>20</v>
      </c>
      <c r="O62" s="4">
        <f>COUNTIFS(O90:O189, "=0",$B$90:$B$189, "&gt;=2006",$B$90:$B$189, "&lt;=2008")</f>
        <v>0</v>
      </c>
      <c r="Q62" s="4">
        <v>24</v>
      </c>
      <c r="R62" s="4">
        <f>COUNTIFS(R90:R189, "=0",$B$90:$B$189, "&gt;=2006",$B$90:$B$189, "&lt;=2008")</f>
        <v>6</v>
      </c>
      <c r="S62" s="30">
        <v>28</v>
      </c>
      <c r="T62" s="4">
        <f>COUNTIFS(T90:T189, "=0",$B$90:$B$189, "&gt;=2006",$B$90:$B$189, "&lt;=2008")</f>
        <v>6</v>
      </c>
      <c r="U62" s="30">
        <v>32</v>
      </c>
      <c r="V62" s="4">
        <f>COUNTIFS(V90:V189, "=0",$B$90:$B$189, "&gt;=2006",$B$90:$B$189, "&lt;=2008")</f>
        <v>0</v>
      </c>
    </row>
    <row r="63" spans="1:22" x14ac:dyDescent="0.2">
      <c r="A63" s="4">
        <v>4</v>
      </c>
      <c r="C63" s="4">
        <v>0</v>
      </c>
      <c r="D63" s="4">
        <f>COUNTIFS(D90:D189, "=0",$B$90:$B$189, "&gt;=2009",$B$90:$B$189, "&lt;=2011")</f>
        <v>0</v>
      </c>
      <c r="E63" s="26">
        <v>4</v>
      </c>
      <c r="F63" s="4">
        <f>COUNTIFS(F90:F189, "=0",$B$90:$B$189, "&gt;=2009",$B$90:$B$189, "&lt;=2011")</f>
        <v>0</v>
      </c>
      <c r="G63" s="4">
        <v>8</v>
      </c>
      <c r="H63" s="4">
        <f>COUNTIFS(H90:H189, "=0",$B$90:$B$189, "&gt;=2009",$B$90:$B$189, "&lt;=2011")</f>
        <v>0</v>
      </c>
      <c r="I63" s="16"/>
      <c r="J63" s="4">
        <v>12</v>
      </c>
      <c r="K63" s="4">
        <f>COUNTIFS(K90:K189, "=0",$B$90:$B$189, "&gt;=2009",$B$90:$B$189, "&lt;=2011")</f>
        <v>7</v>
      </c>
      <c r="L63" s="30">
        <v>16</v>
      </c>
      <c r="M63" s="4">
        <f>COUNTIFS(M90:M189, "=0",$B$90:$B$189, "&gt;=2009",$B$90:$B$189, "&lt;=2011")</f>
        <v>0</v>
      </c>
      <c r="N63" s="30">
        <v>20</v>
      </c>
      <c r="O63" s="4">
        <f>COUNTIFS(O90:O189, "=0",$B$90:$B$189, "&gt;=2009",$B$90:$B$189, "&lt;=2011")</f>
        <v>0</v>
      </c>
      <c r="Q63" s="4">
        <v>24</v>
      </c>
      <c r="R63" s="4">
        <f>COUNTIFS(R90:R189, "=0",$B$90:$B$189, "&gt;=2009",$B$90:$B$189, "&lt;=2011")</f>
        <v>7</v>
      </c>
      <c r="S63" s="30">
        <v>28</v>
      </c>
      <c r="T63" s="4">
        <f>COUNTIFS(T90:T189, "=0",$B$90:$B$189, "&gt;=2009",$B$90:$B$189, "&lt;=2011")</f>
        <v>3</v>
      </c>
      <c r="U63" s="30">
        <v>32</v>
      </c>
      <c r="V63" s="4">
        <f>COUNTIFS(V90:V189, "=0",$B$90:$B$189, "&gt;=2009",$B$90:$B$189, "&lt;=2011")</f>
        <v>0</v>
      </c>
    </row>
    <row r="64" spans="1:22" x14ac:dyDescent="0.2">
      <c r="A64" s="4">
        <v>5</v>
      </c>
      <c r="C64" s="4">
        <v>0</v>
      </c>
      <c r="D64" s="4">
        <f>COUNTIFS(D90:D189, "=0",$B$90:$B$189, "&gt;=2012",$B$90:$B$189, "&lt;=2014")</f>
        <v>0</v>
      </c>
      <c r="E64" s="26">
        <v>4</v>
      </c>
      <c r="F64" s="4">
        <f>COUNTIFS(F90:F189, "=0",$B$90:$B$189, "&gt;=2012",$B$90:$B$189, "&lt;=2014")</f>
        <v>0</v>
      </c>
      <c r="G64" s="4">
        <v>8</v>
      </c>
      <c r="H64" s="4">
        <f>COUNTIFS(H90:H189, "=0",$B$90:$B$189, "&gt;=2012",$B$90:$B$189, "&lt;=2014")</f>
        <v>0</v>
      </c>
      <c r="I64" s="16"/>
      <c r="J64" s="4">
        <v>12</v>
      </c>
      <c r="K64" s="4">
        <f>COUNTIFS(K90:K189, "=0",$B$90:$B$189, "&gt;=2012",$B$90:$B$189, "&lt;=2014")</f>
        <v>6</v>
      </c>
      <c r="L64" s="30">
        <v>16</v>
      </c>
      <c r="M64" s="4">
        <f>COUNTIFS(M90:M189, "=0",$B$90:$B$189, "&gt;=2012",$B$90:$B$189, "&lt;=2014")</f>
        <v>0</v>
      </c>
      <c r="N64" s="30">
        <v>20</v>
      </c>
      <c r="O64" s="4">
        <f>COUNTIFS(O90:O189, "=0",$B$90:$B$189, "&gt;=2012",$B$90:$B$189, "&lt;=2014")</f>
        <v>0</v>
      </c>
      <c r="Q64" s="4">
        <v>24</v>
      </c>
      <c r="R64" s="4">
        <f>COUNTIFS(R90:R189, "=0",$B$90:$B$189, "&gt;=2012",$B$90:$B$189, "&lt;=2014")</f>
        <v>6</v>
      </c>
      <c r="S64" s="30">
        <v>28</v>
      </c>
      <c r="T64" s="4">
        <f>COUNTIFS(T90:T189, "=0",$B$90:$B$189, "&gt;=2012",$B$90:$B$189, "&lt;=2014")</f>
        <v>0</v>
      </c>
      <c r="U64" s="30">
        <v>32</v>
      </c>
      <c r="V64" s="4">
        <f>COUNTIFS(V90:V189, "=0",$B$90:$B$189, "&gt;=2012",$B$90:$B$189, "&lt;=2014")</f>
        <v>0</v>
      </c>
    </row>
    <row r="65" spans="1:22" x14ac:dyDescent="0.2">
      <c r="A65" s="4">
        <v>6</v>
      </c>
      <c r="C65" s="4">
        <v>0</v>
      </c>
      <c r="D65" s="4">
        <f>COUNTIFS(D90:D189, "=0",$B$90:$B$189, "&gt;=2015",$B$90:$B$189, "&lt;=2017")</f>
        <v>0</v>
      </c>
      <c r="E65" s="26">
        <v>4</v>
      </c>
      <c r="F65" s="4">
        <f>COUNTIFS(F90:F189, "=0",$B$90:$B$189, "&gt;=2015",$B$90:$B$189, "&lt;=2017")</f>
        <v>0</v>
      </c>
      <c r="G65" s="4">
        <v>8</v>
      </c>
      <c r="H65" s="4">
        <f>COUNTIFS(H90:H189, "=0",$B$90:$B$189, "&gt;=2015",$B$90:$B$189, "&lt;=2017")</f>
        <v>0</v>
      </c>
      <c r="I65" s="16"/>
      <c r="J65" s="4">
        <v>12</v>
      </c>
      <c r="K65" s="4">
        <f>COUNTIFS(K90:K189, "=0",$B$90:$B$189, "&gt;=2015",$B$90:$B$189, "&lt;=2017")</f>
        <v>1</v>
      </c>
      <c r="L65" s="30">
        <v>16</v>
      </c>
      <c r="M65" s="4">
        <f>COUNTIFS(M90:M189, "=0",$B$90:$B$189, "&gt;=2015",$B$90:$B$189, "&lt;=2017")</f>
        <v>0</v>
      </c>
      <c r="N65" s="30">
        <v>20</v>
      </c>
      <c r="O65" s="4">
        <f>COUNTIFS(O90:O189, "=0",$B$90:$B$189, "&gt;=2015",$B$90:$B$189, "&lt;=2017")</f>
        <v>0</v>
      </c>
      <c r="Q65" s="4">
        <v>24</v>
      </c>
      <c r="R65" s="4">
        <f>COUNTIFS(R90:R189, "=0",$B$90:$B$189, "&gt;=2015",$B$90:$B$189, "&lt;=2017")</f>
        <v>1</v>
      </c>
      <c r="S65" s="30">
        <v>28</v>
      </c>
      <c r="T65" s="4">
        <f>COUNTIFS(T90:T189, "=0",$B$90:$B$189, "&gt;=2015",$B$90:$B$189, "&lt;=2017")</f>
        <v>0</v>
      </c>
      <c r="U65" s="30">
        <v>32</v>
      </c>
      <c r="V65" s="4">
        <f>COUNTIFS(V90:V189, "=0",$B$90:$B$189, "&gt;=2015",$B$90:$B$189, "&lt;=2017")</f>
        <v>0</v>
      </c>
    </row>
    <row r="66" spans="1:22" x14ac:dyDescent="0.2">
      <c r="A66" s="4">
        <v>7</v>
      </c>
      <c r="C66" s="4">
        <v>0</v>
      </c>
      <c r="D66" s="4">
        <f>COUNTIFS(D90:D189, "=0",$B$90:$B$189, "&gt;=2018",$B$90:$B$189, "&lt;=2020")</f>
        <v>0</v>
      </c>
      <c r="E66" s="26">
        <v>4</v>
      </c>
      <c r="F66" s="4">
        <f>COUNTIFS(F90:F189, "=0",$B$90:$B$189, "&gt;=2018",$B$90:$B$189, "&lt;=2020")</f>
        <v>0</v>
      </c>
      <c r="G66" s="4">
        <v>8</v>
      </c>
      <c r="H66" s="4">
        <f>COUNTIFS(H90:H189, "=0",$B$90:$B$189, "&gt;=2018",$B$90:$B$189, "&lt;=2020")</f>
        <v>0</v>
      </c>
      <c r="I66" s="16"/>
      <c r="J66" s="4">
        <v>12</v>
      </c>
      <c r="K66" s="4">
        <f>COUNTIFS(K90:K189, "=0",$B$90:$B$189, "&gt;=2018",$B$90:$B$189, "&lt;=2020")</f>
        <v>1</v>
      </c>
      <c r="L66" s="30">
        <v>16</v>
      </c>
      <c r="M66" s="4">
        <f>COUNTIFS(M90:M189, "=0",$B$90:$B$189, "&gt;=2018",$B$90:$B$189, "&lt;=2020")</f>
        <v>0</v>
      </c>
      <c r="N66" s="30">
        <v>20</v>
      </c>
      <c r="O66" s="4">
        <f>COUNTIFS(O90:O189, "=0",$B$90:$B$189, "&gt;=2018",$B$90:$B$189, "&lt;=2020")</f>
        <v>0</v>
      </c>
      <c r="Q66" s="4">
        <v>24</v>
      </c>
      <c r="R66" s="4">
        <f>COUNTIFS(R90:R189, "=0",$B$90:$B$189, "&gt;=2018",$B$90:$B$189, "&lt;=2020")</f>
        <v>1</v>
      </c>
      <c r="S66" s="30">
        <v>28</v>
      </c>
      <c r="T66" s="4">
        <f>COUNTIFS(T90:T189, "=0",$B$90:$B$189, "&gt;=2018",$B$90:$B$189, "&lt;=2020")</f>
        <v>0</v>
      </c>
      <c r="U66" s="30">
        <v>32</v>
      </c>
      <c r="V66" s="4">
        <f>COUNTIFS(V90:V189, "=0",$B$90:$B$189, "&gt;=2018",$B$90:$B$189, "&lt;=2020")</f>
        <v>0</v>
      </c>
    </row>
    <row r="67" spans="1:22" x14ac:dyDescent="0.2">
      <c r="A67" s="4">
        <v>8</v>
      </c>
      <c r="C67" s="4">
        <v>0</v>
      </c>
      <c r="D67" s="4">
        <f>COUNTIFS(D90:D189, "=0",$B$90:$B$189, "&gt;=2021",$B$90:$B$189, "&lt;=2024")</f>
        <v>0</v>
      </c>
      <c r="E67" s="26">
        <v>4</v>
      </c>
      <c r="F67" s="4">
        <f>COUNTIFS(F90:F189, "=0",$B$90:$B$189, "&gt;=2021",$B$90:$B$189, "&lt;=2024")</f>
        <v>0</v>
      </c>
      <c r="G67" s="4">
        <v>8</v>
      </c>
      <c r="H67" s="4">
        <f>COUNTIFS(H90:H189, "=0",$B$90:$B$189, "&gt;=2021",$B$90:$B$189, "&lt;=2024")</f>
        <v>0</v>
      </c>
      <c r="I67" s="16"/>
      <c r="J67" s="4">
        <v>12</v>
      </c>
      <c r="K67" s="4">
        <f>COUNTIFS(K90:K189, "=0",$B$90:$B$189, "&gt;=2021",$B$90:$B$189, "&lt;=2024")</f>
        <v>1</v>
      </c>
      <c r="L67" s="30">
        <v>16</v>
      </c>
      <c r="M67" s="4">
        <f>COUNTIFS(M90:M189, "=0",$B$90:$B$189, "&gt;=2021",$B$90:$B$189, "&lt;=2024")</f>
        <v>0</v>
      </c>
      <c r="N67" s="30">
        <v>20</v>
      </c>
      <c r="O67" s="4">
        <f>COUNTIFS(O90:O189, "=0",$B$90:$B$189, "&gt;=2021",$B$90:$B$189, "&lt;=2024")</f>
        <v>0</v>
      </c>
      <c r="Q67" s="4">
        <v>24</v>
      </c>
      <c r="R67" s="4">
        <f>COUNTIFS(R90:R189, "=0",$B$90:$B$189, "&gt;=2021",$B$90:$B$189, "&lt;=2024")</f>
        <v>1</v>
      </c>
      <c r="S67" s="30">
        <v>28</v>
      </c>
      <c r="T67" s="4">
        <f>COUNTIFS(T90:T189, "=0",$B$90:$B$189, "&gt;=2021",$B$90:$B$189, "&lt;=2024")</f>
        <v>0</v>
      </c>
      <c r="U67" s="30">
        <v>32</v>
      </c>
      <c r="V67" s="4">
        <f>COUNTIFS(V90:V189, "=0",$B$90:$B$189, "&gt;=2021",$B$90:$B$189, "&lt;=2024")</f>
        <v>0</v>
      </c>
    </row>
    <row r="68" spans="1:22" x14ac:dyDescent="0.2">
      <c r="A68" s="5">
        <v>0</v>
      </c>
      <c r="C68" s="5">
        <v>1</v>
      </c>
      <c r="D68" s="5">
        <f>COUNTIFS(D90:D189, "=1",$B$90:$B$189, "&lt;2000")</f>
        <v>0</v>
      </c>
      <c r="E68" s="27">
        <v>5</v>
      </c>
      <c r="F68" s="5">
        <f>COUNTIFS(F90:F189, "=1",$B$90:$B$189, "&lt;2000")</f>
        <v>1</v>
      </c>
      <c r="G68" s="5">
        <v>9</v>
      </c>
      <c r="H68" s="5">
        <f>COUNTIFS(H90:H189, "=1",$B$90:$B$189, "&lt;2000")</f>
        <v>2</v>
      </c>
      <c r="I68" s="16"/>
      <c r="J68" s="5">
        <v>13</v>
      </c>
      <c r="K68" s="5">
        <f>COUNTIFS(K90:K189, "=1",$B$90:$B$189, "&lt;2000")</f>
        <v>0</v>
      </c>
      <c r="L68" s="31">
        <v>17</v>
      </c>
      <c r="M68" s="5">
        <f>COUNTIFS(M90:M189, "=1",$B$90:$B$189, "&lt;2000")</f>
        <v>0</v>
      </c>
      <c r="N68" s="31">
        <v>21</v>
      </c>
      <c r="O68" s="5">
        <f>COUNTIFS(O90:O189, "=1",$B$90:$B$189, "&lt;2000")</f>
        <v>2</v>
      </c>
      <c r="Q68" s="5">
        <v>25</v>
      </c>
      <c r="R68" s="5">
        <f>COUNTIFS(R90:R189, "=1",$B$90:$B$189, "&lt;2000")</f>
        <v>0</v>
      </c>
      <c r="S68" s="31">
        <v>29</v>
      </c>
      <c r="T68" s="5">
        <f>COUNTIFS(T90:T189, "=1",$B$90:$B$189, "&lt;2000")</f>
        <v>0</v>
      </c>
      <c r="U68" s="31">
        <v>33</v>
      </c>
      <c r="V68" s="5">
        <f>COUNTIFS(V90:V189, "=1",$B$90:$B$189, "&lt;2000")</f>
        <v>2</v>
      </c>
    </row>
    <row r="69" spans="1:22" x14ac:dyDescent="0.2">
      <c r="A69" s="5">
        <v>1</v>
      </c>
      <c r="C69" s="5">
        <v>1</v>
      </c>
      <c r="D69" s="5">
        <f>COUNTIFS(D90:D189, "=1",$B$90:$B$189, "&gt;=2000",$B$90:$B$189, "&lt;=2002")</f>
        <v>0</v>
      </c>
      <c r="E69" s="27">
        <v>5</v>
      </c>
      <c r="F69" s="5">
        <f>COUNTIFS(F90:F189, "=1",$B$90:$B$189, "&gt;=2000",$B$90:$B$189, "&lt;=2002")</f>
        <v>0</v>
      </c>
      <c r="G69" s="5">
        <v>9</v>
      </c>
      <c r="H69" s="5">
        <f>COUNTIFS(H90:H189, "=1",$B$90:$B$189, "&gt;=2000",$B$90:$B$189, "&lt;=2002")</f>
        <v>5</v>
      </c>
      <c r="I69" s="16"/>
      <c r="J69" s="5">
        <v>13</v>
      </c>
      <c r="K69" s="5">
        <f>COUNTIFS(K90:K189, "=1",$B$90:$B$189, "&gt;=2000",$B$90:$B$189, "&lt;=2002")</f>
        <v>0</v>
      </c>
      <c r="L69" s="31">
        <v>17</v>
      </c>
      <c r="M69" s="5">
        <f>COUNTIFS(M90:M189, "=1",$B$90:$B$189, "&gt;=2000",$B$90:$B$189, "&lt;=2002")</f>
        <v>0</v>
      </c>
      <c r="N69" s="31">
        <v>21</v>
      </c>
      <c r="O69" s="5">
        <f>COUNTIFS(O90:O189, "=1",$B$90:$B$189, "&gt;=2000",$B$90:$B$189, "&lt;=2002")</f>
        <v>5</v>
      </c>
      <c r="Q69" s="5">
        <v>25</v>
      </c>
      <c r="R69" s="5">
        <f>COUNTIFS(R90:R189, "=1",$B$90:$B$189, "&gt;=2000",$B$90:$B$189, "&lt;=2002")</f>
        <v>0</v>
      </c>
      <c r="S69" s="31">
        <v>29</v>
      </c>
      <c r="T69" s="5">
        <f>COUNTIFS(T90:T189, "=1",$B$90:$B$189, "&gt;=2000",$B$90:$B$189, "&lt;=2002")</f>
        <v>0</v>
      </c>
      <c r="U69" s="31">
        <v>33</v>
      </c>
      <c r="V69" s="5">
        <f>COUNTIFS(V90:V189, "=1",$B$90:$B$189, "&gt;=2000",$B$90:$B$189, "&lt;=2002")</f>
        <v>5</v>
      </c>
    </row>
    <row r="70" spans="1:22" x14ac:dyDescent="0.2">
      <c r="A70" s="5">
        <v>2</v>
      </c>
      <c r="C70" s="5">
        <v>1</v>
      </c>
      <c r="D70" s="5">
        <f>COUNTIFS(D90:D189, "=1",$B$90:$B$189, "&gt;=2003",$B$90:$B$189, "&lt;=2005")</f>
        <v>0</v>
      </c>
      <c r="E70" s="27">
        <v>5</v>
      </c>
      <c r="F70" s="5">
        <f>COUNTIFS(F90:F189, "=1",$B$90:$B$189, "&gt;=2003",$B$90:$B$189, "&lt;=2005")</f>
        <v>0</v>
      </c>
      <c r="G70" s="5">
        <v>9</v>
      </c>
      <c r="H70" s="5">
        <f>COUNTIFS(H90:H189, "=1",$B$90:$B$189, "&gt;=2003",$B$90:$B$189, "&lt;=2005")</f>
        <v>6</v>
      </c>
      <c r="I70" s="16"/>
      <c r="J70" s="5">
        <v>13</v>
      </c>
      <c r="K70" s="5">
        <f>COUNTIFS(K90:K189, "=1",$B$90:$B$189, "&gt;=2003",$B$90:$B$189, "&lt;=2005")</f>
        <v>0</v>
      </c>
      <c r="L70" s="31">
        <v>17</v>
      </c>
      <c r="M70" s="5">
        <f>COUNTIFS(M90:M189, "=1",$B$90:$B$189, "&gt;=2003",$B$90:$B$189, "&lt;=2005")</f>
        <v>1</v>
      </c>
      <c r="N70" s="31">
        <v>21</v>
      </c>
      <c r="O70" s="5">
        <f>COUNTIFS(O90:O189, "=1",$B$90:$B$189, "&gt;=2003",$B$90:$B$189, "&lt;=2005")</f>
        <v>6</v>
      </c>
      <c r="Q70" s="5">
        <v>25</v>
      </c>
      <c r="R70" s="5">
        <f>COUNTIFS(R90:R189, "=1",$B$90:$B$189, "&gt;=2003",$B$90:$B$189, "&lt;=2005")</f>
        <v>0</v>
      </c>
      <c r="S70" s="31">
        <v>29</v>
      </c>
      <c r="T70" s="5">
        <f>COUNTIFS(T90:T189, "=1",$B$90:$B$189, "&gt;=2003",$B$90:$B$189, "&lt;=2005")</f>
        <v>0</v>
      </c>
      <c r="U70" s="31">
        <v>33</v>
      </c>
      <c r="V70" s="5">
        <f>COUNTIFS(V90:V189, "=1",$B$90:$B$189, "&gt;=2003",$B$90:$B$189, "&lt;=2005")</f>
        <v>6</v>
      </c>
    </row>
    <row r="71" spans="1:22" x14ac:dyDescent="0.2">
      <c r="A71" s="5">
        <v>3</v>
      </c>
      <c r="C71" s="5">
        <v>1</v>
      </c>
      <c r="D71" s="5">
        <f>COUNTIFS(D90:D189, "=1",$B$90:$B$189, "&gt;=2006",$B$90:$B$189, "&lt;=2008")</f>
        <v>0</v>
      </c>
      <c r="E71" s="27">
        <v>5</v>
      </c>
      <c r="F71" s="5">
        <f>COUNTIFS(F90:F189, "=1",$B$90:$B$189, "&gt;=2006",$B$90:$B$189, "&lt;=2008")</f>
        <v>0</v>
      </c>
      <c r="G71" s="5">
        <v>9</v>
      </c>
      <c r="H71" s="5">
        <f>COUNTIFS(H90:H189, "=1",$B$90:$B$189, "&gt;=2006",$B$90:$B$189, "&lt;=2008")</f>
        <v>6</v>
      </c>
      <c r="I71" s="16"/>
      <c r="J71" s="5">
        <v>13</v>
      </c>
      <c r="K71" s="5">
        <f>COUNTIFS(K90:K189, "=1",$B$90:$B$189, "&gt;=2006",$B$90:$B$189, "&lt;=2008")</f>
        <v>0</v>
      </c>
      <c r="L71" s="31">
        <v>17</v>
      </c>
      <c r="M71" s="5">
        <f>COUNTIFS(M90:M189, "=1",$B$90:$B$189, "&gt;=2006",$B$90:$B$189, "&lt;=2008")</f>
        <v>0</v>
      </c>
      <c r="N71" s="31">
        <v>21</v>
      </c>
      <c r="O71" s="5">
        <f>COUNTIFS(O90:O189, "=1",$B$90:$B$189, "&gt;=2006",$B$90:$B$189, "&lt;=2008")</f>
        <v>6</v>
      </c>
      <c r="Q71" s="5">
        <v>25</v>
      </c>
      <c r="R71" s="5">
        <f>COUNTIFS(R90:R189, "=1",$B$90:$B$189, "&gt;=2006",$B$90:$B$189, "&lt;=2008")</f>
        <v>0</v>
      </c>
      <c r="S71" s="31">
        <v>29</v>
      </c>
      <c r="T71" s="5">
        <f>COUNTIFS(T90:T189, "=1",$B$90:$B$189, "&gt;=2006",$B$90:$B$189, "&lt;=2008")</f>
        <v>0</v>
      </c>
      <c r="U71" s="31">
        <v>33</v>
      </c>
      <c r="V71" s="5">
        <f>COUNTIFS(V90:V189, "=1",$B$90:$B$189, "&gt;=2006",$B$90:$B$189, "&lt;=2008")</f>
        <v>6</v>
      </c>
    </row>
    <row r="72" spans="1:22" x14ac:dyDescent="0.2">
      <c r="A72" s="5">
        <v>4</v>
      </c>
      <c r="C72" s="5">
        <v>1</v>
      </c>
      <c r="D72" s="5">
        <f>COUNTIFS(D90:D189, "=1",$B$90:$B$189, "&gt;=2009",$B$90:$B$189, "&lt;=2011")</f>
        <v>0</v>
      </c>
      <c r="E72" s="27">
        <v>5</v>
      </c>
      <c r="F72" s="5">
        <f>COUNTIFS(F90:F189, "=1",$B$90:$B$189, "&gt;=2009",$B$90:$B$189, "&lt;=2011")</f>
        <v>0</v>
      </c>
      <c r="G72" s="5">
        <v>9</v>
      </c>
      <c r="H72" s="5">
        <f>COUNTIFS(H90:H189, "=1",$B$90:$B$189, "&gt;=2009",$B$90:$B$189, "&lt;=2011")</f>
        <v>7</v>
      </c>
      <c r="I72" s="16"/>
      <c r="J72" s="5">
        <v>13</v>
      </c>
      <c r="K72" s="5">
        <f>COUNTIFS(K90:K189, "=1",$B$90:$B$189, "&gt;=2009",$B$90:$B$189, "&lt;=2011")</f>
        <v>0</v>
      </c>
      <c r="L72" s="31">
        <v>17</v>
      </c>
      <c r="M72" s="5">
        <f>COUNTIFS(M90:M189, "=1",$B$90:$B$189, "&gt;=2009",$B$90:$B$189, "&lt;=2011")</f>
        <v>1</v>
      </c>
      <c r="N72" s="31">
        <v>21</v>
      </c>
      <c r="O72" s="5">
        <f>COUNTIFS(O90:O189, "=1",$B$90:$B$189, "&gt;=2009",$B$90:$B$189, "&lt;=2011")</f>
        <v>7</v>
      </c>
      <c r="Q72" s="5">
        <v>25</v>
      </c>
      <c r="R72" s="5">
        <f>COUNTIFS(R90:R189, "=1",$B$90:$B$189, "&gt;=2009",$B$90:$B$189, "&lt;=2011")</f>
        <v>0</v>
      </c>
      <c r="S72" s="31">
        <v>29</v>
      </c>
      <c r="T72" s="5">
        <f>COUNTIFS(T90:T189, "=1",$B$90:$B$189, "&gt;=2009",$B$90:$B$189, "&lt;=2011")</f>
        <v>0</v>
      </c>
      <c r="U72" s="31">
        <v>33</v>
      </c>
      <c r="V72" s="5">
        <f>COUNTIFS(V90:V189, "=1",$B$90:$B$189, "&gt;=2009",$B$90:$B$189, "&lt;=2011")</f>
        <v>7</v>
      </c>
    </row>
    <row r="73" spans="1:22" x14ac:dyDescent="0.2">
      <c r="A73" s="5">
        <v>5</v>
      </c>
      <c r="C73" s="5">
        <v>1</v>
      </c>
      <c r="D73" s="5">
        <f>COUNTIFS(D90:D189, "=1",$B$90:$B$189, "&gt;=2012",$B$90:$B$189, "&lt;=2014")</f>
        <v>0</v>
      </c>
      <c r="E73" s="27">
        <v>5</v>
      </c>
      <c r="F73" s="5">
        <f>COUNTIFS(F90:F189, "=1",$B$90:$B$189, "&gt;=2012",$B$90:$B$189, "&lt;=2014")</f>
        <v>0</v>
      </c>
      <c r="G73" s="5">
        <v>9</v>
      </c>
      <c r="H73" s="5">
        <f>COUNTIFS(H90:H189, "=1",$B$90:$B$189, "&gt;=2012",$B$90:$B$189, "&lt;=2014")</f>
        <v>6</v>
      </c>
      <c r="I73" s="16"/>
      <c r="J73" s="5">
        <v>13</v>
      </c>
      <c r="K73" s="5">
        <f>COUNTIFS(K90:K189, "=1",$B$90:$B$189, "&gt;=2012",$B$90:$B$189, "&lt;=2014")</f>
        <v>0</v>
      </c>
      <c r="L73" s="31">
        <v>17</v>
      </c>
      <c r="M73" s="5">
        <f>COUNTIFS(M90:M189, "=1",$B$90:$B$189, "&gt;=2012",$B$90:$B$189, "&lt;=2014")</f>
        <v>0</v>
      </c>
      <c r="N73" s="31">
        <v>21</v>
      </c>
      <c r="O73" s="5">
        <f>COUNTIFS(O90:O189, "=1",$B$90:$B$189, "&gt;=2012",$B$90:$B$189, "&lt;=2014")</f>
        <v>6</v>
      </c>
      <c r="Q73" s="5">
        <v>25</v>
      </c>
      <c r="R73" s="5">
        <f>COUNTIFS(R90:R189, "=1",$B$90:$B$189, "&gt;=2012",$B$90:$B$189, "&lt;=2014")</f>
        <v>0</v>
      </c>
      <c r="S73" s="31">
        <v>29</v>
      </c>
      <c r="T73" s="5">
        <f>COUNTIFS(T90:T189, "=1",$B$90:$B$189, "&gt;=2012",$B$90:$B$189, "&lt;=2014")</f>
        <v>0</v>
      </c>
      <c r="U73" s="31">
        <v>33</v>
      </c>
      <c r="V73" s="5">
        <f>COUNTIFS(V90:V189, "=1",$B$90:$B$189, "&gt;=2012",$B$90:$B$189, "&lt;=2014")</f>
        <v>6</v>
      </c>
    </row>
    <row r="74" spans="1:22" x14ac:dyDescent="0.2">
      <c r="A74" s="5">
        <v>6</v>
      </c>
      <c r="C74" s="5">
        <v>1</v>
      </c>
      <c r="D74" s="5">
        <f>COUNTIFS(D90:D189, "=1",$B$90:$B$189, "&gt;=2015",$B$90:$B$189, "&lt;=2017")</f>
        <v>0</v>
      </c>
      <c r="E74" s="27">
        <v>5</v>
      </c>
      <c r="F74" s="5">
        <f>COUNTIFS(F90:F189, "=1",$B$90:$B$189, "&gt;=2015",$B$90:$B$189, "&lt;=2017")</f>
        <v>0</v>
      </c>
      <c r="G74" s="5">
        <v>9</v>
      </c>
      <c r="H74" s="5">
        <f>COUNTIFS(H90:H189, "=1",$B$90:$B$189, "&gt;=2015",$B$90:$B$189, "&lt;=2017")</f>
        <v>1</v>
      </c>
      <c r="I74" s="16"/>
      <c r="J74" s="5">
        <v>13</v>
      </c>
      <c r="K74" s="5">
        <f>COUNTIFS(K90:K189, "=1",$B$90:$B$189, "&gt;=2015",$B$90:$B$189, "&lt;=2017")</f>
        <v>0</v>
      </c>
      <c r="L74" s="31">
        <v>17</v>
      </c>
      <c r="M74" s="5">
        <f>COUNTIFS(M90:M189, "=1",$B$90:$B$189, "&gt;=2015",$B$90:$B$189, "&lt;=2017")</f>
        <v>0</v>
      </c>
      <c r="N74" s="31">
        <v>21</v>
      </c>
      <c r="O74" s="5">
        <f>COUNTIFS(O90:O189, "=1",$B$90:$B$189, "&gt;=2015",$B$90:$B$189, "&lt;=2017")</f>
        <v>1</v>
      </c>
      <c r="Q74" s="5">
        <v>25</v>
      </c>
      <c r="R74" s="5">
        <f>COUNTIFS(R90:R189, "=1",$B$90:$B$189, "&gt;=2015",$B$90:$B$189, "&lt;=2017")</f>
        <v>0</v>
      </c>
      <c r="S74" s="31">
        <v>29</v>
      </c>
      <c r="T74" s="5">
        <f>COUNTIFS(T90:T189, "=1",$B$90:$B$189, "&gt;=2015",$B$90:$B$189, "&lt;=2017")</f>
        <v>0</v>
      </c>
      <c r="U74" s="31">
        <v>33</v>
      </c>
      <c r="V74" s="5">
        <f>COUNTIFS(V90:V189, "=1",$B$90:$B$189, "&gt;=2015",$B$90:$B$189, "&lt;=2017")</f>
        <v>1</v>
      </c>
    </row>
    <row r="75" spans="1:22" x14ac:dyDescent="0.2">
      <c r="A75" s="5">
        <v>7</v>
      </c>
      <c r="C75" s="5">
        <v>1</v>
      </c>
      <c r="D75" s="5">
        <f>COUNTIFS(D90:D189, "=1",$B$90:$B$189, "&gt;=2018",$B$90:$B$189, "&lt;=2020")</f>
        <v>0</v>
      </c>
      <c r="E75" s="27">
        <v>5</v>
      </c>
      <c r="F75" s="5">
        <f>COUNTIFS(F90:F189, "=1",$B$90:$B$189, "&gt;=2018",$B$90:$B$189, "&lt;=2020")</f>
        <v>0</v>
      </c>
      <c r="G75" s="5">
        <v>9</v>
      </c>
      <c r="H75" s="5">
        <f>COUNTIFS(H90:H189, "=1",$B$90:$B$189, "&gt;=2018",$B$90:$B$189, "&lt;=2020")</f>
        <v>1</v>
      </c>
      <c r="I75" s="16"/>
      <c r="J75" s="5">
        <v>13</v>
      </c>
      <c r="K75" s="5">
        <f>COUNTIFS(K90:K189, "=1",$B$90:$B$189, "&gt;=2018",$B$90:$B$189, "&lt;=2020")</f>
        <v>0</v>
      </c>
      <c r="L75" s="31">
        <v>17</v>
      </c>
      <c r="M75" s="5">
        <f>COUNTIFS(M90:M189, "=1",$B$90:$B$189, "&gt;=2018",$B$90:$B$189, "&lt;=2020")</f>
        <v>0</v>
      </c>
      <c r="N75" s="31">
        <v>21</v>
      </c>
      <c r="O75" s="5">
        <f>COUNTIFS(O90:O189, "=1",$B$90:$B$189, "&gt;=2018",$B$90:$B$189, "&lt;=2020")</f>
        <v>1</v>
      </c>
      <c r="Q75" s="5">
        <v>25</v>
      </c>
      <c r="R75" s="5">
        <f>COUNTIFS(R90:R189, "=1",$B$90:$B$189, "&gt;=2018",$B$90:$B$189, "&lt;=2020")</f>
        <v>0</v>
      </c>
      <c r="S75" s="31">
        <v>29</v>
      </c>
      <c r="T75" s="5">
        <f>COUNTIFS(T90:T189, "=1",$B$90:$B$189, "&gt;=2018",$B$90:$B$189, "&lt;=2020")</f>
        <v>0</v>
      </c>
      <c r="U75" s="31">
        <v>33</v>
      </c>
      <c r="V75" s="5">
        <f>COUNTIFS(V90:V189, "=1",$B$90:$B$189, "&gt;=2018",$B$90:$B$189, "&lt;=2020")</f>
        <v>1</v>
      </c>
    </row>
    <row r="76" spans="1:22" x14ac:dyDescent="0.2">
      <c r="A76" s="5">
        <v>8</v>
      </c>
      <c r="C76" s="5">
        <v>1</v>
      </c>
      <c r="D76" s="5">
        <f>COUNTIFS(D90:D189, "=1",$B$90:$B$189, "&gt;=2021",$B$90:$B$189, "&lt;=2024")</f>
        <v>0</v>
      </c>
      <c r="E76" s="27">
        <v>5</v>
      </c>
      <c r="F76" s="5">
        <f>COUNTIFS(F90:F189, "=1",$B$90:$B$189, "&gt;=2021",$B$90:$B$189, "&lt;=2024")</f>
        <v>0</v>
      </c>
      <c r="G76" s="5">
        <v>9</v>
      </c>
      <c r="H76" s="5">
        <f>COUNTIFS(H90:H189, "=1",$B$90:$B$189, "&gt;=2021",$B$90:$B$189, "&lt;=2024")</f>
        <v>1</v>
      </c>
      <c r="I76" s="16"/>
      <c r="J76" s="5">
        <v>13</v>
      </c>
      <c r="K76" s="5">
        <f>COUNTIFS(K90:K189, "=1",$B$90:$B$189, "&gt;=2021",$B$90:$B$189, "&lt;=2024")</f>
        <v>0</v>
      </c>
      <c r="L76" s="31">
        <v>17</v>
      </c>
      <c r="M76" s="5">
        <f>COUNTIFS(M90:M189, "=1",$B$90:$B$189, "&gt;=2021",$B$90:$B$189, "&lt;=2024")</f>
        <v>0</v>
      </c>
      <c r="N76" s="31">
        <v>21</v>
      </c>
      <c r="O76" s="5">
        <f>COUNTIFS(O90:O189, "=1",$B$90:$B$189, "&gt;=2021",$B$90:$B$189, "&lt;=2024")</f>
        <v>1</v>
      </c>
      <c r="Q76" s="5">
        <v>25</v>
      </c>
      <c r="R76" s="5">
        <f>COUNTIFS(R90:R189, "=1",$B$90:$B$189, "&gt;=2021",$B$90:$B$189, "&lt;=2024")</f>
        <v>0</v>
      </c>
      <c r="S76" s="31">
        <v>29</v>
      </c>
      <c r="T76" s="5">
        <f>COUNTIFS(T90:T189, "=1",$B$90:$B$189, "&gt;=2021",$B$90:$B$189, "&lt;=2024")</f>
        <v>0</v>
      </c>
      <c r="U76" s="31">
        <v>33</v>
      </c>
      <c r="V76" s="5">
        <f>COUNTIFS(V90:V189, "=1",$B$90:$B$189, "&gt;=2021",$B$90:$B$189, "&lt;=2024")</f>
        <v>1</v>
      </c>
    </row>
    <row r="77" spans="1:22" x14ac:dyDescent="0.2">
      <c r="A77" s="3">
        <v>0</v>
      </c>
      <c r="C77" s="3">
        <v>2</v>
      </c>
      <c r="D77" s="3">
        <f>COUNTIFS(D90:D189, "=2",$B$90:$B$189, "&lt;2000")</f>
        <v>2</v>
      </c>
      <c r="E77" s="28">
        <v>6</v>
      </c>
      <c r="F77" s="3">
        <f>COUNTIFS(F90:F189, "=2",$B$90:$B$189, "&lt;2000")</f>
        <v>1</v>
      </c>
      <c r="G77" s="3">
        <v>10</v>
      </c>
      <c r="H77" s="3">
        <f>COUNTIFS(H90:H189, "=2",$B$90:$B$189, "&lt;2000")</f>
        <v>0</v>
      </c>
      <c r="I77" s="16"/>
      <c r="J77" s="3">
        <v>14</v>
      </c>
      <c r="K77" s="3">
        <f>COUNTIFS(K90:K189, "=2",$B$90:$B$189, "&lt;2000")</f>
        <v>0</v>
      </c>
      <c r="L77" s="32">
        <v>18</v>
      </c>
      <c r="M77" s="3">
        <f>COUNTIFS(M90:M189, "=2",$B$90:$B$189, "&lt;2000")</f>
        <v>2</v>
      </c>
      <c r="N77" s="32">
        <v>22</v>
      </c>
      <c r="O77" s="3">
        <f>COUNTIFS(O90:O189, "=2",$B$90:$B$189, "&lt;2000")</f>
        <v>0</v>
      </c>
      <c r="Q77" s="3">
        <v>26</v>
      </c>
      <c r="R77" s="3">
        <f>COUNTIFS(R90:R189, "=2",$B$90:$B$189, "&lt;2000")</f>
        <v>0</v>
      </c>
      <c r="S77" s="32">
        <v>30</v>
      </c>
      <c r="T77" s="3">
        <f>COUNTIFS(T90:T189, "=2",$B$90:$B$189, "&lt;2000")</f>
        <v>0</v>
      </c>
      <c r="U77" s="32">
        <v>34</v>
      </c>
      <c r="V77" s="3">
        <f>COUNTIFS(V90:V189, "=2",$B$90:$B$189, "&lt;2000")</f>
        <v>0</v>
      </c>
    </row>
    <row r="78" spans="1:22" x14ac:dyDescent="0.2">
      <c r="A78" s="3">
        <v>1</v>
      </c>
      <c r="C78" s="3">
        <v>2</v>
      </c>
      <c r="D78" s="3">
        <f>COUNTIFS(D90:D189, "=2",$B$90:$B$189, "&gt;=2000",$B$90:$B$189, "&lt;=2002")</f>
        <v>5</v>
      </c>
      <c r="E78" s="28">
        <v>6</v>
      </c>
      <c r="F78" s="3">
        <f>COUNTIFS(F90:F189, "=2",$B$90:$B$189, "&gt;=2000",$B$90:$B$189, "&lt;=2002")</f>
        <v>5</v>
      </c>
      <c r="G78" s="3">
        <v>10</v>
      </c>
      <c r="H78" s="3">
        <f>COUNTIFS(H90:H189, "=2",$B$90:$B$189, "&gt;=2000",$B$90:$B$189, "&lt;=2002")</f>
        <v>0</v>
      </c>
      <c r="I78" s="16"/>
      <c r="J78" s="3">
        <v>14</v>
      </c>
      <c r="K78" s="3">
        <f>COUNTIFS(K90:K189, "=2",$B$90:$B$189, "&gt;=2000",$B$90:$B$189, "&lt;=2002")</f>
        <v>0</v>
      </c>
      <c r="L78" s="32">
        <v>18</v>
      </c>
      <c r="M78" s="3">
        <f>COUNTIFS(M90:M189, "=2",$B$90:$B$189, "&gt;=2000",$B$90:$B$189, "&lt;=2002")</f>
        <v>5</v>
      </c>
      <c r="N78" s="32">
        <v>22</v>
      </c>
      <c r="O78" s="3">
        <f>COUNTIFS(O90:O189, "=2",$B$90:$B$189, "&gt;=2000",$B$90:$B$189, "&lt;=2002")</f>
        <v>0</v>
      </c>
      <c r="Q78" s="3">
        <v>26</v>
      </c>
      <c r="R78" s="3">
        <f>COUNTIFS(R90:R189, "=2",$B$90:$B$189, "&gt;=2000",$B$90:$B$189, "&lt;=2002")</f>
        <v>0</v>
      </c>
      <c r="S78" s="32">
        <v>30</v>
      </c>
      <c r="T78" s="3">
        <f>COUNTIFS(T90:T189, "=2",$B$90:$B$189, "&gt;=2000",$B$90:$B$189, "&lt;=2002")</f>
        <v>0</v>
      </c>
      <c r="U78" s="32">
        <v>34</v>
      </c>
      <c r="V78" s="3">
        <f>COUNTIFS(V90:V189, "=2",$B$90:$B$189, "&gt;=2000",$B$90:$B$189, "&lt;=2002")</f>
        <v>0</v>
      </c>
    </row>
    <row r="79" spans="1:22" x14ac:dyDescent="0.2">
      <c r="A79" s="3">
        <v>2</v>
      </c>
      <c r="C79" s="3">
        <v>2</v>
      </c>
      <c r="D79" s="3">
        <f>COUNTIFS(D90:D189, "=2",$B$90:$B$189, "&gt;=2003",$B$90:$B$189, "&lt;=2005")</f>
        <v>6</v>
      </c>
      <c r="E79" s="28">
        <v>6</v>
      </c>
      <c r="F79" s="3">
        <f>COUNTIFS(F90:F189, "=2",$B$90:$B$189, "&gt;=2003",$B$90:$B$189, "&lt;=2005")</f>
        <v>6</v>
      </c>
      <c r="G79" s="3">
        <v>10</v>
      </c>
      <c r="H79" s="3">
        <f>COUNTIFS(H90:H189, "=2",$B$90:$B$189, "&gt;=2003",$B$90:$B$189, "&lt;=2005")</f>
        <v>0</v>
      </c>
      <c r="I79" s="16"/>
      <c r="J79" s="3">
        <v>14</v>
      </c>
      <c r="K79" s="3">
        <f>COUNTIFS(K90:K189, "=2",$B$90:$B$189, "&gt;=2003",$B$90:$B$189, "&lt;=2005")</f>
        <v>0</v>
      </c>
      <c r="L79" s="32">
        <v>18</v>
      </c>
      <c r="M79" s="3">
        <f>COUNTIFS(M90:M189, "=2",$B$90:$B$189, "&gt;=2003",$B$90:$B$189, "&lt;=2005")</f>
        <v>5</v>
      </c>
      <c r="N79" s="32">
        <v>22</v>
      </c>
      <c r="O79" s="3">
        <f>COUNTIFS(O90:O189, "=2",$B$90:$B$189, "&gt;=2003",$B$90:$B$189, "&lt;=2005")</f>
        <v>0</v>
      </c>
      <c r="Q79" s="3">
        <v>26</v>
      </c>
      <c r="R79" s="3">
        <f>COUNTIFS(R90:R189, "=2",$B$90:$B$189, "&gt;=2003",$B$90:$B$189, "&lt;=2005")</f>
        <v>0</v>
      </c>
      <c r="S79" s="32">
        <v>30</v>
      </c>
      <c r="T79" s="3">
        <f>COUNTIFS(T90:T189, "=2",$B$90:$B$189, "&gt;=2003",$B$90:$B$189, "&lt;=2005")</f>
        <v>0</v>
      </c>
      <c r="U79" s="32">
        <v>34</v>
      </c>
      <c r="V79" s="3">
        <f>COUNTIFS(V90:V189, "=2",$B$90:$B$189, "&gt;=2003",$B$90:$B$189, "&lt;=2005")</f>
        <v>0</v>
      </c>
    </row>
    <row r="80" spans="1:22" x14ac:dyDescent="0.2">
      <c r="A80" s="14">
        <v>3</v>
      </c>
      <c r="C80" s="14">
        <v>2</v>
      </c>
      <c r="D80" s="14">
        <f>COUNTIFS(D90:D189, "=2",$B$90:$B$189, "&gt;=2006",$B$90:$B$189, "&lt;=2008")</f>
        <v>6</v>
      </c>
      <c r="E80" s="28">
        <v>6</v>
      </c>
      <c r="F80" s="14">
        <f>COUNTIFS(F90:F189, "=2",$B$90:$B$189, "&gt;=2006",$B$90:$B$189, "&lt;=2008")</f>
        <v>6</v>
      </c>
      <c r="G80" s="3">
        <v>10</v>
      </c>
      <c r="H80" s="14">
        <f>COUNTIFS(H90:H189, "=2",$B$90:$B$189, "&gt;=2006",$B$90:$B$189, "&lt;=2008")</f>
        <v>0</v>
      </c>
      <c r="I80" s="17"/>
      <c r="J80" s="3">
        <v>14</v>
      </c>
      <c r="K80" s="14">
        <f>COUNTIFS(K90:K189, "=2",$B$90:$B$189, "&gt;=2006",$B$90:$B$189, "&lt;=2008")</f>
        <v>0</v>
      </c>
      <c r="L80" s="32">
        <v>18</v>
      </c>
      <c r="M80" s="14">
        <f>COUNTIFS(M90:M189, "=2",$B$90:$B$189, "&gt;=2006",$B$90:$B$189, "&lt;=2008")</f>
        <v>6</v>
      </c>
      <c r="N80" s="32">
        <v>22</v>
      </c>
      <c r="O80" s="14">
        <f>COUNTIFS(O90:O189, "=2",$B$90:$B$189, "&gt;=2006",$B$90:$B$189, "&lt;=2008")</f>
        <v>0</v>
      </c>
      <c r="Q80" s="3">
        <v>26</v>
      </c>
      <c r="R80" s="14">
        <f>COUNTIFS(R90:R189, "=2",$B$90:$B$189, "&gt;=2006",$B$90:$B$189, "&lt;=2008")</f>
        <v>0</v>
      </c>
      <c r="S80" s="32">
        <v>30</v>
      </c>
      <c r="T80" s="14">
        <f>COUNTIFS(T90:T189, "=2",$B$90:$B$189, "&gt;=2006",$B$90:$B$189, "&lt;=2008")</f>
        <v>0</v>
      </c>
      <c r="U80" s="32">
        <v>34</v>
      </c>
      <c r="V80" s="14">
        <f>COUNTIFS(V90:V189, "=2",$B$90:$B$189, "&gt;=2006",$B$90:$B$189, "&lt;=2008")</f>
        <v>0</v>
      </c>
    </row>
    <row r="81" spans="1:22" x14ac:dyDescent="0.2">
      <c r="A81" s="3">
        <v>4</v>
      </c>
      <c r="C81" s="3">
        <v>2</v>
      </c>
      <c r="D81" s="3">
        <f>COUNTIFS(D90:D189, "=2",$B$90:$B$189, "&gt;=2009",$B$90:$B$189, "&lt;=2011")</f>
        <v>7</v>
      </c>
      <c r="E81" s="28">
        <v>6</v>
      </c>
      <c r="F81" s="3">
        <f>COUNTIFS(F90:F189, "=2",$B$90:$B$189, "&gt;=2009",$B$90:$B$189, "&lt;=2011")</f>
        <v>7</v>
      </c>
      <c r="G81" s="3">
        <v>10</v>
      </c>
      <c r="H81" s="3">
        <f>COUNTIFS(H90:H189, "=2",$B$90:$B$189, "&gt;=2009",$B$90:$B$189, "&lt;=2011")</f>
        <v>0</v>
      </c>
      <c r="I81" s="16"/>
      <c r="J81" s="3">
        <v>14</v>
      </c>
      <c r="K81" s="3">
        <f>COUNTIFS(K90:K189, "=2",$B$90:$B$189, "&gt;=2009",$B$90:$B$189, "&lt;=2011")</f>
        <v>0</v>
      </c>
      <c r="L81" s="32">
        <v>18</v>
      </c>
      <c r="M81" s="3">
        <f>COUNTIFS(M90:M189, "=2",$B$90:$B$189, "&gt;=2009",$B$90:$B$189, "&lt;=2011")</f>
        <v>6</v>
      </c>
      <c r="N81" s="32">
        <v>22</v>
      </c>
      <c r="O81" s="3">
        <f>COUNTIFS(O90:O189, "=2",$B$90:$B$189, "&gt;=2009",$B$90:$B$189, "&lt;=2011")</f>
        <v>0</v>
      </c>
      <c r="Q81" s="3">
        <v>26</v>
      </c>
      <c r="R81" s="3">
        <f>COUNTIFS(R90:R189, "=2",$B$90:$B$189, "&gt;=2009",$B$90:$B$189, "&lt;=2011")</f>
        <v>0</v>
      </c>
      <c r="S81" s="32">
        <v>30</v>
      </c>
      <c r="T81" s="3">
        <f>COUNTIFS(T90:T189, "=2",$B$90:$B$189, "&gt;=2009",$B$90:$B$189, "&lt;=2011")</f>
        <v>4</v>
      </c>
      <c r="U81" s="32">
        <v>34</v>
      </c>
      <c r="V81" s="3">
        <f>COUNTIFS(V90:V189, "=2",$B$90:$B$189, "&gt;=2009",$B$90:$B$189, "&lt;=2011")</f>
        <v>0</v>
      </c>
    </row>
    <row r="82" spans="1:22" x14ac:dyDescent="0.2">
      <c r="A82" s="3">
        <v>5</v>
      </c>
      <c r="C82" s="3">
        <v>2</v>
      </c>
      <c r="D82" s="3">
        <f>COUNTIFS(D90:D189, "=2",$B$90:$B$189, "&gt;=2012",$B$90:$B$189, "&lt;=2014")</f>
        <v>6</v>
      </c>
      <c r="E82" s="28">
        <v>6</v>
      </c>
      <c r="F82" s="3">
        <f>COUNTIFS(F90:F189, "=2",$B$90:$B$189, "&gt;=2012",$B$90:$B$189, "&lt;=2014")</f>
        <v>6</v>
      </c>
      <c r="G82" s="3">
        <v>10</v>
      </c>
      <c r="H82" s="3">
        <f>COUNTIFS(H90:H189, "=2",$B$90:$B$189, "&gt;=2012",$B$90:$B$189, "&lt;=2014")</f>
        <v>0</v>
      </c>
      <c r="I82" s="16"/>
      <c r="J82" s="3">
        <v>14</v>
      </c>
      <c r="K82" s="3">
        <f>COUNTIFS(K90:K189, "=2",$B$90:$B$189, "&gt;=2012",$B$90:$B$189, "&lt;=2014")</f>
        <v>0</v>
      </c>
      <c r="L82" s="32">
        <v>18</v>
      </c>
      <c r="M82" s="3">
        <f>COUNTIFS(M90:M189, "=2",$B$90:$B$189, "&gt;=2012",$B$90:$B$189, "&lt;=2014")</f>
        <v>6</v>
      </c>
      <c r="N82" s="32">
        <v>22</v>
      </c>
      <c r="O82" s="3">
        <f>COUNTIFS(O90:O189, "=2",$B$90:$B$189, "&gt;=2012",$B$90:$B$189, "&lt;=2014")</f>
        <v>0</v>
      </c>
      <c r="Q82" s="3">
        <v>26</v>
      </c>
      <c r="R82" s="3">
        <f>COUNTIFS(R90:R189, "=2",$B$90:$B$189, "&gt;=2012",$B$90:$B$189, "&lt;=2014")</f>
        <v>0</v>
      </c>
      <c r="S82" s="32">
        <v>30</v>
      </c>
      <c r="T82" s="3">
        <f>COUNTIFS(T90:T189, "=2",$B$90:$B$189, "&gt;=2012",$B$90:$B$189, "&lt;=2014")</f>
        <v>6</v>
      </c>
      <c r="U82" s="32">
        <v>34</v>
      </c>
      <c r="V82" s="3">
        <f>COUNTIFS(V90:V189, "=2",$B$90:$B$189, "&gt;=2012",$B$90:$B$189, "&lt;=2014")</f>
        <v>0</v>
      </c>
    </row>
    <row r="83" spans="1:22" x14ac:dyDescent="0.2">
      <c r="A83" s="3">
        <v>6</v>
      </c>
      <c r="C83" s="3">
        <v>2</v>
      </c>
      <c r="D83" s="3">
        <f>COUNTIFS(D90:D189, "=2",$B$90:$B$189, "&gt;=2015",$B$90:$B$189, "&lt;=2017")</f>
        <v>1</v>
      </c>
      <c r="E83" s="28">
        <v>6</v>
      </c>
      <c r="F83" s="3">
        <f>COUNTIFS(F90:F189, "=2",$B$90:$B$189, "&gt;=2015",$B$90:$B$189, "&lt;=2017")</f>
        <v>1</v>
      </c>
      <c r="G83" s="3">
        <v>10</v>
      </c>
      <c r="H83" s="3">
        <f>COUNTIFS(H90:H189, "=2",$B$90:$B$189, "&gt;=2015",$B$90:$B$189, "&lt;=2017")</f>
        <v>0</v>
      </c>
      <c r="I83" s="16"/>
      <c r="J83" s="3">
        <v>14</v>
      </c>
      <c r="K83" s="3">
        <f>COUNTIFS(K90:K189, "=2",$B$90:$B$189, "&gt;=2015",$B$90:$B$189, "&lt;=2017")</f>
        <v>0</v>
      </c>
      <c r="L83" s="32">
        <v>18</v>
      </c>
      <c r="M83" s="3">
        <f>COUNTIFS(M90:M189, "=2",$B$90:$B$189, "&gt;=2015",$B$90:$B$189, "&lt;=2017")</f>
        <v>1</v>
      </c>
      <c r="N83" s="32">
        <v>22</v>
      </c>
      <c r="O83" s="3">
        <f>COUNTIFS(O90:O189, "=2",$B$90:$B$189, "&gt;=2015",$B$90:$B$189, "&lt;=2017")</f>
        <v>0</v>
      </c>
      <c r="Q83" s="3">
        <v>26</v>
      </c>
      <c r="R83" s="3">
        <f>COUNTIFS(R90:R189, "=2",$B$90:$B$189, "&gt;=2015",$B$90:$B$189, "&lt;=2017")</f>
        <v>0</v>
      </c>
      <c r="S83" s="32">
        <v>30</v>
      </c>
      <c r="T83" s="3">
        <f>COUNTIFS(T90:T189, "=2",$B$90:$B$189, "&gt;=2015",$B$90:$B$189, "&lt;=2017")</f>
        <v>1</v>
      </c>
      <c r="U83" s="32">
        <v>34</v>
      </c>
      <c r="V83" s="3">
        <f>COUNTIFS(V90:V189, "=2",$B$90:$B$189, "&gt;=2015",$B$90:$B$189, "&lt;=2017")</f>
        <v>0</v>
      </c>
    </row>
    <row r="84" spans="1:22" x14ac:dyDescent="0.2">
      <c r="A84" s="3">
        <v>7</v>
      </c>
      <c r="C84" s="3">
        <v>2</v>
      </c>
      <c r="D84" s="3">
        <f>COUNTIFS(D90:D189, "=2",$B$90:$B$189, "&gt;=2018",$B$90:$B$189, "&lt;=2020")</f>
        <v>1</v>
      </c>
      <c r="E84" s="28">
        <v>6</v>
      </c>
      <c r="F84" s="3">
        <f>COUNTIFS(F90:F189, "=2",$B$90:$B$189, "&gt;=2018",$B$90:$B$189, "&lt;=2020")</f>
        <v>1</v>
      </c>
      <c r="G84" s="3">
        <v>10</v>
      </c>
      <c r="H84" s="3">
        <f>COUNTIFS(H90:H189, "=2",$B$90:$B$189, "&gt;=2018",$B$90:$B$189, "&lt;=2020")</f>
        <v>0</v>
      </c>
      <c r="I84" s="16"/>
      <c r="J84" s="3">
        <v>14</v>
      </c>
      <c r="K84" s="3">
        <f>COUNTIFS(K90:K189, "=2",$B$90:$B$189, "&gt;=2018",$B$90:$B$189, "&lt;=2020")</f>
        <v>0</v>
      </c>
      <c r="L84" s="32">
        <v>18</v>
      </c>
      <c r="M84" s="3">
        <f>COUNTIFS(M90:M189, "=2",$B$90:$B$189, "&gt;=2018",$B$90:$B$189, "&lt;=2020")</f>
        <v>1</v>
      </c>
      <c r="N84" s="32">
        <v>22</v>
      </c>
      <c r="O84" s="3">
        <f>COUNTIFS(O90:O189, "=2",$B$90:$B$189, "&gt;=2018",$B$90:$B$189, "&lt;=2020")</f>
        <v>0</v>
      </c>
      <c r="Q84" s="3">
        <v>26</v>
      </c>
      <c r="R84" s="3">
        <f>COUNTIFS(R90:R189, "=2",$B$90:$B$189, "&gt;=2018",$B$90:$B$189, "&lt;=2020")</f>
        <v>0</v>
      </c>
      <c r="S84" s="32">
        <v>30</v>
      </c>
      <c r="T84" s="3">
        <f>COUNTIFS(T90:T189, "=2",$B$90:$B$189, "&gt;=2018",$B$90:$B$189, "&lt;=2020")</f>
        <v>1</v>
      </c>
      <c r="U84" s="32">
        <v>34</v>
      </c>
      <c r="V84" s="3">
        <f>COUNTIFS(V90:V189, "=2",$B$90:$B$189, "&gt;=2018",$B$90:$B$189, "&lt;=2020")</f>
        <v>0</v>
      </c>
    </row>
    <row r="85" spans="1:22" x14ac:dyDescent="0.2">
      <c r="A85" s="3">
        <v>8</v>
      </c>
      <c r="C85" s="3">
        <v>2</v>
      </c>
      <c r="D85" s="3">
        <f>COUNTIFS(D90:D189, "=2",$B$90:$B$189, "&gt;=2021",$B$90:$B$189, "&lt;=2024")</f>
        <v>1</v>
      </c>
      <c r="E85" s="28">
        <v>6</v>
      </c>
      <c r="F85" s="3">
        <f>COUNTIFS(F90:F189, "=2",$B$90:$B$189, "&gt;=2021",$B$90:$B$189, "&lt;=2024")</f>
        <v>1</v>
      </c>
      <c r="G85" s="3">
        <v>10</v>
      </c>
      <c r="H85" s="3">
        <f>COUNTIFS(H90:H189, "=2",$B$90:$B$189, "&gt;=2021",$B$90:$B$189, "&lt;=2024")</f>
        <v>0</v>
      </c>
      <c r="I85" s="16"/>
      <c r="J85" s="3">
        <v>14</v>
      </c>
      <c r="K85" s="3">
        <f>COUNTIFS(K90:K189, "=2",$B$90:$B$189, "&gt;=2021",$B$90:$B$189, "&lt;=2024")</f>
        <v>0</v>
      </c>
      <c r="L85" s="32">
        <v>18</v>
      </c>
      <c r="M85" s="3">
        <f>COUNTIFS(M90:M189, "=2",$B$90:$B$189, "&gt;=2021",$B$90:$B$189, "&lt;=2024")</f>
        <v>1</v>
      </c>
      <c r="N85" s="32">
        <v>22</v>
      </c>
      <c r="O85" s="3">
        <f>COUNTIFS(O90:O189, "=2",$B$90:$B$189, "&gt;=2021",$B$90:$B$189, "&lt;=2024")</f>
        <v>0</v>
      </c>
      <c r="Q85" s="3">
        <v>26</v>
      </c>
      <c r="R85" s="3">
        <f>COUNTIFS(R90:R189, "=2",$B$90:$B$189, "&gt;=2021",$B$90:$B$189, "&lt;=2024")</f>
        <v>0</v>
      </c>
      <c r="S85" s="32">
        <v>30</v>
      </c>
      <c r="T85" s="3">
        <f>COUNTIFS(T90:T189, "=2",$B$90:$B$189, "&gt;=2021",$B$90:$B$189, "&lt;=2024")</f>
        <v>1</v>
      </c>
      <c r="U85" s="32">
        <v>34</v>
      </c>
      <c r="V85" s="3">
        <f>COUNTIFS(V90:V189, "=2",$B$90:$B$189, "&gt;=2021",$B$90:$B$189, "&lt;=2024")</f>
        <v>0</v>
      </c>
    </row>
    <row r="86" spans="1:22" x14ac:dyDescent="0.2">
      <c r="A86" s="53" t="s">
        <v>24</v>
      </c>
      <c r="B86" s="54"/>
      <c r="D86" s="4">
        <f>SUM(D59:D85)</f>
        <v>35</v>
      </c>
      <c r="E86" s="4"/>
      <c r="F86" s="4">
        <f>SUM(F59:F85)</f>
        <v>35</v>
      </c>
      <c r="G86" s="4"/>
      <c r="H86" s="4">
        <f>SUM(H59:H85)</f>
        <v>35</v>
      </c>
      <c r="I86" s="16"/>
      <c r="J86" s="16"/>
      <c r="K86" s="4">
        <f>SUM(K59:K85)</f>
        <v>35</v>
      </c>
      <c r="L86" s="4"/>
      <c r="M86" s="4">
        <f>SUM(M59:M85)</f>
        <v>35</v>
      </c>
      <c r="N86" s="4"/>
      <c r="O86" s="4">
        <f>SUM(O59:O85)</f>
        <v>35</v>
      </c>
      <c r="R86" s="4">
        <f>SUM(R59:R85)</f>
        <v>35</v>
      </c>
      <c r="S86" s="4"/>
      <c r="T86" s="4">
        <f>SUM(T59:T85)</f>
        <v>35</v>
      </c>
      <c r="U86" s="4"/>
      <c r="V86" s="4">
        <f>SUM(V59:V85)</f>
        <v>35</v>
      </c>
    </row>
    <row r="88" spans="1:22" ht="40" customHeight="1" x14ac:dyDescent="0.2">
      <c r="A88" s="19"/>
      <c r="B88" s="19"/>
      <c r="D88" s="18"/>
      <c r="E88" s="18"/>
      <c r="F88" s="51"/>
      <c r="G88" s="51"/>
      <c r="H88" s="51"/>
    </row>
    <row r="89" spans="1:22" ht="60" x14ac:dyDescent="0.2">
      <c r="A89" s="10" t="s">
        <v>0</v>
      </c>
      <c r="B89" s="10" t="s">
        <v>96</v>
      </c>
      <c r="D89" s="6" t="s">
        <v>178</v>
      </c>
      <c r="E89" s="6"/>
      <c r="F89" s="6" t="s">
        <v>179</v>
      </c>
      <c r="G89" s="6"/>
      <c r="H89" s="6" t="s">
        <v>180</v>
      </c>
      <c r="I89" s="12"/>
      <c r="J89" s="6"/>
      <c r="K89" s="6" t="s">
        <v>23</v>
      </c>
      <c r="L89" s="6"/>
      <c r="M89" s="6" t="s">
        <v>181</v>
      </c>
      <c r="N89" s="6"/>
      <c r="O89" s="6" t="s">
        <v>184</v>
      </c>
      <c r="Q89" s="6"/>
      <c r="R89" s="6" t="s">
        <v>183</v>
      </c>
      <c r="S89" s="6"/>
      <c r="T89" s="6" t="s">
        <v>107</v>
      </c>
      <c r="U89" s="6"/>
      <c r="V89" s="6" t="s">
        <v>108</v>
      </c>
    </row>
    <row r="90" spans="1:22" ht="51" x14ac:dyDescent="0.2">
      <c r="A90" s="3" t="s">
        <v>28</v>
      </c>
      <c r="B90" s="7">
        <v>1998</v>
      </c>
      <c r="C90" s="41" t="s">
        <v>187</v>
      </c>
      <c r="D90" s="7">
        <v>2</v>
      </c>
      <c r="E90" s="7"/>
      <c r="F90" s="7">
        <v>1</v>
      </c>
      <c r="G90" s="7"/>
      <c r="H90" s="7">
        <v>1</v>
      </c>
      <c r="I90" s="13"/>
      <c r="J90" s="7"/>
      <c r="K90" s="7">
        <v>0</v>
      </c>
      <c r="L90" s="7"/>
      <c r="M90" s="7">
        <v>2</v>
      </c>
      <c r="N90" s="7"/>
      <c r="O90" s="7">
        <v>1</v>
      </c>
      <c r="Q90" s="7"/>
      <c r="R90" s="7">
        <v>0</v>
      </c>
      <c r="S90" s="7"/>
      <c r="T90" s="7">
        <v>0</v>
      </c>
      <c r="U90" s="7"/>
      <c r="V90" s="7">
        <v>1</v>
      </c>
    </row>
    <row r="91" spans="1:22" ht="51" x14ac:dyDescent="0.2">
      <c r="A91" s="3" t="s">
        <v>30</v>
      </c>
      <c r="B91" s="7">
        <v>2010</v>
      </c>
      <c r="C91" s="41" t="s">
        <v>188</v>
      </c>
      <c r="D91" s="7">
        <v>2</v>
      </c>
      <c r="E91" s="7"/>
      <c r="F91" s="7">
        <v>2</v>
      </c>
      <c r="G91" s="7"/>
      <c r="H91" s="7">
        <v>1</v>
      </c>
      <c r="I91" s="13"/>
      <c r="J91" s="7"/>
      <c r="K91" s="7">
        <v>0</v>
      </c>
      <c r="L91" s="7"/>
      <c r="M91" s="7">
        <v>1</v>
      </c>
      <c r="N91" s="7"/>
      <c r="O91" s="7">
        <v>1</v>
      </c>
      <c r="Q91" s="7"/>
      <c r="R91" s="7">
        <v>0</v>
      </c>
      <c r="S91" s="7"/>
      <c r="T91" s="7">
        <v>0</v>
      </c>
      <c r="U91" s="7"/>
      <c r="V91" s="7">
        <v>1</v>
      </c>
    </row>
    <row r="92" spans="1:22" ht="51" x14ac:dyDescent="0.2">
      <c r="A92" s="3" t="s">
        <v>29</v>
      </c>
      <c r="B92" s="7">
        <v>1999</v>
      </c>
      <c r="C92" s="41" t="s">
        <v>189</v>
      </c>
      <c r="D92" s="7">
        <v>2</v>
      </c>
      <c r="E92" s="7"/>
      <c r="F92" s="7">
        <v>2</v>
      </c>
      <c r="G92" s="7"/>
      <c r="H92" s="7">
        <v>1</v>
      </c>
      <c r="I92" s="13"/>
      <c r="J92" s="7"/>
      <c r="K92" s="7">
        <v>0</v>
      </c>
      <c r="L92" s="7"/>
      <c r="M92" s="7">
        <v>2</v>
      </c>
      <c r="N92" s="7"/>
      <c r="O92" s="7">
        <v>1</v>
      </c>
      <c r="Q92" s="7"/>
      <c r="R92" s="7">
        <v>0</v>
      </c>
      <c r="S92" s="7"/>
      <c r="T92" s="7">
        <v>0</v>
      </c>
      <c r="U92" s="7"/>
      <c r="V92" s="7">
        <v>1</v>
      </c>
    </row>
    <row r="93" spans="1:22" ht="51" x14ac:dyDescent="0.2">
      <c r="A93" s="3" t="s">
        <v>31</v>
      </c>
      <c r="B93" s="7">
        <v>2000</v>
      </c>
      <c r="C93" s="41" t="s">
        <v>190</v>
      </c>
      <c r="D93" s="7">
        <v>2</v>
      </c>
      <c r="E93" s="7"/>
      <c r="F93" s="7">
        <v>2</v>
      </c>
      <c r="G93" s="7"/>
      <c r="H93" s="7">
        <v>1</v>
      </c>
      <c r="I93" s="13"/>
      <c r="J93" s="7"/>
      <c r="K93" s="7">
        <v>0</v>
      </c>
      <c r="L93" s="7"/>
      <c r="M93" s="7">
        <v>2</v>
      </c>
      <c r="N93" s="7"/>
      <c r="O93" s="7">
        <v>1</v>
      </c>
      <c r="Q93" s="7"/>
      <c r="R93" s="7">
        <v>0</v>
      </c>
      <c r="S93" s="7"/>
      <c r="T93" s="7">
        <v>0</v>
      </c>
      <c r="U93" s="7"/>
      <c r="V93" s="7">
        <v>1</v>
      </c>
    </row>
    <row r="94" spans="1:22" ht="51" x14ac:dyDescent="0.2">
      <c r="A94" s="3" t="s">
        <v>32</v>
      </c>
      <c r="B94" s="7">
        <v>2001</v>
      </c>
      <c r="C94" s="41" t="s">
        <v>191</v>
      </c>
      <c r="D94" s="7">
        <v>2</v>
      </c>
      <c r="E94" s="7"/>
      <c r="F94" s="7">
        <v>2</v>
      </c>
      <c r="G94" s="7"/>
      <c r="H94" s="7">
        <v>1</v>
      </c>
      <c r="I94" s="13"/>
      <c r="J94" s="7"/>
      <c r="K94" s="7">
        <v>0</v>
      </c>
      <c r="L94" s="7"/>
      <c r="M94" s="7">
        <v>2</v>
      </c>
      <c r="N94" s="7"/>
      <c r="O94" s="7">
        <v>1</v>
      </c>
      <c r="Q94" s="7"/>
      <c r="R94" s="7">
        <v>0</v>
      </c>
      <c r="S94" s="7"/>
      <c r="T94" s="7">
        <v>0</v>
      </c>
      <c r="U94" s="7"/>
      <c r="V94" s="7">
        <v>1</v>
      </c>
    </row>
    <row r="95" spans="1:22" ht="51" x14ac:dyDescent="0.2">
      <c r="A95" s="3" t="s">
        <v>33</v>
      </c>
      <c r="B95" s="7">
        <v>2001</v>
      </c>
      <c r="C95" s="41" t="s">
        <v>192</v>
      </c>
      <c r="D95" s="7">
        <v>2</v>
      </c>
      <c r="E95" s="7"/>
      <c r="F95" s="7">
        <v>2</v>
      </c>
      <c r="G95" s="7"/>
      <c r="H95" s="7">
        <v>1</v>
      </c>
      <c r="I95" s="13"/>
      <c r="J95" s="7"/>
      <c r="K95" s="7">
        <v>0</v>
      </c>
      <c r="L95" s="7"/>
      <c r="M95" s="7">
        <v>2</v>
      </c>
      <c r="N95" s="7"/>
      <c r="O95" s="7">
        <v>1</v>
      </c>
      <c r="Q95" s="7"/>
      <c r="R95" s="7">
        <v>0</v>
      </c>
      <c r="S95" s="7"/>
      <c r="T95" s="7">
        <v>0</v>
      </c>
      <c r="U95" s="7"/>
      <c r="V95" s="7">
        <v>1</v>
      </c>
    </row>
    <row r="96" spans="1:22" ht="51" x14ac:dyDescent="0.2">
      <c r="A96" s="3" t="s">
        <v>34</v>
      </c>
      <c r="B96" s="7">
        <v>2002</v>
      </c>
      <c r="C96" s="41" t="s">
        <v>193</v>
      </c>
      <c r="D96" s="7">
        <v>2</v>
      </c>
      <c r="E96" s="7"/>
      <c r="F96" s="7">
        <v>2</v>
      </c>
      <c r="G96" s="7"/>
      <c r="H96" s="7">
        <v>1</v>
      </c>
      <c r="I96" s="13"/>
      <c r="J96" s="7"/>
      <c r="K96" s="7">
        <v>0</v>
      </c>
      <c r="L96" s="7"/>
      <c r="M96" s="7">
        <v>2</v>
      </c>
      <c r="N96" s="7"/>
      <c r="O96" s="7">
        <v>1</v>
      </c>
      <c r="Q96" s="7"/>
      <c r="R96" s="7">
        <v>0</v>
      </c>
      <c r="S96" s="7"/>
      <c r="T96" s="7">
        <v>0</v>
      </c>
      <c r="U96" s="7"/>
      <c r="V96" s="7">
        <v>1</v>
      </c>
    </row>
    <row r="97" spans="1:22" ht="51" x14ac:dyDescent="0.2">
      <c r="A97" s="3" t="s">
        <v>224</v>
      </c>
      <c r="B97" s="7">
        <v>2002</v>
      </c>
      <c r="C97" s="41" t="s">
        <v>194</v>
      </c>
      <c r="D97" s="7">
        <v>2</v>
      </c>
      <c r="E97" s="7"/>
      <c r="F97" s="7">
        <v>2</v>
      </c>
      <c r="G97" s="7"/>
      <c r="H97" s="7">
        <v>1</v>
      </c>
      <c r="I97" s="13"/>
      <c r="J97" s="7"/>
      <c r="K97" s="7">
        <v>0</v>
      </c>
      <c r="L97" s="7"/>
      <c r="M97" s="7">
        <v>2</v>
      </c>
      <c r="N97" s="7"/>
      <c r="O97" s="7">
        <v>1</v>
      </c>
      <c r="Q97" s="7"/>
      <c r="R97" s="7">
        <v>0</v>
      </c>
      <c r="S97" s="7"/>
      <c r="T97" s="7">
        <v>0</v>
      </c>
      <c r="U97" s="7"/>
      <c r="V97" s="7">
        <v>1</v>
      </c>
    </row>
    <row r="98" spans="1:22" ht="51" x14ac:dyDescent="0.2">
      <c r="A98" s="3" t="s">
        <v>35</v>
      </c>
      <c r="B98" s="7">
        <v>2003</v>
      </c>
      <c r="C98" s="41" t="s">
        <v>195</v>
      </c>
      <c r="D98" s="7">
        <v>2</v>
      </c>
      <c r="E98" s="7"/>
      <c r="F98" s="7">
        <v>2</v>
      </c>
      <c r="G98" s="7"/>
      <c r="H98" s="7">
        <v>1</v>
      </c>
      <c r="I98" s="13"/>
      <c r="J98" s="7"/>
      <c r="K98" s="7">
        <v>0</v>
      </c>
      <c r="L98" s="7"/>
      <c r="M98" s="7">
        <v>1</v>
      </c>
      <c r="N98" s="7"/>
      <c r="O98" s="7">
        <v>1</v>
      </c>
      <c r="Q98" s="7"/>
      <c r="R98" s="7">
        <v>0</v>
      </c>
      <c r="S98" s="7"/>
      <c r="T98" s="7">
        <v>0</v>
      </c>
      <c r="U98" s="7"/>
      <c r="V98" s="7">
        <v>1</v>
      </c>
    </row>
    <row r="99" spans="1:22" ht="51" x14ac:dyDescent="0.2">
      <c r="A99" s="4" t="s">
        <v>36</v>
      </c>
      <c r="B99" s="8">
        <v>2003</v>
      </c>
      <c r="C99" s="41" t="s">
        <v>196</v>
      </c>
      <c r="D99" s="8">
        <v>2</v>
      </c>
      <c r="E99" s="8"/>
      <c r="F99" s="8">
        <v>2</v>
      </c>
      <c r="G99" s="8"/>
      <c r="H99" s="8">
        <v>1</v>
      </c>
      <c r="I99" s="13"/>
      <c r="J99" s="8"/>
      <c r="K99" s="8">
        <v>0</v>
      </c>
      <c r="L99" s="8"/>
      <c r="M99" s="8">
        <v>2</v>
      </c>
      <c r="N99" s="8"/>
      <c r="O99" s="8">
        <v>1</v>
      </c>
      <c r="Q99" s="8"/>
      <c r="R99" s="8">
        <v>0</v>
      </c>
      <c r="S99" s="8"/>
      <c r="T99" s="8">
        <v>0</v>
      </c>
      <c r="U99" s="8"/>
      <c r="V99" s="8">
        <v>1</v>
      </c>
    </row>
    <row r="100" spans="1:22" ht="51" x14ac:dyDescent="0.2">
      <c r="A100" s="4" t="s">
        <v>37</v>
      </c>
      <c r="B100" s="8">
        <v>2004</v>
      </c>
      <c r="C100" s="41" t="s">
        <v>197</v>
      </c>
      <c r="D100" s="8">
        <v>2</v>
      </c>
      <c r="E100" s="8"/>
      <c r="F100" s="8">
        <v>2</v>
      </c>
      <c r="G100" s="8"/>
      <c r="H100" s="8">
        <v>1</v>
      </c>
      <c r="I100" s="13"/>
      <c r="J100" s="8"/>
      <c r="K100" s="8">
        <v>0</v>
      </c>
      <c r="L100" s="8"/>
      <c r="M100" s="8">
        <v>2</v>
      </c>
      <c r="N100" s="8"/>
      <c r="O100" s="8">
        <v>1</v>
      </c>
      <c r="Q100" s="8"/>
      <c r="R100" s="8">
        <v>0</v>
      </c>
      <c r="S100" s="8"/>
      <c r="T100" s="8">
        <v>0</v>
      </c>
      <c r="U100" s="8"/>
      <c r="V100" s="8">
        <v>1</v>
      </c>
    </row>
    <row r="101" spans="1:22" ht="51" x14ac:dyDescent="0.2">
      <c r="A101" s="4" t="s">
        <v>38</v>
      </c>
      <c r="B101" s="8">
        <v>2004</v>
      </c>
      <c r="C101" s="41" t="s">
        <v>198</v>
      </c>
      <c r="D101" s="8">
        <v>2</v>
      </c>
      <c r="E101" s="8"/>
      <c r="F101" s="8">
        <v>2</v>
      </c>
      <c r="G101" s="8"/>
      <c r="H101" s="8">
        <v>1</v>
      </c>
      <c r="I101" s="13"/>
      <c r="J101" s="8"/>
      <c r="K101" s="8">
        <v>0</v>
      </c>
      <c r="L101" s="8"/>
      <c r="M101" s="8">
        <v>2</v>
      </c>
      <c r="N101" s="8"/>
      <c r="O101" s="8">
        <v>1</v>
      </c>
      <c r="Q101" s="8"/>
      <c r="R101" s="8">
        <v>0</v>
      </c>
      <c r="S101" s="8"/>
      <c r="T101" s="8">
        <v>0</v>
      </c>
      <c r="U101" s="8"/>
      <c r="V101" s="8">
        <v>1</v>
      </c>
    </row>
    <row r="102" spans="1:22" ht="51" x14ac:dyDescent="0.2">
      <c r="A102" s="4" t="s">
        <v>39</v>
      </c>
      <c r="B102" s="8">
        <v>2005</v>
      </c>
      <c r="C102" s="41" t="s">
        <v>199</v>
      </c>
      <c r="D102" s="8">
        <v>2</v>
      </c>
      <c r="E102" s="8"/>
      <c r="F102" s="8">
        <v>2</v>
      </c>
      <c r="G102" s="8"/>
      <c r="H102" s="8">
        <v>1</v>
      </c>
      <c r="I102" s="13"/>
      <c r="J102" s="8"/>
      <c r="K102" s="8">
        <v>0</v>
      </c>
      <c r="L102" s="8"/>
      <c r="M102" s="8">
        <v>2</v>
      </c>
      <c r="N102" s="8"/>
      <c r="O102" s="8">
        <v>1</v>
      </c>
      <c r="Q102" s="8"/>
      <c r="R102" s="8">
        <v>0</v>
      </c>
      <c r="S102" s="8"/>
      <c r="T102" s="8">
        <v>0</v>
      </c>
      <c r="U102" s="8"/>
      <c r="V102" s="8">
        <v>1</v>
      </c>
    </row>
    <row r="103" spans="1:22" ht="51" x14ac:dyDescent="0.2">
      <c r="A103" s="4" t="s">
        <v>40</v>
      </c>
      <c r="B103" s="8">
        <v>2005</v>
      </c>
      <c r="C103" s="41" t="s">
        <v>200</v>
      </c>
      <c r="D103" s="8">
        <v>2</v>
      </c>
      <c r="E103" s="8"/>
      <c r="F103" s="8">
        <v>2</v>
      </c>
      <c r="G103" s="8"/>
      <c r="H103" s="8">
        <v>1</v>
      </c>
      <c r="I103" s="13"/>
      <c r="J103" s="8"/>
      <c r="K103" s="8">
        <v>0</v>
      </c>
      <c r="L103" s="8"/>
      <c r="M103" s="8">
        <v>2</v>
      </c>
      <c r="N103" s="8"/>
      <c r="O103" s="8">
        <v>1</v>
      </c>
      <c r="Q103" s="8"/>
      <c r="R103" s="8">
        <v>0</v>
      </c>
      <c r="S103" s="8"/>
      <c r="T103" s="8">
        <v>0</v>
      </c>
      <c r="U103" s="8"/>
      <c r="V103" s="8">
        <v>1</v>
      </c>
    </row>
    <row r="104" spans="1:22" ht="51" x14ac:dyDescent="0.2">
      <c r="A104" s="4" t="s">
        <v>41</v>
      </c>
      <c r="B104" s="8">
        <v>2006</v>
      </c>
      <c r="C104" s="41" t="s">
        <v>201</v>
      </c>
      <c r="D104" s="8">
        <v>2</v>
      </c>
      <c r="E104" s="8"/>
      <c r="F104" s="8">
        <v>2</v>
      </c>
      <c r="G104" s="8"/>
      <c r="H104" s="8">
        <v>1</v>
      </c>
      <c r="I104" s="13"/>
      <c r="J104" s="8"/>
      <c r="K104" s="8">
        <v>0</v>
      </c>
      <c r="L104" s="8"/>
      <c r="M104" s="8">
        <v>2</v>
      </c>
      <c r="N104" s="8"/>
      <c r="O104" s="8">
        <v>1</v>
      </c>
      <c r="Q104" s="8"/>
      <c r="R104" s="8">
        <v>0</v>
      </c>
      <c r="S104" s="8"/>
      <c r="T104" s="8">
        <v>0</v>
      </c>
      <c r="U104" s="8"/>
      <c r="V104" s="8">
        <v>1</v>
      </c>
    </row>
    <row r="105" spans="1:22" ht="51" x14ac:dyDescent="0.2">
      <c r="A105" s="4" t="s">
        <v>42</v>
      </c>
      <c r="B105" s="8">
        <v>2006</v>
      </c>
      <c r="C105" s="41" t="s">
        <v>202</v>
      </c>
      <c r="D105" s="8">
        <v>2</v>
      </c>
      <c r="E105" s="8"/>
      <c r="F105" s="8">
        <v>2</v>
      </c>
      <c r="G105" s="8"/>
      <c r="H105" s="8">
        <v>1</v>
      </c>
      <c r="I105" s="13"/>
      <c r="J105" s="8"/>
      <c r="K105" s="8">
        <v>0</v>
      </c>
      <c r="L105" s="8"/>
      <c r="M105" s="8">
        <v>2</v>
      </c>
      <c r="N105" s="8"/>
      <c r="O105" s="8">
        <v>1</v>
      </c>
      <c r="Q105" s="8"/>
      <c r="R105" s="8">
        <v>0</v>
      </c>
      <c r="S105" s="8"/>
      <c r="T105" s="8">
        <v>0</v>
      </c>
      <c r="U105" s="8"/>
      <c r="V105" s="8">
        <v>1</v>
      </c>
    </row>
    <row r="106" spans="1:22" ht="51" x14ac:dyDescent="0.2">
      <c r="A106" s="4" t="s">
        <v>43</v>
      </c>
      <c r="B106" s="8">
        <v>2007</v>
      </c>
      <c r="C106" s="41" t="s">
        <v>203</v>
      </c>
      <c r="D106" s="8">
        <v>2</v>
      </c>
      <c r="E106" s="8"/>
      <c r="F106" s="8">
        <v>2</v>
      </c>
      <c r="G106" s="8"/>
      <c r="H106" s="8">
        <v>1</v>
      </c>
      <c r="I106" s="13"/>
      <c r="J106" s="8"/>
      <c r="K106" s="8">
        <v>0</v>
      </c>
      <c r="L106" s="8"/>
      <c r="M106" s="8">
        <v>2</v>
      </c>
      <c r="N106" s="8"/>
      <c r="O106" s="8">
        <v>1</v>
      </c>
      <c r="Q106" s="8"/>
      <c r="R106" s="8">
        <v>0</v>
      </c>
      <c r="S106" s="8"/>
      <c r="T106" s="8">
        <v>0</v>
      </c>
      <c r="U106" s="8"/>
      <c r="V106" s="8">
        <v>1</v>
      </c>
    </row>
    <row r="107" spans="1:22" ht="51" x14ac:dyDescent="0.2">
      <c r="A107" s="4" t="s">
        <v>44</v>
      </c>
      <c r="B107" s="8">
        <v>2007</v>
      </c>
      <c r="C107" s="41" t="s">
        <v>204</v>
      </c>
      <c r="D107" s="8">
        <v>2</v>
      </c>
      <c r="E107" s="8"/>
      <c r="F107" s="8">
        <v>2</v>
      </c>
      <c r="G107" s="8"/>
      <c r="H107" s="8">
        <v>1</v>
      </c>
      <c r="I107" s="13"/>
      <c r="J107" s="8"/>
      <c r="K107" s="8">
        <v>0</v>
      </c>
      <c r="L107" s="8"/>
      <c r="M107" s="8">
        <v>2</v>
      </c>
      <c r="N107" s="8"/>
      <c r="O107" s="8">
        <v>1</v>
      </c>
      <c r="Q107" s="8"/>
      <c r="R107" s="8">
        <v>0</v>
      </c>
      <c r="S107" s="8"/>
      <c r="T107" s="8">
        <v>0</v>
      </c>
      <c r="U107" s="8"/>
      <c r="V107" s="8">
        <v>1</v>
      </c>
    </row>
    <row r="108" spans="1:22" ht="51" x14ac:dyDescent="0.2">
      <c r="A108" s="5" t="s">
        <v>45</v>
      </c>
      <c r="B108" s="9">
        <v>2008</v>
      </c>
      <c r="C108" s="41" t="s">
        <v>205</v>
      </c>
      <c r="D108" s="9">
        <v>2</v>
      </c>
      <c r="E108" s="9"/>
      <c r="F108" s="9">
        <v>2</v>
      </c>
      <c r="G108" s="9"/>
      <c r="H108" s="9">
        <v>1</v>
      </c>
      <c r="I108" s="13"/>
      <c r="J108" s="9"/>
      <c r="K108" s="9">
        <v>0</v>
      </c>
      <c r="L108" s="9"/>
      <c r="M108" s="9">
        <v>2</v>
      </c>
      <c r="N108" s="9"/>
      <c r="O108" s="9">
        <v>1</v>
      </c>
      <c r="Q108" s="9"/>
      <c r="R108" s="9">
        <v>0</v>
      </c>
      <c r="S108" s="9"/>
      <c r="T108" s="9">
        <v>0</v>
      </c>
      <c r="U108" s="9"/>
      <c r="V108" s="9">
        <v>1</v>
      </c>
    </row>
    <row r="109" spans="1:22" ht="51" x14ac:dyDescent="0.2">
      <c r="A109" s="5" t="s">
        <v>46</v>
      </c>
      <c r="B109" s="9">
        <v>2008</v>
      </c>
      <c r="C109" s="41" t="s">
        <v>206</v>
      </c>
      <c r="D109" s="9">
        <v>2</v>
      </c>
      <c r="E109" s="9"/>
      <c r="F109" s="9">
        <v>2</v>
      </c>
      <c r="G109" s="9"/>
      <c r="H109" s="9">
        <v>1</v>
      </c>
      <c r="I109" s="13"/>
      <c r="J109" s="9"/>
      <c r="K109" s="9">
        <v>0</v>
      </c>
      <c r="L109" s="9"/>
      <c r="M109" s="9">
        <v>2</v>
      </c>
      <c r="N109" s="9"/>
      <c r="O109" s="9">
        <v>1</v>
      </c>
      <c r="Q109" s="9"/>
      <c r="R109" s="9">
        <v>0</v>
      </c>
      <c r="S109" s="9"/>
      <c r="T109" s="9">
        <v>0</v>
      </c>
      <c r="U109" s="9"/>
      <c r="V109" s="9">
        <v>1</v>
      </c>
    </row>
    <row r="110" spans="1:22" ht="51" x14ac:dyDescent="0.2">
      <c r="A110" s="5" t="s">
        <v>47</v>
      </c>
      <c r="B110" s="9">
        <v>2009</v>
      </c>
      <c r="C110" s="41" t="s">
        <v>207</v>
      </c>
      <c r="D110" s="9">
        <v>2</v>
      </c>
      <c r="E110" s="9"/>
      <c r="F110" s="9">
        <v>2</v>
      </c>
      <c r="G110" s="9"/>
      <c r="H110" s="9">
        <v>1</v>
      </c>
      <c r="I110" s="13"/>
      <c r="J110" s="9"/>
      <c r="K110" s="9">
        <v>0</v>
      </c>
      <c r="L110" s="9"/>
      <c r="M110" s="9">
        <v>2</v>
      </c>
      <c r="N110" s="9"/>
      <c r="O110" s="9">
        <v>1</v>
      </c>
      <c r="Q110" s="9"/>
      <c r="R110" s="9">
        <v>0</v>
      </c>
      <c r="S110" s="9"/>
      <c r="T110" s="9">
        <v>0</v>
      </c>
      <c r="U110" s="9"/>
      <c r="V110" s="9">
        <v>1</v>
      </c>
    </row>
    <row r="111" spans="1:22" ht="51" x14ac:dyDescent="0.2">
      <c r="A111" s="5" t="s">
        <v>48</v>
      </c>
      <c r="B111" s="9">
        <v>2009</v>
      </c>
      <c r="C111" s="41" t="s">
        <v>208</v>
      </c>
      <c r="D111" s="9">
        <v>2</v>
      </c>
      <c r="E111" s="9"/>
      <c r="F111" s="9">
        <v>2</v>
      </c>
      <c r="G111" s="9"/>
      <c r="H111" s="9">
        <v>1</v>
      </c>
      <c r="I111" s="13"/>
      <c r="J111" s="9"/>
      <c r="K111" s="9">
        <v>0</v>
      </c>
      <c r="L111" s="9"/>
      <c r="M111" s="9">
        <v>2</v>
      </c>
      <c r="N111" s="9"/>
      <c r="O111" s="9">
        <v>1</v>
      </c>
      <c r="Q111" s="9"/>
      <c r="R111" s="9">
        <v>0</v>
      </c>
      <c r="S111" s="9"/>
      <c r="T111" s="9">
        <v>0</v>
      </c>
      <c r="U111" s="9"/>
      <c r="V111" s="9">
        <v>1</v>
      </c>
    </row>
    <row r="112" spans="1:22" ht="51" x14ac:dyDescent="0.2">
      <c r="A112" s="5" t="s">
        <v>49</v>
      </c>
      <c r="B112" s="9">
        <v>2010</v>
      </c>
      <c r="C112" s="41" t="s">
        <v>209</v>
      </c>
      <c r="D112" s="9">
        <v>2</v>
      </c>
      <c r="E112" s="9"/>
      <c r="F112" s="9">
        <v>2</v>
      </c>
      <c r="G112" s="9"/>
      <c r="H112" s="9">
        <v>1</v>
      </c>
      <c r="I112" s="13"/>
      <c r="J112" s="9"/>
      <c r="K112" s="9">
        <v>0</v>
      </c>
      <c r="L112" s="9"/>
      <c r="M112" s="9">
        <v>2</v>
      </c>
      <c r="N112" s="9"/>
      <c r="O112" s="9">
        <v>1</v>
      </c>
      <c r="Q112" s="9"/>
      <c r="R112" s="9">
        <v>0</v>
      </c>
      <c r="S112" s="9"/>
      <c r="T112" s="9">
        <v>2</v>
      </c>
      <c r="U112" s="9"/>
      <c r="V112" s="9">
        <v>1</v>
      </c>
    </row>
    <row r="113" spans="1:22" ht="51" x14ac:dyDescent="0.2">
      <c r="A113" s="5" t="s">
        <v>50</v>
      </c>
      <c r="B113" s="9">
        <v>2010</v>
      </c>
      <c r="C113" s="41" t="s">
        <v>210</v>
      </c>
      <c r="D113" s="9">
        <v>2</v>
      </c>
      <c r="E113" s="9"/>
      <c r="F113" s="9">
        <v>2</v>
      </c>
      <c r="G113" s="9"/>
      <c r="H113" s="9">
        <v>1</v>
      </c>
      <c r="I113" s="13"/>
      <c r="J113" s="9"/>
      <c r="K113" s="9">
        <v>0</v>
      </c>
      <c r="L113" s="9"/>
      <c r="M113" s="9">
        <v>2</v>
      </c>
      <c r="N113" s="9"/>
      <c r="O113" s="9">
        <v>1</v>
      </c>
      <c r="Q113" s="9"/>
      <c r="R113" s="9">
        <v>0</v>
      </c>
      <c r="S113" s="9"/>
      <c r="T113" s="9">
        <v>2</v>
      </c>
      <c r="U113" s="9"/>
      <c r="V113" s="9">
        <v>1</v>
      </c>
    </row>
    <row r="114" spans="1:22" ht="51" x14ac:dyDescent="0.2">
      <c r="A114" s="5" t="s">
        <v>51</v>
      </c>
      <c r="B114" s="9">
        <v>2011</v>
      </c>
      <c r="C114" s="41" t="s">
        <v>211</v>
      </c>
      <c r="D114" s="9">
        <v>2</v>
      </c>
      <c r="E114" s="9"/>
      <c r="F114" s="9">
        <v>2</v>
      </c>
      <c r="G114" s="9"/>
      <c r="H114" s="9">
        <v>1</v>
      </c>
      <c r="I114" s="13"/>
      <c r="J114" s="9"/>
      <c r="K114" s="9">
        <v>0</v>
      </c>
      <c r="L114" s="9"/>
      <c r="M114" s="9">
        <v>2</v>
      </c>
      <c r="N114" s="9"/>
      <c r="O114" s="9">
        <v>1</v>
      </c>
      <c r="Q114" s="9"/>
      <c r="R114" s="9">
        <v>0</v>
      </c>
      <c r="S114" s="9"/>
      <c r="T114" s="9">
        <v>2</v>
      </c>
      <c r="U114" s="9"/>
      <c r="V114" s="9">
        <v>1</v>
      </c>
    </row>
    <row r="115" spans="1:22" ht="51" x14ac:dyDescent="0.2">
      <c r="A115" s="5" t="s">
        <v>52</v>
      </c>
      <c r="B115" s="9">
        <v>2011</v>
      </c>
      <c r="C115" s="41" t="s">
        <v>212</v>
      </c>
      <c r="D115" s="9">
        <v>2</v>
      </c>
      <c r="E115" s="9"/>
      <c r="F115" s="9">
        <v>2</v>
      </c>
      <c r="G115" s="9"/>
      <c r="H115" s="9">
        <v>1</v>
      </c>
      <c r="I115" s="13"/>
      <c r="J115" s="9"/>
      <c r="K115" s="9">
        <v>0</v>
      </c>
      <c r="L115" s="9"/>
      <c r="M115" s="9">
        <v>2</v>
      </c>
      <c r="N115" s="9"/>
      <c r="O115" s="9">
        <v>1</v>
      </c>
      <c r="Q115" s="9"/>
      <c r="R115" s="9">
        <v>0</v>
      </c>
      <c r="S115" s="9"/>
      <c r="T115" s="9">
        <v>2</v>
      </c>
      <c r="U115" s="9"/>
      <c r="V115" s="9">
        <v>1</v>
      </c>
    </row>
    <row r="116" spans="1:22" ht="51" x14ac:dyDescent="0.2">
      <c r="A116" s="5" t="s">
        <v>53</v>
      </c>
      <c r="B116" s="9">
        <v>2012</v>
      </c>
      <c r="C116" s="41" t="s">
        <v>213</v>
      </c>
      <c r="D116" s="9">
        <v>2</v>
      </c>
      <c r="E116" s="9"/>
      <c r="F116" s="9">
        <v>2</v>
      </c>
      <c r="G116" s="9"/>
      <c r="H116" s="9">
        <v>1</v>
      </c>
      <c r="I116" s="13"/>
      <c r="J116" s="9"/>
      <c r="K116" s="9">
        <v>0</v>
      </c>
      <c r="L116" s="9"/>
      <c r="M116" s="9">
        <v>2</v>
      </c>
      <c r="N116" s="9"/>
      <c r="O116" s="9">
        <v>1</v>
      </c>
      <c r="Q116" s="9"/>
      <c r="R116" s="9">
        <v>0</v>
      </c>
      <c r="S116" s="9"/>
      <c r="T116" s="9">
        <v>2</v>
      </c>
      <c r="U116" s="9"/>
      <c r="V116" s="9">
        <v>1</v>
      </c>
    </row>
    <row r="117" spans="1:22" ht="51" x14ac:dyDescent="0.2">
      <c r="A117" s="3" t="s">
        <v>54</v>
      </c>
      <c r="B117" s="7">
        <v>2012</v>
      </c>
      <c r="C117" s="41" t="s">
        <v>214</v>
      </c>
      <c r="D117" s="7">
        <v>2</v>
      </c>
      <c r="E117" s="7"/>
      <c r="F117" s="7">
        <v>2</v>
      </c>
      <c r="G117" s="7"/>
      <c r="H117" s="7">
        <v>1</v>
      </c>
      <c r="I117" s="13"/>
      <c r="J117" s="7"/>
      <c r="K117" s="7">
        <v>0</v>
      </c>
      <c r="L117" s="7"/>
      <c r="M117" s="7">
        <v>2</v>
      </c>
      <c r="N117" s="7"/>
      <c r="O117" s="7">
        <v>1</v>
      </c>
      <c r="Q117" s="7"/>
      <c r="R117" s="7">
        <v>0</v>
      </c>
      <c r="S117" s="7"/>
      <c r="T117" s="7">
        <v>2</v>
      </c>
      <c r="U117" s="7"/>
      <c r="V117" s="7">
        <v>1</v>
      </c>
    </row>
    <row r="118" spans="1:22" ht="51" x14ac:dyDescent="0.2">
      <c r="A118" s="3" t="s">
        <v>55</v>
      </c>
      <c r="B118" s="7">
        <v>2013</v>
      </c>
      <c r="C118" s="41" t="s">
        <v>215</v>
      </c>
      <c r="D118" s="7">
        <v>2</v>
      </c>
      <c r="E118" s="7"/>
      <c r="F118" s="7">
        <v>2</v>
      </c>
      <c r="G118" s="7"/>
      <c r="H118" s="7">
        <v>1</v>
      </c>
      <c r="I118" s="13"/>
      <c r="J118" s="7"/>
      <c r="K118" s="7">
        <v>0</v>
      </c>
      <c r="L118" s="7"/>
      <c r="M118" s="7">
        <v>2</v>
      </c>
      <c r="N118" s="7"/>
      <c r="O118" s="7">
        <v>1</v>
      </c>
      <c r="Q118" s="7"/>
      <c r="R118" s="7">
        <v>0</v>
      </c>
      <c r="S118" s="7"/>
      <c r="T118" s="7">
        <v>2</v>
      </c>
      <c r="U118" s="7"/>
      <c r="V118" s="7">
        <v>1</v>
      </c>
    </row>
    <row r="119" spans="1:22" ht="51" x14ac:dyDescent="0.2">
      <c r="A119" s="3" t="s">
        <v>56</v>
      </c>
      <c r="B119" s="7">
        <v>2013</v>
      </c>
      <c r="C119" s="41" t="s">
        <v>216</v>
      </c>
      <c r="D119" s="7">
        <v>2</v>
      </c>
      <c r="E119" s="7"/>
      <c r="F119" s="7">
        <v>2</v>
      </c>
      <c r="G119" s="7"/>
      <c r="H119" s="7">
        <v>1</v>
      </c>
      <c r="I119" s="13"/>
      <c r="J119" s="7"/>
      <c r="K119" s="7">
        <v>0</v>
      </c>
      <c r="L119" s="7"/>
      <c r="M119" s="7">
        <v>2</v>
      </c>
      <c r="N119" s="7"/>
      <c r="O119" s="7">
        <v>1</v>
      </c>
      <c r="Q119" s="7"/>
      <c r="R119" s="7">
        <v>0</v>
      </c>
      <c r="S119" s="7"/>
      <c r="T119" s="7">
        <v>2</v>
      </c>
      <c r="U119" s="7"/>
      <c r="V119" s="7">
        <v>1</v>
      </c>
    </row>
    <row r="120" spans="1:22" ht="51" x14ac:dyDescent="0.2">
      <c r="A120" s="3" t="s">
        <v>57</v>
      </c>
      <c r="B120" s="7">
        <v>2014</v>
      </c>
      <c r="C120" s="41" t="s">
        <v>217</v>
      </c>
      <c r="D120" s="7">
        <v>2</v>
      </c>
      <c r="E120" s="7"/>
      <c r="F120" s="7">
        <v>2</v>
      </c>
      <c r="G120" s="7"/>
      <c r="H120" s="7">
        <v>1</v>
      </c>
      <c r="I120" s="13"/>
      <c r="J120" s="7"/>
      <c r="K120" s="7">
        <v>0</v>
      </c>
      <c r="L120" s="7"/>
      <c r="M120" s="7">
        <v>2</v>
      </c>
      <c r="N120" s="7"/>
      <c r="O120" s="7">
        <v>1</v>
      </c>
      <c r="Q120" s="7"/>
      <c r="R120" s="7">
        <v>0</v>
      </c>
      <c r="S120" s="7"/>
      <c r="T120" s="7">
        <v>2</v>
      </c>
      <c r="U120" s="7"/>
      <c r="V120" s="7">
        <v>1</v>
      </c>
    </row>
    <row r="121" spans="1:22" ht="51" x14ac:dyDescent="0.2">
      <c r="A121" s="3" t="s">
        <v>58</v>
      </c>
      <c r="B121" s="7">
        <v>2014</v>
      </c>
      <c r="C121" s="41" t="s">
        <v>218</v>
      </c>
      <c r="D121" s="7">
        <v>2</v>
      </c>
      <c r="E121" s="7"/>
      <c r="F121" s="7">
        <v>2</v>
      </c>
      <c r="G121" s="7"/>
      <c r="H121" s="7">
        <v>1</v>
      </c>
      <c r="I121" s="13"/>
      <c r="J121" s="7"/>
      <c r="K121" s="7">
        <v>0</v>
      </c>
      <c r="L121" s="7"/>
      <c r="M121" s="7">
        <v>2</v>
      </c>
      <c r="N121" s="7"/>
      <c r="O121" s="7">
        <v>1</v>
      </c>
      <c r="Q121" s="7"/>
      <c r="R121" s="7">
        <v>0</v>
      </c>
      <c r="S121" s="7"/>
      <c r="T121" s="7">
        <v>2</v>
      </c>
      <c r="U121" s="7"/>
      <c r="V121" s="7">
        <v>1</v>
      </c>
    </row>
    <row r="122" spans="1:22" ht="51" x14ac:dyDescent="0.2">
      <c r="A122" s="3" t="s">
        <v>59</v>
      </c>
      <c r="B122" s="7">
        <v>2015</v>
      </c>
      <c r="C122" s="41" t="s">
        <v>219</v>
      </c>
      <c r="D122" s="7">
        <v>2</v>
      </c>
      <c r="E122" s="7"/>
      <c r="F122" s="7">
        <v>2</v>
      </c>
      <c r="G122" s="7"/>
      <c r="H122" s="7">
        <v>1</v>
      </c>
      <c r="I122" s="13"/>
      <c r="J122" s="7"/>
      <c r="K122" s="7">
        <v>0</v>
      </c>
      <c r="L122" s="7"/>
      <c r="M122" s="7">
        <v>2</v>
      </c>
      <c r="N122" s="7"/>
      <c r="O122" s="7">
        <v>1</v>
      </c>
      <c r="Q122" s="7"/>
      <c r="R122" s="7">
        <v>0</v>
      </c>
      <c r="S122" s="7"/>
      <c r="T122" s="7">
        <v>2</v>
      </c>
      <c r="U122" s="7"/>
      <c r="V122" s="7">
        <v>1</v>
      </c>
    </row>
    <row r="123" spans="1:22" ht="51" x14ac:dyDescent="0.2">
      <c r="A123" s="3" t="s">
        <v>60</v>
      </c>
      <c r="B123" s="7">
        <v>2019</v>
      </c>
      <c r="C123" s="41" t="s">
        <v>220</v>
      </c>
      <c r="D123" s="7">
        <v>2</v>
      </c>
      <c r="E123" s="7"/>
      <c r="F123" s="7">
        <v>2</v>
      </c>
      <c r="G123" s="7"/>
      <c r="H123" s="7">
        <v>1</v>
      </c>
      <c r="I123" s="13"/>
      <c r="J123" s="7"/>
      <c r="K123" s="7">
        <v>0</v>
      </c>
      <c r="L123" s="7"/>
      <c r="M123" s="7">
        <v>2</v>
      </c>
      <c r="N123" s="7"/>
      <c r="O123" s="7">
        <v>1</v>
      </c>
      <c r="Q123" s="7"/>
      <c r="R123" s="7">
        <v>0</v>
      </c>
      <c r="S123" s="7"/>
      <c r="T123" s="7">
        <v>2</v>
      </c>
      <c r="U123" s="7"/>
      <c r="V123" s="7">
        <v>1</v>
      </c>
    </row>
    <row r="124" spans="1:22" ht="51" x14ac:dyDescent="0.2">
      <c r="A124" s="3" t="s">
        <v>186</v>
      </c>
      <c r="B124" s="7">
        <v>2024</v>
      </c>
      <c r="C124" s="41" t="s">
        <v>221</v>
      </c>
      <c r="D124" s="7">
        <v>2</v>
      </c>
      <c r="E124" s="7"/>
      <c r="F124" s="7">
        <v>2</v>
      </c>
      <c r="G124" s="7"/>
      <c r="H124" s="7">
        <v>1</v>
      </c>
      <c r="I124" s="13"/>
      <c r="J124" s="7"/>
      <c r="K124" s="7">
        <v>0</v>
      </c>
      <c r="L124" s="7"/>
      <c r="M124" s="7">
        <v>2</v>
      </c>
      <c r="N124" s="7"/>
      <c r="O124" s="7">
        <v>1</v>
      </c>
      <c r="Q124" s="7"/>
      <c r="R124" s="7">
        <v>0</v>
      </c>
      <c r="S124" s="7"/>
      <c r="T124" s="7">
        <v>2</v>
      </c>
      <c r="U124" s="7"/>
      <c r="V124" s="7">
        <v>1</v>
      </c>
    </row>
    <row r="125" spans="1:22" x14ac:dyDescent="0.2">
      <c r="A125" s="3"/>
      <c r="B125" s="7"/>
      <c r="D125" s="7"/>
      <c r="E125" s="7"/>
      <c r="F125" s="7"/>
      <c r="G125" s="7"/>
      <c r="H125" s="7"/>
      <c r="I125" s="13"/>
      <c r="J125" s="13"/>
      <c r="K125" s="7"/>
      <c r="L125" s="7"/>
      <c r="M125" s="7"/>
      <c r="N125" s="7"/>
      <c r="O125" s="7"/>
      <c r="R125" s="7"/>
      <c r="S125" s="7"/>
      <c r="T125" s="7"/>
      <c r="U125" s="7"/>
      <c r="V125" s="7"/>
    </row>
    <row r="126" spans="1:22" x14ac:dyDescent="0.2">
      <c r="A126" s="4"/>
      <c r="B126" s="8"/>
      <c r="D126" s="8"/>
      <c r="E126" s="8"/>
      <c r="F126" s="8"/>
      <c r="G126" s="8"/>
      <c r="H126" s="8"/>
      <c r="I126" s="13"/>
      <c r="J126" s="13"/>
      <c r="K126" s="8"/>
      <c r="L126" s="8"/>
      <c r="M126" s="8"/>
      <c r="N126" s="8"/>
      <c r="O126" s="8"/>
      <c r="R126" s="8"/>
      <c r="S126" s="8"/>
      <c r="T126" s="8"/>
      <c r="U126" s="8"/>
      <c r="V126" s="8"/>
    </row>
    <row r="127" spans="1:22" x14ac:dyDescent="0.2">
      <c r="A127" s="4"/>
      <c r="B127" s="8"/>
      <c r="D127" s="8"/>
      <c r="E127" s="8"/>
      <c r="F127" s="8"/>
      <c r="G127" s="8"/>
      <c r="H127" s="8"/>
      <c r="I127" s="13"/>
      <c r="J127" s="13"/>
      <c r="K127" s="8"/>
      <c r="L127" s="8"/>
      <c r="M127" s="8"/>
      <c r="N127" s="8"/>
      <c r="O127" s="8"/>
    </row>
    <row r="128" spans="1:22" x14ac:dyDescent="0.2">
      <c r="A128" s="4"/>
      <c r="B128" s="8"/>
      <c r="D128" s="8"/>
      <c r="E128" s="8"/>
      <c r="F128" s="8"/>
      <c r="G128" s="8"/>
      <c r="H128" s="8"/>
      <c r="I128" s="13"/>
      <c r="J128" s="13"/>
      <c r="K128" s="8"/>
      <c r="L128" s="8"/>
      <c r="M128" s="8"/>
      <c r="N128" s="8"/>
      <c r="O128" s="8"/>
    </row>
    <row r="129" spans="1:15" x14ac:dyDescent="0.2">
      <c r="A129" s="4"/>
      <c r="B129" s="8"/>
      <c r="D129" s="8"/>
      <c r="E129" s="8"/>
      <c r="F129" s="8"/>
      <c r="G129" s="8"/>
      <c r="H129" s="8"/>
      <c r="I129" s="13"/>
      <c r="J129" s="13"/>
      <c r="K129" s="8"/>
      <c r="L129" s="8"/>
      <c r="M129" s="8"/>
      <c r="N129" s="8"/>
      <c r="O129" s="8"/>
    </row>
    <row r="130" spans="1:15" x14ac:dyDescent="0.2">
      <c r="A130" s="4"/>
      <c r="B130" s="8"/>
      <c r="D130" s="8"/>
      <c r="E130" s="8"/>
      <c r="F130" s="8"/>
      <c r="G130" s="8"/>
      <c r="H130" s="8"/>
      <c r="I130" s="13"/>
      <c r="J130" s="13"/>
      <c r="K130" s="8"/>
      <c r="L130" s="8"/>
      <c r="M130" s="8"/>
      <c r="N130" s="8"/>
      <c r="O130" s="8"/>
    </row>
    <row r="131" spans="1:15" x14ac:dyDescent="0.2">
      <c r="A131" s="4"/>
      <c r="B131" s="8"/>
      <c r="D131" s="8"/>
      <c r="E131" s="8"/>
      <c r="F131" s="8"/>
      <c r="G131" s="8"/>
      <c r="H131" s="8"/>
      <c r="I131" s="13"/>
      <c r="J131" s="13"/>
      <c r="K131" s="8"/>
      <c r="L131" s="8"/>
      <c r="M131" s="8"/>
      <c r="N131" s="8"/>
      <c r="O131" s="8"/>
    </row>
    <row r="132" spans="1:15" x14ac:dyDescent="0.2">
      <c r="A132" s="4"/>
      <c r="B132" s="8"/>
      <c r="D132" s="8"/>
      <c r="E132" s="8"/>
      <c r="F132" s="8"/>
      <c r="G132" s="8"/>
      <c r="H132" s="8"/>
      <c r="I132" s="13"/>
      <c r="J132" s="13"/>
      <c r="K132" s="8"/>
      <c r="L132" s="8"/>
      <c r="M132" s="8"/>
      <c r="N132" s="8"/>
      <c r="O132" s="8"/>
    </row>
    <row r="133" spans="1:15" x14ac:dyDescent="0.2">
      <c r="A133" s="4"/>
      <c r="B133" s="8"/>
      <c r="D133" s="8"/>
      <c r="E133" s="8"/>
      <c r="F133" s="8"/>
      <c r="G133" s="8"/>
      <c r="H133" s="8"/>
      <c r="I133" s="13"/>
      <c r="J133" s="13"/>
      <c r="K133" s="8"/>
      <c r="L133" s="8"/>
      <c r="M133" s="8"/>
      <c r="N133" s="8"/>
      <c r="O133" s="8"/>
    </row>
    <row r="134" spans="1:15" x14ac:dyDescent="0.2">
      <c r="A134" s="4"/>
      <c r="B134" s="8"/>
      <c r="D134" s="8"/>
      <c r="E134" s="8"/>
      <c r="F134" s="8"/>
      <c r="G134" s="8"/>
      <c r="H134" s="8"/>
      <c r="I134" s="13"/>
      <c r="J134" s="13"/>
      <c r="K134" s="8"/>
      <c r="L134" s="8"/>
      <c r="M134" s="8"/>
      <c r="N134" s="8"/>
      <c r="O134" s="8"/>
    </row>
    <row r="135" spans="1:15" x14ac:dyDescent="0.2">
      <c r="A135" s="5"/>
      <c r="B135" s="9"/>
      <c r="D135" s="9"/>
      <c r="E135" s="9"/>
      <c r="F135" s="9"/>
      <c r="G135" s="9"/>
      <c r="H135" s="9"/>
      <c r="I135" s="13"/>
      <c r="J135" s="13"/>
      <c r="K135" s="9"/>
      <c r="L135" s="9"/>
      <c r="M135" s="9"/>
      <c r="N135" s="9"/>
      <c r="O135" s="9"/>
    </row>
    <row r="136" spans="1:15" x14ac:dyDescent="0.2">
      <c r="A136" s="5"/>
      <c r="B136" s="9"/>
      <c r="D136" s="9"/>
      <c r="E136" s="9"/>
      <c r="F136" s="9"/>
      <c r="G136" s="9"/>
      <c r="H136" s="9"/>
      <c r="I136" s="13"/>
      <c r="J136" s="13"/>
      <c r="K136" s="9"/>
      <c r="L136" s="9"/>
      <c r="M136" s="9"/>
      <c r="N136" s="9"/>
      <c r="O136" s="9"/>
    </row>
    <row r="137" spans="1:15" x14ac:dyDescent="0.2">
      <c r="A137" s="5"/>
      <c r="B137" s="9"/>
      <c r="D137" s="9"/>
      <c r="E137" s="9"/>
      <c r="F137" s="9"/>
      <c r="G137" s="9"/>
      <c r="H137" s="9"/>
      <c r="I137" s="13"/>
      <c r="J137" s="13"/>
      <c r="K137" s="9"/>
      <c r="L137" s="9"/>
      <c r="M137" s="9"/>
      <c r="N137" s="9"/>
      <c r="O137" s="9"/>
    </row>
    <row r="138" spans="1:15" x14ac:dyDescent="0.2">
      <c r="A138" s="5"/>
      <c r="B138" s="9"/>
      <c r="D138" s="9"/>
      <c r="E138" s="9"/>
      <c r="F138" s="9"/>
      <c r="G138" s="9"/>
      <c r="H138" s="9"/>
      <c r="I138" s="13"/>
      <c r="J138" s="13"/>
      <c r="K138" s="9"/>
      <c r="L138" s="9"/>
      <c r="M138" s="9"/>
      <c r="N138" s="9"/>
      <c r="O138" s="9"/>
    </row>
    <row r="139" spans="1:15" x14ac:dyDescent="0.2">
      <c r="A139" s="5"/>
      <c r="B139" s="9"/>
      <c r="D139" s="9"/>
      <c r="E139" s="9"/>
      <c r="F139" s="9"/>
      <c r="G139" s="9"/>
      <c r="H139" s="9"/>
      <c r="I139" s="13"/>
      <c r="J139" s="13"/>
      <c r="K139" s="9"/>
      <c r="L139" s="9"/>
      <c r="M139" s="9"/>
      <c r="N139" s="9"/>
      <c r="O139" s="9"/>
    </row>
    <row r="140" spans="1:15" x14ac:dyDescent="0.2">
      <c r="A140" s="5"/>
      <c r="B140" s="9"/>
      <c r="D140" s="9"/>
      <c r="E140" s="9"/>
      <c r="F140" s="9"/>
      <c r="G140" s="9"/>
      <c r="H140" s="9"/>
      <c r="I140" s="13"/>
      <c r="J140" s="13"/>
      <c r="K140" s="9"/>
      <c r="L140" s="9"/>
      <c r="M140" s="9"/>
      <c r="N140" s="9"/>
      <c r="O140" s="9"/>
    </row>
    <row r="141" spans="1:15" x14ac:dyDescent="0.2">
      <c r="A141" s="5"/>
      <c r="B141" s="9"/>
      <c r="D141" s="9"/>
      <c r="E141" s="9"/>
      <c r="F141" s="9"/>
      <c r="G141" s="9"/>
      <c r="H141" s="9"/>
      <c r="I141" s="13"/>
      <c r="J141" s="13"/>
      <c r="K141" s="9"/>
      <c r="L141" s="9"/>
      <c r="M141" s="9"/>
      <c r="N141" s="9"/>
      <c r="O141" s="9"/>
    </row>
    <row r="142" spans="1:15" x14ac:dyDescent="0.2">
      <c r="A142" s="5"/>
      <c r="B142" s="9"/>
      <c r="D142" s="9"/>
      <c r="E142" s="9"/>
      <c r="F142" s="9"/>
      <c r="G142" s="9"/>
      <c r="H142" s="9"/>
      <c r="I142" s="13"/>
      <c r="J142" s="13"/>
      <c r="K142" s="9"/>
      <c r="L142" s="9"/>
      <c r="M142" s="9"/>
      <c r="N142" s="9"/>
      <c r="O142" s="9"/>
    </row>
    <row r="143" spans="1:15" x14ac:dyDescent="0.2">
      <c r="A143" s="5"/>
      <c r="B143" s="9"/>
      <c r="D143" s="9"/>
      <c r="E143" s="9"/>
      <c r="F143" s="9"/>
      <c r="G143" s="9"/>
      <c r="H143" s="9"/>
      <c r="I143" s="13"/>
      <c r="J143" s="13"/>
      <c r="K143" s="9"/>
      <c r="L143" s="9"/>
      <c r="M143" s="9"/>
      <c r="N143" s="9"/>
      <c r="O143" s="9"/>
    </row>
    <row r="144" spans="1:15" x14ac:dyDescent="0.2">
      <c r="A144" s="3"/>
      <c r="B144" s="7"/>
      <c r="D144" s="7"/>
      <c r="E144" s="7"/>
      <c r="F144" s="7"/>
      <c r="G144" s="7"/>
      <c r="H144" s="7"/>
      <c r="I144" s="13"/>
      <c r="J144" s="13"/>
      <c r="K144" s="7"/>
      <c r="L144" s="7"/>
      <c r="M144" s="7"/>
      <c r="N144" s="7"/>
      <c r="O144" s="7"/>
    </row>
    <row r="145" spans="1:15" x14ac:dyDescent="0.2">
      <c r="A145" s="3"/>
      <c r="B145" s="7"/>
      <c r="D145" s="7"/>
      <c r="E145" s="7"/>
      <c r="F145" s="7"/>
      <c r="G145" s="7"/>
      <c r="H145" s="7"/>
      <c r="I145" s="13"/>
      <c r="J145" s="13"/>
      <c r="K145" s="7"/>
      <c r="L145" s="7"/>
      <c r="M145" s="7"/>
      <c r="N145" s="7"/>
      <c r="O145" s="7"/>
    </row>
    <row r="146" spans="1:15" x14ac:dyDescent="0.2">
      <c r="A146" s="3"/>
      <c r="B146" s="7"/>
      <c r="D146" s="7"/>
      <c r="E146" s="7"/>
      <c r="F146" s="7"/>
      <c r="G146" s="7"/>
      <c r="H146" s="7"/>
      <c r="I146" s="13"/>
      <c r="J146" s="13"/>
      <c r="K146" s="7"/>
      <c r="L146" s="7"/>
      <c r="M146" s="7"/>
      <c r="N146" s="7"/>
      <c r="O146" s="7"/>
    </row>
    <row r="147" spans="1:15" x14ac:dyDescent="0.2">
      <c r="A147" s="3"/>
      <c r="B147" s="7"/>
      <c r="D147" s="7"/>
      <c r="E147" s="7"/>
      <c r="F147" s="7"/>
      <c r="G147" s="7"/>
      <c r="H147" s="7"/>
      <c r="I147" s="13"/>
      <c r="J147" s="13"/>
      <c r="K147" s="7"/>
      <c r="L147" s="7"/>
      <c r="M147" s="7"/>
      <c r="N147" s="7"/>
      <c r="O147" s="7"/>
    </row>
    <row r="148" spans="1:15" x14ac:dyDescent="0.2">
      <c r="A148" s="3"/>
      <c r="B148" s="7"/>
      <c r="D148" s="7"/>
      <c r="E148" s="7"/>
      <c r="F148" s="7"/>
      <c r="G148" s="7"/>
      <c r="H148" s="7"/>
      <c r="I148" s="13"/>
      <c r="J148" s="13"/>
      <c r="K148" s="7"/>
      <c r="L148" s="7"/>
      <c r="M148" s="7"/>
      <c r="N148" s="7"/>
      <c r="O148" s="7"/>
    </row>
    <row r="149" spans="1:15" x14ac:dyDescent="0.2">
      <c r="A149" s="3"/>
      <c r="B149" s="7"/>
      <c r="D149" s="7"/>
      <c r="E149" s="7"/>
      <c r="F149" s="7"/>
      <c r="G149" s="7"/>
      <c r="H149" s="7"/>
      <c r="I149" s="13"/>
      <c r="J149" s="13"/>
      <c r="K149" s="7"/>
      <c r="L149" s="7"/>
      <c r="M149" s="7"/>
      <c r="N149" s="7"/>
      <c r="O149" s="7"/>
    </row>
    <row r="150" spans="1:15" x14ac:dyDescent="0.2">
      <c r="A150" s="3"/>
      <c r="B150" s="7"/>
      <c r="D150" s="7"/>
      <c r="E150" s="7"/>
      <c r="F150" s="7"/>
      <c r="G150" s="7"/>
      <c r="H150" s="7"/>
      <c r="I150" s="13"/>
      <c r="J150" s="13"/>
      <c r="K150" s="7"/>
      <c r="L150" s="7"/>
      <c r="M150" s="7"/>
      <c r="N150" s="7"/>
      <c r="O150" s="7"/>
    </row>
    <row r="151" spans="1:15" x14ac:dyDescent="0.2">
      <c r="A151" s="3"/>
      <c r="B151" s="7"/>
      <c r="D151" s="7"/>
      <c r="E151" s="7"/>
      <c r="F151" s="7"/>
      <c r="G151" s="7"/>
      <c r="H151" s="7"/>
      <c r="I151" s="13"/>
      <c r="J151" s="13"/>
      <c r="K151" s="7"/>
      <c r="L151" s="7"/>
      <c r="M151" s="7"/>
      <c r="N151" s="7"/>
      <c r="O151" s="7"/>
    </row>
    <row r="152" spans="1:15" x14ac:dyDescent="0.2">
      <c r="A152" s="3"/>
      <c r="B152" s="7"/>
      <c r="D152" s="7"/>
      <c r="E152" s="7"/>
      <c r="F152" s="7"/>
      <c r="G152" s="7"/>
      <c r="H152" s="7"/>
      <c r="I152" s="13"/>
      <c r="J152" s="13"/>
      <c r="K152" s="7"/>
      <c r="L152" s="7"/>
      <c r="M152" s="7"/>
      <c r="N152" s="7"/>
      <c r="O152" s="7"/>
    </row>
    <row r="153" spans="1:15" x14ac:dyDescent="0.2">
      <c r="A153" s="4"/>
      <c r="B153" s="8"/>
      <c r="D153" s="8"/>
      <c r="E153" s="8"/>
      <c r="F153" s="8"/>
      <c r="G153" s="8"/>
      <c r="H153" s="8"/>
      <c r="I153" s="13"/>
      <c r="J153" s="13"/>
      <c r="K153" s="8"/>
      <c r="L153" s="8"/>
      <c r="M153" s="8"/>
      <c r="N153" s="8"/>
      <c r="O153" s="8"/>
    </row>
    <row r="154" spans="1:15" x14ac:dyDescent="0.2">
      <c r="A154" s="4"/>
      <c r="B154" s="8"/>
      <c r="D154" s="8"/>
      <c r="E154" s="8"/>
      <c r="F154" s="8"/>
      <c r="G154" s="8"/>
      <c r="H154" s="8"/>
      <c r="I154" s="13"/>
      <c r="J154" s="13"/>
      <c r="K154" s="8"/>
      <c r="L154" s="8"/>
      <c r="M154" s="8"/>
      <c r="N154" s="8"/>
      <c r="O154" s="8"/>
    </row>
    <row r="155" spans="1:15" x14ac:dyDescent="0.2">
      <c r="A155" s="4"/>
      <c r="B155" s="8"/>
      <c r="D155" s="8"/>
      <c r="E155" s="8"/>
      <c r="F155" s="8"/>
      <c r="G155" s="8"/>
      <c r="H155" s="8"/>
      <c r="I155" s="13"/>
      <c r="J155" s="13"/>
      <c r="K155" s="8"/>
      <c r="L155" s="8"/>
      <c r="M155" s="8"/>
      <c r="N155" s="8"/>
      <c r="O155" s="8"/>
    </row>
    <row r="156" spans="1:15" x14ac:dyDescent="0.2">
      <c r="A156" s="4"/>
      <c r="B156" s="8"/>
      <c r="D156" s="8"/>
      <c r="E156" s="8"/>
      <c r="F156" s="8"/>
      <c r="G156" s="8"/>
      <c r="H156" s="8"/>
      <c r="I156" s="13"/>
      <c r="J156" s="13"/>
      <c r="K156" s="8"/>
      <c r="L156" s="8"/>
      <c r="M156" s="8"/>
      <c r="N156" s="8"/>
      <c r="O156" s="8"/>
    </row>
    <row r="157" spans="1:15" x14ac:dyDescent="0.2">
      <c r="A157" s="4"/>
      <c r="B157" s="8"/>
      <c r="D157" s="8"/>
      <c r="E157" s="8"/>
      <c r="F157" s="8"/>
      <c r="G157" s="8"/>
      <c r="H157" s="8"/>
      <c r="I157" s="13"/>
      <c r="J157" s="13"/>
      <c r="K157" s="8"/>
      <c r="L157" s="8"/>
      <c r="M157" s="8"/>
      <c r="N157" s="8"/>
      <c r="O157" s="8"/>
    </row>
    <row r="158" spans="1:15" x14ac:dyDescent="0.2">
      <c r="A158" s="4"/>
      <c r="B158" s="8"/>
      <c r="D158" s="8"/>
      <c r="E158" s="8"/>
      <c r="F158" s="8"/>
      <c r="G158" s="8"/>
      <c r="H158" s="8"/>
      <c r="I158" s="13"/>
      <c r="J158" s="13"/>
      <c r="K158" s="8"/>
      <c r="L158" s="8"/>
      <c r="M158" s="8"/>
      <c r="N158" s="8"/>
      <c r="O158" s="8"/>
    </row>
    <row r="159" spans="1:15" x14ac:dyDescent="0.2">
      <c r="A159" s="4"/>
      <c r="B159" s="8"/>
      <c r="D159" s="8"/>
      <c r="E159" s="8"/>
      <c r="F159" s="8"/>
      <c r="G159" s="8"/>
      <c r="H159" s="8"/>
      <c r="I159" s="13"/>
      <c r="J159" s="13"/>
      <c r="K159" s="8"/>
      <c r="L159" s="8"/>
      <c r="M159" s="8"/>
      <c r="N159" s="8"/>
      <c r="O159" s="8"/>
    </row>
    <row r="160" spans="1:15" x14ac:dyDescent="0.2">
      <c r="A160" s="4"/>
      <c r="B160" s="8"/>
      <c r="D160" s="8"/>
      <c r="E160" s="8"/>
      <c r="F160" s="8"/>
      <c r="G160" s="8"/>
      <c r="H160" s="8"/>
      <c r="I160" s="13"/>
      <c r="J160" s="13"/>
      <c r="K160" s="8"/>
      <c r="L160" s="8"/>
      <c r="M160" s="8"/>
      <c r="N160" s="8"/>
      <c r="O160" s="8"/>
    </row>
    <row r="161" spans="1:15" x14ac:dyDescent="0.2">
      <c r="A161" s="4"/>
      <c r="B161" s="8"/>
      <c r="D161" s="8"/>
      <c r="E161" s="8"/>
      <c r="F161" s="8"/>
      <c r="G161" s="8"/>
      <c r="H161" s="8"/>
      <c r="I161" s="13"/>
      <c r="J161" s="13"/>
      <c r="K161" s="8"/>
      <c r="L161" s="8"/>
      <c r="M161" s="8"/>
      <c r="N161" s="8"/>
      <c r="O161" s="8"/>
    </row>
    <row r="162" spans="1:15" x14ac:dyDescent="0.2">
      <c r="A162" s="5"/>
      <c r="B162" s="9"/>
      <c r="D162" s="9"/>
      <c r="E162" s="9"/>
      <c r="F162" s="9"/>
      <c r="G162" s="9"/>
      <c r="H162" s="9"/>
      <c r="I162" s="13"/>
      <c r="J162" s="13"/>
      <c r="K162" s="9"/>
      <c r="L162" s="9"/>
      <c r="M162" s="9"/>
      <c r="N162" s="9"/>
      <c r="O162" s="9"/>
    </row>
    <row r="163" spans="1:15" x14ac:dyDescent="0.2">
      <c r="A163" s="5"/>
      <c r="B163" s="9"/>
      <c r="D163" s="9"/>
      <c r="E163" s="9"/>
      <c r="F163" s="9"/>
      <c r="G163" s="9"/>
      <c r="H163" s="9"/>
      <c r="I163" s="13"/>
      <c r="J163" s="13"/>
      <c r="K163" s="9"/>
      <c r="L163" s="9"/>
      <c r="M163" s="9"/>
      <c r="N163" s="9"/>
      <c r="O163" s="9"/>
    </row>
    <row r="164" spans="1:15" x14ac:dyDescent="0.2">
      <c r="A164" s="5"/>
      <c r="B164" s="9"/>
      <c r="D164" s="9"/>
      <c r="E164" s="9"/>
      <c r="F164" s="9"/>
      <c r="G164" s="9"/>
      <c r="H164" s="9"/>
      <c r="I164" s="13"/>
      <c r="J164" s="13"/>
      <c r="K164" s="9"/>
      <c r="L164" s="9"/>
      <c r="M164" s="9"/>
      <c r="N164" s="9"/>
      <c r="O164" s="9"/>
    </row>
    <row r="165" spans="1:15" x14ac:dyDescent="0.2">
      <c r="A165" s="5"/>
      <c r="B165" s="9"/>
      <c r="D165" s="9"/>
      <c r="E165" s="9"/>
      <c r="F165" s="9"/>
      <c r="G165" s="9"/>
      <c r="H165" s="9"/>
      <c r="I165" s="13"/>
      <c r="J165" s="13"/>
      <c r="K165" s="9"/>
      <c r="L165" s="9"/>
      <c r="M165" s="9"/>
      <c r="N165" s="9"/>
      <c r="O165" s="9"/>
    </row>
    <row r="166" spans="1:15" x14ac:dyDescent="0.2">
      <c r="A166" s="5"/>
      <c r="B166" s="9"/>
      <c r="D166" s="9"/>
      <c r="E166" s="9"/>
      <c r="F166" s="9"/>
      <c r="G166" s="9"/>
      <c r="H166" s="9"/>
      <c r="I166" s="13"/>
      <c r="J166" s="13"/>
      <c r="K166" s="9"/>
      <c r="L166" s="9"/>
      <c r="M166" s="9"/>
      <c r="N166" s="9"/>
      <c r="O166" s="9"/>
    </row>
    <row r="167" spans="1:15" x14ac:dyDescent="0.2">
      <c r="A167" s="5"/>
      <c r="B167" s="9"/>
      <c r="D167" s="9"/>
      <c r="E167" s="9"/>
      <c r="F167" s="9"/>
      <c r="G167" s="9"/>
      <c r="H167" s="9"/>
      <c r="I167" s="13"/>
      <c r="J167" s="13"/>
      <c r="K167" s="9"/>
      <c r="L167" s="9"/>
      <c r="M167" s="9"/>
      <c r="N167" s="9"/>
      <c r="O167" s="9"/>
    </row>
    <row r="168" spans="1:15" x14ac:dyDescent="0.2">
      <c r="A168" s="5"/>
      <c r="B168" s="9"/>
      <c r="D168" s="9"/>
      <c r="E168" s="9"/>
      <c r="F168" s="9"/>
      <c r="G168" s="9"/>
      <c r="H168" s="9"/>
      <c r="I168" s="13"/>
      <c r="J168" s="13"/>
      <c r="K168" s="9"/>
      <c r="L168" s="9"/>
      <c r="M168" s="9"/>
      <c r="N168" s="9"/>
      <c r="O168" s="9"/>
    </row>
    <row r="169" spans="1:15" x14ac:dyDescent="0.2">
      <c r="A169" s="5"/>
      <c r="B169" s="9"/>
      <c r="D169" s="9"/>
      <c r="E169" s="9"/>
      <c r="F169" s="9"/>
      <c r="G169" s="9"/>
      <c r="H169" s="9"/>
      <c r="I169" s="13"/>
      <c r="J169" s="13"/>
      <c r="K169" s="9"/>
      <c r="L169" s="9"/>
      <c r="M169" s="9"/>
      <c r="N169" s="9"/>
      <c r="O169" s="9"/>
    </row>
    <row r="170" spans="1:15" x14ac:dyDescent="0.2">
      <c r="A170" s="5"/>
      <c r="B170" s="9"/>
      <c r="D170" s="9"/>
      <c r="E170" s="9"/>
      <c r="F170" s="9"/>
      <c r="G170" s="9"/>
      <c r="H170" s="9"/>
      <c r="I170" s="13"/>
      <c r="J170" s="13"/>
      <c r="K170" s="9"/>
      <c r="L170" s="9"/>
      <c r="M170" s="9"/>
      <c r="N170" s="9"/>
      <c r="O170" s="9"/>
    </row>
    <row r="171" spans="1:15" x14ac:dyDescent="0.2">
      <c r="A171" s="3"/>
      <c r="B171" s="7"/>
      <c r="D171" s="7"/>
      <c r="E171" s="7"/>
      <c r="F171" s="7"/>
      <c r="G171" s="7"/>
      <c r="H171" s="7"/>
      <c r="I171" s="13"/>
      <c r="J171" s="13"/>
      <c r="K171" s="7"/>
      <c r="L171" s="7"/>
      <c r="M171" s="7"/>
      <c r="N171" s="7"/>
      <c r="O171" s="7"/>
    </row>
    <row r="172" spans="1:15" x14ac:dyDescent="0.2">
      <c r="A172" s="3"/>
      <c r="B172" s="7"/>
      <c r="D172" s="7"/>
      <c r="E172" s="7"/>
      <c r="F172" s="7"/>
      <c r="G172" s="7"/>
      <c r="H172" s="7"/>
      <c r="I172" s="13"/>
      <c r="J172" s="13"/>
      <c r="K172" s="7"/>
      <c r="L172" s="7"/>
      <c r="M172" s="7"/>
      <c r="N172" s="7"/>
      <c r="O172" s="7"/>
    </row>
    <row r="173" spans="1:15" x14ac:dyDescent="0.2">
      <c r="A173" s="3"/>
      <c r="B173" s="7"/>
      <c r="D173" s="7"/>
      <c r="E173" s="7"/>
      <c r="F173" s="7"/>
      <c r="G173" s="7"/>
      <c r="H173" s="7"/>
      <c r="I173" s="13"/>
      <c r="J173" s="13"/>
      <c r="K173" s="7"/>
      <c r="L173" s="7"/>
      <c r="M173" s="7"/>
      <c r="N173" s="7"/>
      <c r="O173" s="7"/>
    </row>
    <row r="174" spans="1:15" x14ac:dyDescent="0.2">
      <c r="A174" s="3"/>
      <c r="B174" s="7"/>
      <c r="D174" s="7"/>
      <c r="E174" s="7"/>
      <c r="F174" s="7"/>
      <c r="G174" s="7"/>
      <c r="H174" s="7"/>
      <c r="I174" s="13"/>
      <c r="J174" s="13"/>
      <c r="K174" s="7"/>
      <c r="L174" s="7"/>
      <c r="M174" s="7"/>
      <c r="N174" s="7"/>
      <c r="O174" s="7"/>
    </row>
    <row r="175" spans="1:15" x14ac:dyDescent="0.2">
      <c r="A175" s="3"/>
      <c r="B175" s="7"/>
      <c r="D175" s="7"/>
      <c r="E175" s="7"/>
      <c r="F175" s="7"/>
      <c r="G175" s="7"/>
      <c r="H175" s="7"/>
      <c r="I175" s="13"/>
      <c r="J175" s="13"/>
      <c r="K175" s="7"/>
      <c r="L175" s="7"/>
      <c r="M175" s="7"/>
      <c r="N175" s="7"/>
      <c r="O175" s="7"/>
    </row>
    <row r="176" spans="1:15" x14ac:dyDescent="0.2">
      <c r="A176" s="3"/>
      <c r="B176" s="7"/>
      <c r="D176" s="7"/>
      <c r="E176" s="7"/>
      <c r="F176" s="7"/>
      <c r="G176" s="7"/>
      <c r="H176" s="7"/>
      <c r="I176" s="13"/>
      <c r="J176" s="13"/>
      <c r="K176" s="7"/>
      <c r="L176" s="7"/>
      <c r="M176" s="7"/>
      <c r="N176" s="7"/>
      <c r="O176" s="7"/>
    </row>
    <row r="177" spans="1:15" x14ac:dyDescent="0.2">
      <c r="A177" s="3"/>
      <c r="B177" s="7"/>
      <c r="D177" s="7"/>
      <c r="E177" s="7"/>
      <c r="F177" s="7"/>
      <c r="G177" s="7"/>
      <c r="H177" s="7"/>
      <c r="I177" s="13"/>
      <c r="J177" s="13"/>
      <c r="K177" s="7"/>
      <c r="L177" s="7"/>
      <c r="M177" s="7"/>
      <c r="N177" s="7"/>
      <c r="O177" s="7"/>
    </row>
    <row r="178" spans="1:15" x14ac:dyDescent="0.2">
      <c r="A178" s="3"/>
      <c r="B178" s="7"/>
      <c r="D178" s="7"/>
      <c r="E178" s="7"/>
      <c r="F178" s="7"/>
      <c r="G178" s="7"/>
      <c r="H178" s="7"/>
      <c r="I178" s="13"/>
      <c r="J178" s="13"/>
      <c r="K178" s="7"/>
      <c r="L178" s="7"/>
      <c r="M178" s="7"/>
      <c r="N178" s="7"/>
      <c r="O178" s="7"/>
    </row>
    <row r="179" spans="1:15" x14ac:dyDescent="0.2">
      <c r="A179" s="3"/>
      <c r="B179" s="7"/>
      <c r="D179" s="7"/>
      <c r="E179" s="7"/>
      <c r="F179" s="7"/>
      <c r="G179" s="7"/>
      <c r="H179" s="7"/>
      <c r="I179" s="13"/>
      <c r="J179" s="13"/>
      <c r="K179" s="7"/>
      <c r="L179" s="7"/>
      <c r="M179" s="7"/>
      <c r="N179" s="7"/>
      <c r="O179" s="7"/>
    </row>
    <row r="180" spans="1:15" x14ac:dyDescent="0.2">
      <c r="A180" s="4"/>
      <c r="B180" s="8"/>
      <c r="D180" s="8"/>
      <c r="E180" s="8"/>
      <c r="F180" s="8"/>
      <c r="G180" s="8"/>
      <c r="H180" s="8"/>
      <c r="I180" s="13"/>
      <c r="J180" s="13"/>
      <c r="K180" s="8"/>
      <c r="L180" s="8"/>
      <c r="M180" s="8"/>
      <c r="N180" s="8"/>
      <c r="O180" s="8"/>
    </row>
    <row r="181" spans="1:15" x14ac:dyDescent="0.2">
      <c r="A181" s="4"/>
      <c r="B181" s="8"/>
      <c r="D181" s="8"/>
      <c r="E181" s="8"/>
      <c r="F181" s="8"/>
      <c r="G181" s="8"/>
      <c r="H181" s="8"/>
      <c r="I181" s="13"/>
      <c r="J181" s="13"/>
      <c r="K181" s="8"/>
      <c r="L181" s="8"/>
      <c r="M181" s="8"/>
      <c r="N181" s="8"/>
      <c r="O181" s="8"/>
    </row>
    <row r="182" spans="1:15" x14ac:dyDescent="0.2">
      <c r="A182" s="4"/>
      <c r="B182" s="8"/>
      <c r="D182" s="8"/>
      <c r="E182" s="8"/>
      <c r="F182" s="8"/>
      <c r="G182" s="8"/>
      <c r="H182" s="8"/>
      <c r="I182" s="13"/>
      <c r="J182" s="13"/>
      <c r="K182" s="8"/>
      <c r="L182" s="8"/>
      <c r="M182" s="8"/>
      <c r="N182" s="8"/>
      <c r="O182" s="8"/>
    </row>
    <row r="183" spans="1:15" x14ac:dyDescent="0.2">
      <c r="A183" s="4"/>
      <c r="B183" s="8"/>
      <c r="D183" s="8"/>
      <c r="E183" s="8"/>
      <c r="F183" s="8"/>
      <c r="G183" s="8"/>
      <c r="H183" s="8"/>
      <c r="I183" s="13"/>
      <c r="J183" s="13"/>
      <c r="K183" s="8"/>
      <c r="L183" s="8"/>
      <c r="M183" s="8"/>
      <c r="N183" s="8"/>
      <c r="O183" s="8"/>
    </row>
    <row r="184" spans="1:15" x14ac:dyDescent="0.2">
      <c r="A184" s="4"/>
      <c r="B184" s="8"/>
      <c r="D184" s="8"/>
      <c r="E184" s="8"/>
      <c r="F184" s="8"/>
      <c r="G184" s="8"/>
      <c r="H184" s="8"/>
      <c r="I184" s="13"/>
      <c r="J184" s="13"/>
      <c r="K184" s="8"/>
      <c r="L184" s="8"/>
      <c r="M184" s="8"/>
      <c r="N184" s="8"/>
      <c r="O184" s="8"/>
    </row>
    <row r="185" spans="1:15" x14ac:dyDescent="0.2">
      <c r="A185" s="4"/>
      <c r="B185" s="8"/>
      <c r="D185" s="8"/>
      <c r="E185" s="8"/>
      <c r="F185" s="8"/>
      <c r="G185" s="8"/>
      <c r="H185" s="8"/>
      <c r="I185" s="13"/>
      <c r="J185" s="13"/>
      <c r="K185" s="8"/>
      <c r="L185" s="8"/>
      <c r="M185" s="8"/>
      <c r="N185" s="8"/>
      <c r="O185" s="8"/>
    </row>
    <row r="186" spans="1:15" x14ac:dyDescent="0.2">
      <c r="A186" s="4"/>
      <c r="B186" s="8"/>
      <c r="D186" s="8"/>
      <c r="E186" s="8"/>
      <c r="F186" s="8"/>
      <c r="G186" s="8"/>
      <c r="H186" s="8"/>
      <c r="I186" s="13"/>
      <c r="J186" s="13"/>
      <c r="K186" s="8"/>
      <c r="L186" s="8"/>
      <c r="M186" s="8"/>
      <c r="N186" s="8"/>
      <c r="O186" s="8"/>
    </row>
    <row r="187" spans="1:15" x14ac:dyDescent="0.2">
      <c r="A187" s="4"/>
      <c r="B187" s="8"/>
      <c r="D187" s="8"/>
      <c r="E187" s="8"/>
      <c r="F187" s="8"/>
      <c r="G187" s="8"/>
      <c r="H187" s="8"/>
      <c r="I187" s="13"/>
      <c r="J187" s="13"/>
      <c r="K187" s="8"/>
      <c r="L187" s="8"/>
      <c r="M187" s="8"/>
      <c r="N187" s="8"/>
      <c r="O187" s="8"/>
    </row>
    <row r="188" spans="1:15" x14ac:dyDescent="0.2">
      <c r="A188" s="4"/>
      <c r="B188" s="8"/>
      <c r="D188" s="8"/>
      <c r="E188" s="8"/>
      <c r="F188" s="8"/>
      <c r="G188" s="8"/>
      <c r="H188" s="8"/>
      <c r="I188" s="13"/>
      <c r="J188" s="13"/>
      <c r="K188" s="8"/>
      <c r="L188" s="8"/>
      <c r="M188" s="8"/>
      <c r="N188" s="8"/>
      <c r="O188" s="8"/>
    </row>
    <row r="189" spans="1:15" x14ac:dyDescent="0.2">
      <c r="A189" s="4"/>
      <c r="B189" s="8"/>
      <c r="D189" s="8"/>
      <c r="E189" s="8"/>
      <c r="F189" s="8"/>
      <c r="G189" s="8"/>
      <c r="H189" s="8"/>
      <c r="I189" s="13"/>
      <c r="J189" s="13"/>
      <c r="K189" s="8"/>
      <c r="L189" s="8"/>
      <c r="M189" s="8"/>
      <c r="N189" s="8"/>
      <c r="O189" s="8"/>
    </row>
  </sheetData>
  <mergeCells count="12">
    <mergeCell ref="A46:C46"/>
    <mergeCell ref="A86:B86"/>
    <mergeCell ref="F88:H88"/>
    <mergeCell ref="F1:K1"/>
    <mergeCell ref="F6:I6"/>
    <mergeCell ref="F11:I11"/>
    <mergeCell ref="F16:I16"/>
    <mergeCell ref="F21:I21"/>
    <mergeCell ref="F26:I26"/>
    <mergeCell ref="F31:I31"/>
    <mergeCell ref="F36:I36"/>
    <mergeCell ref="F41:I41"/>
  </mergeCells>
  <hyperlinks>
    <hyperlink ref="C90" r:id="rId1" xr:uid="{D87ADA1A-00DB-E949-ADD1-97F92527B82F}"/>
    <hyperlink ref="C91" r:id="rId2" xr:uid="{ADBFA2E2-6AD5-F342-8B14-AC817766612E}"/>
    <hyperlink ref="C92" r:id="rId3" xr:uid="{0B4A3131-9B91-B344-9D1F-6A5BEC935BFA}"/>
    <hyperlink ref="C93" r:id="rId4" xr:uid="{A990747F-1740-E049-8A8B-544A0C3B95CC}"/>
    <hyperlink ref="C94" r:id="rId5" xr:uid="{35AAAC37-7DFC-A94D-840C-118DEE78904B}"/>
    <hyperlink ref="C95" r:id="rId6" xr:uid="{04DB0537-9AB7-6A4E-9155-1315DBFC3260}"/>
    <hyperlink ref="C96" r:id="rId7" xr:uid="{6A579A22-3026-DF44-9778-12B42332A5E1}"/>
    <hyperlink ref="C97" r:id="rId8" xr:uid="{00CA1BBC-C2E2-A445-85DA-87D3A13FB58A}"/>
    <hyperlink ref="C98" r:id="rId9" xr:uid="{0C4B6619-81F6-3840-9EE0-305C5F53EEBC}"/>
    <hyperlink ref="C99" r:id="rId10" xr:uid="{9A3C0C98-365F-694B-9E1A-645443F60BEB}"/>
    <hyperlink ref="C100" r:id="rId11" xr:uid="{65453ED7-7C20-F041-8AE0-1122CEB1E1E5}"/>
    <hyperlink ref="C101" r:id="rId12" xr:uid="{B661A15C-1F3A-E84F-932F-8B9F86DD7A52}"/>
    <hyperlink ref="C102" r:id="rId13" xr:uid="{FDB60B93-8662-FF4C-9B95-D71474F19977}"/>
    <hyperlink ref="C103" r:id="rId14" xr:uid="{2AFBC2BD-8E6B-024E-B6F8-AF935E5270F9}"/>
    <hyperlink ref="C104" r:id="rId15" xr:uid="{8298AE8F-DD78-B043-8B62-958987A081BC}"/>
    <hyperlink ref="C105" r:id="rId16" xr:uid="{03DC19B8-2033-DC4C-B045-9312A4CDFB83}"/>
    <hyperlink ref="C106" r:id="rId17" xr:uid="{6D295934-B1A6-9644-A41A-3AF3D0D6509E}"/>
    <hyperlink ref="C107" r:id="rId18" xr:uid="{A61EE809-565B-F640-BCB2-0916BD7DB1E0}"/>
    <hyperlink ref="C108" r:id="rId19" xr:uid="{56B04465-22FD-8743-B964-C3A88A6540B4}"/>
    <hyperlink ref="C109" r:id="rId20" xr:uid="{B3681985-B43F-8747-9E83-95ECC0A70307}"/>
    <hyperlink ref="C110" r:id="rId21" xr:uid="{4213AC77-A23D-F048-9097-8EADE54B66E1}"/>
    <hyperlink ref="C111" r:id="rId22" xr:uid="{11136302-B1D4-C64C-829C-C00440973DFB}"/>
    <hyperlink ref="C112" r:id="rId23" xr:uid="{AD9A807D-3926-6D44-8E8B-CA2792FB9D97}"/>
    <hyperlink ref="C113" r:id="rId24" xr:uid="{4294016D-D3B3-2B42-AE0C-1D8D864681E0}"/>
    <hyperlink ref="C114" r:id="rId25" xr:uid="{CEB2D796-F9A6-FA46-B209-60B97A19ACB6}"/>
    <hyperlink ref="C115" r:id="rId26" xr:uid="{3D50476A-1052-7948-A259-5D0582169ABD}"/>
    <hyperlink ref="C116" r:id="rId27" xr:uid="{3578BD24-4802-4643-A06F-8D929F9A1738}"/>
    <hyperlink ref="C117" r:id="rId28" xr:uid="{2A362D92-9C99-CF44-9797-5C584BAF07E4}"/>
    <hyperlink ref="C118" r:id="rId29" xr:uid="{A701853D-F31C-BE4C-8D37-B12207EF178A}"/>
    <hyperlink ref="C119" r:id="rId30" xr:uid="{9758BE6C-EB3F-4948-9518-B694B3F81968}"/>
    <hyperlink ref="C120" r:id="rId31" xr:uid="{275A6277-1375-714E-AA07-7FE835DCB6E1}"/>
    <hyperlink ref="C121" r:id="rId32" xr:uid="{B4C7909C-1AE8-8144-A87A-15F52FF50AC2}"/>
    <hyperlink ref="C122" r:id="rId33" xr:uid="{8D0FFCBF-FA35-1044-8879-598AE33CF3D7}"/>
    <hyperlink ref="C123" r:id="rId34" xr:uid="{BB60216B-2C6C-2546-ABB6-1DBACE6D273F}"/>
    <hyperlink ref="C124" r:id="rId35" xr:uid="{367323C7-E051-224B-9897-D3CFFE86C0E2}"/>
  </hyperlinks>
  <pageMargins left="0.7" right="0.7" top="0.75" bottom="0.75" header="0.3" footer="0.3"/>
  <drawing r:id="rId36"/>
</worksheet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Infocom Series</vt:lpstr>
      <vt:lpstr>NancyDrew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Barack Liu</dc:creator>
  <cp:lastModifiedBy>Barack Liu</cp:lastModifiedBy>
  <dcterms:created xsi:type="dcterms:W3CDTF">2024-01-15T19:45:53Z</dcterms:created>
  <dcterms:modified xsi:type="dcterms:W3CDTF">2024-08-16T07:27:26Z</dcterms:modified>
</cp:coreProperties>
</file>