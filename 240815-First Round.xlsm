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Capstone-CSS -595-700/231006-Research-Progress- Excel/"/>
    </mc:Choice>
  </mc:AlternateContent>
  <xr:revisionPtr revIDLastSave="1579" documentId="8_{2E567EC8-8EDB-5847-A50D-74DD9F2937A4}" xr6:coauthVersionLast="47" xr6:coauthVersionMax="47" xr10:uidLastSave="{71BC984E-E796-E24A-98CB-466B8886C801}"/>
  <bookViews>
    <workbookView xWindow="-23360" yWindow="560" windowWidth="23360" windowHeight="14540" xr2:uid="{18342DF9-798A-DA42-BBC4-C755067F6B3B}"/>
  </bookViews>
  <sheets>
    <sheet name="1st-1" sheetId="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6" i="9" l="1"/>
  <c r="W78" i="9"/>
  <c r="W80" i="9"/>
  <c r="W85" i="9"/>
  <c r="W84" i="9"/>
  <c r="W76" i="9"/>
  <c r="W77" i="9"/>
  <c r="W83" i="9"/>
  <c r="W81" i="9"/>
  <c r="W79" i="9"/>
  <c r="W82" i="9"/>
  <c r="W75" i="9"/>
  <c r="W67" i="9"/>
  <c r="W69" i="9"/>
  <c r="W74" i="9"/>
  <c r="W73" i="9"/>
  <c r="W65" i="9"/>
  <c r="W66" i="9"/>
  <c r="W72" i="9"/>
  <c r="W70" i="9"/>
  <c r="W68" i="9"/>
  <c r="W71" i="9"/>
  <c r="W64" i="9"/>
  <c r="W56" i="9"/>
  <c r="W58" i="9"/>
  <c r="W63" i="9"/>
  <c r="W62" i="9"/>
  <c r="W54" i="9"/>
  <c r="W55" i="9"/>
  <c r="W61" i="9"/>
  <c r="W59" i="9"/>
  <c r="W57" i="9"/>
  <c r="W60" i="9"/>
  <c r="U86" i="9"/>
  <c r="U78" i="9"/>
  <c r="U80" i="9"/>
  <c r="U85" i="9"/>
  <c r="U84" i="9"/>
  <c r="U76" i="9"/>
  <c r="U77" i="9"/>
  <c r="U83" i="9"/>
  <c r="U81" i="9"/>
  <c r="U79" i="9"/>
  <c r="U82" i="9"/>
  <c r="U75" i="9"/>
  <c r="U67" i="9"/>
  <c r="U69" i="9"/>
  <c r="U74" i="9"/>
  <c r="U73" i="9"/>
  <c r="U65" i="9"/>
  <c r="U66" i="9"/>
  <c r="U72" i="9"/>
  <c r="U70" i="9"/>
  <c r="U68" i="9"/>
  <c r="U71" i="9"/>
  <c r="U64" i="9"/>
  <c r="U56" i="9"/>
  <c r="U58" i="9"/>
  <c r="U63" i="9"/>
  <c r="U62" i="9"/>
  <c r="U54" i="9"/>
  <c r="U55" i="9"/>
  <c r="U61" i="9"/>
  <c r="U59" i="9"/>
  <c r="U57" i="9"/>
  <c r="U60" i="9"/>
  <c r="S86" i="9"/>
  <c r="S78" i="9"/>
  <c r="S80" i="9"/>
  <c r="S85" i="9"/>
  <c r="S84" i="9"/>
  <c r="S76" i="9"/>
  <c r="S77" i="9"/>
  <c r="S83" i="9"/>
  <c r="S81" i="9"/>
  <c r="S79" i="9"/>
  <c r="S82" i="9"/>
  <c r="S75" i="9"/>
  <c r="S67" i="9"/>
  <c r="S69" i="9"/>
  <c r="S74" i="9"/>
  <c r="S73" i="9"/>
  <c r="S65" i="9"/>
  <c r="S66" i="9"/>
  <c r="S72" i="9"/>
  <c r="S70" i="9"/>
  <c r="S68" i="9"/>
  <c r="S71" i="9"/>
  <c r="S64" i="9"/>
  <c r="S56" i="9"/>
  <c r="S58" i="9"/>
  <c r="S63" i="9"/>
  <c r="S62" i="9"/>
  <c r="S54" i="9"/>
  <c r="S55" i="9"/>
  <c r="S61" i="9"/>
  <c r="S59" i="9"/>
  <c r="S57" i="9"/>
  <c r="S60" i="9"/>
  <c r="P86" i="9"/>
  <c r="P78" i="9"/>
  <c r="P80" i="9"/>
  <c r="P85" i="9"/>
  <c r="P84" i="9"/>
  <c r="P76" i="9"/>
  <c r="P77" i="9"/>
  <c r="P83" i="9"/>
  <c r="P81" i="9"/>
  <c r="P79" i="9"/>
  <c r="P82" i="9"/>
  <c r="P75" i="9"/>
  <c r="P67" i="9"/>
  <c r="P69" i="9"/>
  <c r="P74" i="9"/>
  <c r="P73" i="9"/>
  <c r="P65" i="9"/>
  <c r="P66" i="9"/>
  <c r="P72" i="9"/>
  <c r="P70" i="9"/>
  <c r="P68" i="9"/>
  <c r="P71" i="9"/>
  <c r="P64" i="9"/>
  <c r="P56" i="9"/>
  <c r="P58" i="9"/>
  <c r="P63" i="9"/>
  <c r="P62" i="9"/>
  <c r="P54" i="9"/>
  <c r="P55" i="9"/>
  <c r="P61" i="9"/>
  <c r="P59" i="9"/>
  <c r="P57" i="9"/>
  <c r="P60" i="9"/>
  <c r="N86" i="9"/>
  <c r="N78" i="9"/>
  <c r="N80" i="9"/>
  <c r="N85" i="9"/>
  <c r="N84" i="9"/>
  <c r="N76" i="9"/>
  <c r="N77" i="9"/>
  <c r="N83" i="9"/>
  <c r="N81" i="9"/>
  <c r="N79" i="9"/>
  <c r="N82" i="9"/>
  <c r="N75" i="9"/>
  <c r="N67" i="9"/>
  <c r="N69" i="9"/>
  <c r="N74" i="9"/>
  <c r="N73" i="9"/>
  <c r="N65" i="9"/>
  <c r="N66" i="9"/>
  <c r="N72" i="9"/>
  <c r="N70" i="9"/>
  <c r="N68" i="9"/>
  <c r="N71" i="9"/>
  <c r="N64" i="9"/>
  <c r="N56" i="9"/>
  <c r="N58" i="9"/>
  <c r="N63" i="9"/>
  <c r="N62" i="9"/>
  <c r="N54" i="9"/>
  <c r="N55" i="9"/>
  <c r="N61" i="9"/>
  <c r="N59" i="9"/>
  <c r="N57" i="9"/>
  <c r="N60" i="9"/>
  <c r="L86" i="9"/>
  <c r="L78" i="9"/>
  <c r="L80" i="9"/>
  <c r="L85" i="9"/>
  <c r="L84" i="9"/>
  <c r="L76" i="9"/>
  <c r="L77" i="9"/>
  <c r="L83" i="9"/>
  <c r="L81" i="9"/>
  <c r="L79" i="9"/>
  <c r="L82" i="9"/>
  <c r="L75" i="9"/>
  <c r="L67" i="9"/>
  <c r="L69" i="9"/>
  <c r="L74" i="9"/>
  <c r="L73" i="9"/>
  <c r="L65" i="9"/>
  <c r="L66" i="9"/>
  <c r="L72" i="9"/>
  <c r="L70" i="9"/>
  <c r="L68" i="9"/>
  <c r="L71" i="9"/>
  <c r="L64" i="9"/>
  <c r="L56" i="9"/>
  <c r="L58" i="9"/>
  <c r="L63" i="9"/>
  <c r="L62" i="9"/>
  <c r="L54" i="9"/>
  <c r="L55" i="9"/>
  <c r="L61" i="9"/>
  <c r="L59" i="9"/>
  <c r="L57" i="9"/>
  <c r="L60" i="9"/>
  <c r="I86" i="9"/>
  <c r="I78" i="9"/>
  <c r="I80" i="9"/>
  <c r="I85" i="9"/>
  <c r="I84" i="9"/>
  <c r="I76" i="9"/>
  <c r="I77" i="9"/>
  <c r="I83" i="9"/>
  <c r="I81" i="9"/>
  <c r="I79" i="9"/>
  <c r="I82" i="9"/>
  <c r="I75" i="9"/>
  <c r="I67" i="9"/>
  <c r="I69" i="9"/>
  <c r="I74" i="9"/>
  <c r="I73" i="9"/>
  <c r="I65" i="9"/>
  <c r="I66" i="9"/>
  <c r="I72" i="9"/>
  <c r="I70" i="9"/>
  <c r="I68" i="9"/>
  <c r="I71" i="9"/>
  <c r="I64" i="9"/>
  <c r="I56" i="9"/>
  <c r="I58" i="9"/>
  <c r="I63" i="9"/>
  <c r="I62" i="9"/>
  <c r="I54" i="9"/>
  <c r="I55" i="9"/>
  <c r="I61" i="9"/>
  <c r="I59" i="9"/>
  <c r="I57" i="9"/>
  <c r="I60" i="9"/>
  <c r="G86" i="9"/>
  <c r="G78" i="9"/>
  <c r="G80" i="9"/>
  <c r="G85" i="9"/>
  <c r="G84" i="9"/>
  <c r="G76" i="9"/>
  <c r="G77" i="9"/>
  <c r="G83" i="9"/>
  <c r="G81" i="9"/>
  <c r="G79" i="9"/>
  <c r="G82" i="9"/>
  <c r="G75" i="9"/>
  <c r="G67" i="9"/>
  <c r="G69" i="9"/>
  <c r="G74" i="9"/>
  <c r="G73" i="9"/>
  <c r="G65" i="9"/>
  <c r="G66" i="9"/>
  <c r="G72" i="9"/>
  <c r="G70" i="9"/>
  <c r="G68" i="9"/>
  <c r="G71" i="9"/>
  <c r="G64" i="9"/>
  <c r="G56" i="9"/>
  <c r="G58" i="9"/>
  <c r="G63" i="9"/>
  <c r="G62" i="9"/>
  <c r="G54" i="9"/>
  <c r="G55" i="9"/>
  <c r="G61" i="9"/>
  <c r="G59" i="9"/>
  <c r="G57" i="9"/>
  <c r="G60" i="9"/>
  <c r="E56" i="9"/>
  <c r="W87" i="9" l="1"/>
  <c r="P87" i="9"/>
  <c r="I87" i="9"/>
  <c r="G87" i="9"/>
  <c r="S87" i="9"/>
  <c r="N87" i="9"/>
  <c r="L87" i="9"/>
  <c r="U87" i="9"/>
  <c r="E78" i="9"/>
  <c r="E67" i="9"/>
  <c r="E83" i="9"/>
  <c r="E72" i="9"/>
  <c r="E61" i="9"/>
  <c r="E86" i="9" l="1"/>
  <c r="E80" i="9"/>
  <c r="E85" i="9"/>
  <c r="E84" i="9"/>
  <c r="E76" i="9"/>
  <c r="E77" i="9"/>
  <c r="E81" i="9"/>
  <c r="E79" i="9"/>
  <c r="E82" i="9"/>
  <c r="E75" i="9"/>
  <c r="E69" i="9"/>
  <c r="E74" i="9"/>
  <c r="E73" i="9"/>
  <c r="E65" i="9"/>
  <c r="E66" i="9"/>
  <c r="E70" i="9"/>
  <c r="E68" i="9"/>
  <c r="E71" i="9"/>
  <c r="E64" i="9"/>
  <c r="E58" i="9"/>
  <c r="E63" i="9"/>
  <c r="E62" i="9"/>
  <c r="E54" i="9"/>
  <c r="E55" i="9"/>
  <c r="E59" i="9"/>
  <c r="E57" i="9"/>
  <c r="E60" i="9"/>
  <c r="E87" i="9" l="1"/>
</calcChain>
</file>

<file path=xl/sharedStrings.xml><?xml version="1.0" encoding="utf-8"?>
<sst xmlns="http://schemas.openxmlformats.org/spreadsheetml/2006/main" count="350" uniqueCount="214">
  <si>
    <t>x</t>
  </si>
  <si>
    <t>y</t>
  </si>
  <si>
    <t>Name</t>
  </si>
  <si>
    <t>Y</t>
  </si>
  <si>
    <t>Analogue: A Hate Story</t>
  </si>
  <si>
    <t>Anchorhead</t>
  </si>
  <si>
    <t>Counterfeit Monkey</t>
  </si>
  <si>
    <t>Hadean Lands</t>
  </si>
  <si>
    <t>Worlds Apart</t>
  </si>
  <si>
    <t>AI Dungeon</t>
  </si>
  <si>
    <t>A Dark Room</t>
  </si>
  <si>
    <t>Façade</t>
  </si>
  <si>
    <t>皇帝成长计划</t>
  </si>
  <si>
    <t>明月依旧</t>
  </si>
  <si>
    <t>中国式家长</t>
  </si>
  <si>
    <t>潜伏之赤途</t>
  </si>
  <si>
    <t>隐形守护者</t>
  </si>
  <si>
    <t>太吾绘卷</t>
  </si>
  <si>
    <t>Twine</t>
  </si>
  <si>
    <t>Ren'Py</t>
  </si>
  <si>
    <t>Inform 7</t>
  </si>
  <si>
    <t>Quest</t>
  </si>
  <si>
    <t>Text Adventure Development System</t>
  </si>
  <si>
    <t>inklewriter</t>
  </si>
  <si>
    <t>Unity</t>
  </si>
  <si>
    <t>Others</t>
  </si>
  <si>
    <t>Story Ending</t>
  </si>
  <si>
    <t>Sum</t>
  </si>
  <si>
    <t>Y: Game Engine</t>
  </si>
  <si>
    <t>Game Engine</t>
  </si>
  <si>
    <t>Instance</t>
  </si>
  <si>
    <t>C1 X</t>
  </si>
  <si>
    <t>C2 X</t>
  </si>
  <si>
    <t>C3 X</t>
  </si>
  <si>
    <t>C4 X</t>
  </si>
  <si>
    <t>C5 X</t>
  </si>
  <si>
    <t>C6 X</t>
  </si>
  <si>
    <t>C9: Monetization Model</t>
  </si>
  <si>
    <t>C7 X</t>
  </si>
  <si>
    <t>C8 X</t>
  </si>
  <si>
    <t>C9 X</t>
  </si>
  <si>
    <t>Platform Compatibility</t>
  </si>
  <si>
    <t xml:space="preserve">Player Count </t>
  </si>
  <si>
    <t xml:space="preserve">Monetization Model </t>
  </si>
  <si>
    <t>ChoiceScript</t>
  </si>
  <si>
    <t>Adrift</t>
  </si>
  <si>
    <t>StoryNexus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</si>
  <si>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</si>
  <si>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</si>
  <si>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</si>
  <si>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</si>
  <si>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</si>
  <si>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</si>
  <si>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</si>
  <si>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</si>
  <si>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</si>
  <si>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</si>
  <si>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Text</t>
  </si>
  <si>
    <t>Picture</t>
  </si>
  <si>
    <t>Video</t>
  </si>
  <si>
    <t>Linear limited</t>
  </si>
  <si>
    <t>Non-linear open</t>
  </si>
  <si>
    <t>Non-linear limited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</si>
  <si>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</si>
  <si>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</si>
  <si>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</si>
  <si>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</si>
  <si>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</si>
  <si>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</si>
  <si>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</si>
  <si>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</si>
  <si>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</si>
  <si>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</t>
  </si>
  <si>
    <t>Single PC/Phone</t>
  </si>
  <si>
    <t>Single Console</t>
  </si>
  <si>
    <t>Multiple</t>
  </si>
  <si>
    <t>Two</t>
  </si>
  <si>
    <t>Three or more</t>
  </si>
  <si>
    <t>Free</t>
  </si>
  <si>
    <t>Purchase before playing</t>
  </si>
  <si>
    <t>In-game ad/purchase</t>
  </si>
  <si>
    <t>Mouse only</t>
  </si>
  <si>
    <t>X axis</t>
  </si>
  <si>
    <t>y axis</t>
  </si>
  <si>
    <t>Category</t>
  </si>
  <si>
    <t xml:space="preserve">Story Ending </t>
  </si>
  <si>
    <t>User Input</t>
  </si>
  <si>
    <t>Visual Output</t>
  </si>
  <si>
    <t>Story Option</t>
  </si>
  <si>
    <t>Action Time</t>
  </si>
  <si>
    <t>Stats System &amp; Resource Management</t>
  </si>
  <si>
    <t>Stats &amp; Resource</t>
  </si>
  <si>
    <t>C1: User input</t>
  </si>
  <si>
    <t>C2: Visual Output</t>
  </si>
  <si>
    <t xml:space="preserve">C3: Story option		</t>
  </si>
  <si>
    <t>C4:Story Ending</t>
  </si>
  <si>
    <t>C5: Action Time</t>
  </si>
  <si>
    <t>C6: Stats &amp; Resource</t>
  </si>
  <si>
    <t>C7: Player Count</t>
  </si>
  <si>
    <t>C8: Platform Compatibility</t>
  </si>
  <si>
    <t>Keyboard only</t>
  </si>
  <si>
    <t>RenPy</t>
  </si>
  <si>
    <t xml:space="preserve">Inform </t>
  </si>
  <si>
    <t>Inkle</t>
  </si>
  <si>
    <t>Nexus</t>
  </si>
  <si>
    <t>https://ifdb.org/search?searchfor=system:Twine</t>
  </si>
  <si>
    <t>https://ifdb.org/search?searchfor=system:Ren%27Py</t>
  </si>
  <si>
    <t>https://ifdb.org/search?searchfor=system:Inform+7</t>
  </si>
  <si>
    <t>https://ifdb.org/search?searchfor=system:ChoiceScript</t>
  </si>
  <si>
    <t>https://ifdb.org/search?searchfor=system:Quest</t>
  </si>
  <si>
    <t>https://ifdb.org/search?searchfor=system:TADS</t>
  </si>
  <si>
    <t>https://ifdb.org/search?searchfor=system:Inklewriter</t>
  </si>
  <si>
    <t>https://ifdb.org/search?searchfor=system:Storynexus</t>
  </si>
  <si>
    <t>https://ifdb.org/search?searchfor=system:Unity</t>
  </si>
  <si>
    <t>https://ifdb.org/search?searchfor=system:ADRIFT</t>
  </si>
  <si>
    <t>Open Sorcery</t>
  </si>
  <si>
    <t>Will Not Let Me Go</t>
  </si>
  <si>
    <t>Birdland</t>
  </si>
  <si>
    <t>A Long Way to the Nearest Star</t>
  </si>
  <si>
    <t>Known Unknowns</t>
  </si>
  <si>
    <t>SPY INTRIGUE</t>
  </si>
  <si>
    <t>Erstwhile</t>
  </si>
  <si>
    <t>Digital: A Love Story</t>
  </si>
  <si>
    <t>Hate Plus</t>
  </si>
  <si>
    <t>Our Life: Beginnings &amp; Always</t>
  </si>
  <si>
    <t>Save the Date</t>
  </si>
  <si>
    <t>Doki Doki Literature Club</t>
  </si>
  <si>
    <t>Long Live the Queen</t>
  </si>
  <si>
    <t>Black Closet</t>
  </si>
  <si>
    <t>Superluminal Vagrant Twin</t>
  </si>
  <si>
    <t>The Wizard Sniffer</t>
  </si>
  <si>
    <t>Toby's Nose</t>
  </si>
  <si>
    <t>Eat Me</t>
  </si>
  <si>
    <t>Violet</t>
  </si>
  <si>
    <t>Coloratura</t>
  </si>
  <si>
    <t>Turandot</t>
  </si>
  <si>
    <t>Choice of Robots</t>
  </si>
  <si>
    <t>A Study in Steampunk: Choice by Gaslight</t>
  </si>
  <si>
    <t>Creatures Such As We</t>
  </si>
  <si>
    <t>Fallen Hero: Rebirth</t>
  </si>
  <si>
    <t>Tally Ho</t>
  </si>
  <si>
    <t>Jolly Good: Cakes and Ale</t>
  </si>
  <si>
    <t>Heart of the House</t>
  </si>
  <si>
    <t>Whitefield Academy of Witchcraft</t>
  </si>
  <si>
    <t>Jacqueline, Jungle Queen!</t>
  </si>
  <si>
    <t>The House on Highfield Lane</t>
  </si>
  <si>
    <t>Basilica de Sangre</t>
  </si>
  <si>
    <t>Poppet</t>
  </si>
  <si>
    <t>Night House</t>
  </si>
  <si>
    <t>Guttersnipe: Carnival of Regrets</t>
  </si>
  <si>
    <t>First Times</t>
  </si>
  <si>
    <t>Babel</t>
  </si>
  <si>
    <t>According to Cain</t>
  </si>
  <si>
    <t>Gun Mute</t>
  </si>
  <si>
    <t>To Hell in a Hamper</t>
  </si>
  <si>
    <t>How Prince Quisborne the Feckless Shook His Title</t>
  </si>
  <si>
    <t>First Things First</t>
  </si>
  <si>
    <t>Blighted Isle</t>
  </si>
  <si>
    <t>80 DAYS</t>
  </si>
  <si>
    <t>Sorcery! 2</t>
  </si>
  <si>
    <t>Abgesang: Der Tag der Toten</t>
  </si>
  <si>
    <t>A Face Like Mine</t>
  </si>
  <si>
    <t>Düstere Dickichte 1: Schurken-Alarm!</t>
  </si>
  <si>
    <t>Virtue</t>
  </si>
  <si>
    <t>Snake's Game</t>
  </si>
  <si>
    <t>The Man Who Killed Time</t>
  </si>
  <si>
    <t>Sunless Sea</t>
  </si>
  <si>
    <t>Fallen London</t>
  </si>
  <si>
    <t>The Frequently Deceased</t>
  </si>
  <si>
    <t>Cricket, Anyone?</t>
  </si>
  <si>
    <t>Final Girl</t>
  </si>
  <si>
    <t>Por Una Cabeza</t>
  </si>
  <si>
    <t>The Bloody Wallpaper</t>
  </si>
  <si>
    <t>Lost in Reflections</t>
  </si>
  <si>
    <t>Caveat Emptor</t>
  </si>
  <si>
    <t>Silicon and Cells</t>
  </si>
  <si>
    <t>Tragic</t>
  </si>
  <si>
    <t>Secret Little Haven</t>
  </si>
  <si>
    <t>The House Abandon</t>
  </si>
  <si>
    <t>Ulterior Spirits</t>
  </si>
  <si>
    <t>Paris Aires</t>
  </si>
  <si>
    <t>Heaven Will Be Mine</t>
  </si>
  <si>
    <t>Language Arts</t>
  </si>
  <si>
    <t>Skybreak!</t>
  </si>
  <si>
    <t>Pirate's Plunder!</t>
  </si>
  <si>
    <t>A Fine Day for Reaping</t>
  </si>
  <si>
    <t>Renegade Brainwave</t>
  </si>
  <si>
    <t>Goldilocks is a FOX!</t>
  </si>
  <si>
    <t>Six Silver Bullets</t>
  </si>
  <si>
    <t>Unauthorized Termination</t>
  </si>
  <si>
    <t>Nancy Drew®: Mystery of the Seven Keys™</t>
  </si>
  <si>
    <t>https://store.steampowered.com/app/1926590/Nancy_Drew_Mystery_of_the_Seven_Keys/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</si>
  <si>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</si>
  <si>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</si>
  <si>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</si>
  <si>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</si>
  <si>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</si>
  <si>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</si>
  <si>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</si>
  <si>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</si>
  <si>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</si>
  <si>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Time to Respond</t>
  </si>
  <si>
    <t>Number of Players</t>
  </si>
  <si>
    <t>Choice</t>
  </si>
  <si>
    <t>Return to Ditch Day</t>
  </si>
  <si>
    <t>Game Name</t>
  </si>
  <si>
    <t>The Zen Garden</t>
  </si>
  <si>
    <t>The Axe of Kolt [2014 ADRIFT version]</t>
  </si>
  <si>
    <t>God is in the Radio</t>
  </si>
  <si>
    <t>Unearthed Stories</t>
  </si>
  <si>
    <t>With Those We Love Alive</t>
  </si>
  <si>
    <t>Bogeyman</t>
  </si>
  <si>
    <t>Wayhaven Chronicles: Book One</t>
  </si>
  <si>
    <t>Tainted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</si>
</sst>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" fillId="3" borderId="1" xfId="0" quotePrefix="1" applyFont="1" applyFill="1" applyBorder="1" applyAlignment="1">
      <alignment wrapText="1"/>
    </xf>
    <xf numFmtId="0" fontId="1" fillId="4" borderId="1" xfId="0" quotePrefix="1" applyFont="1" applyFill="1" applyBorder="1" applyAlignment="1">
      <alignment wrapText="1"/>
    </xf>
    <xf numFmtId="0" fontId="1" fillId="2" borderId="1" xfId="0" quotePrefix="1" applyFont="1" applyFill="1" applyBorder="1" applyAlignment="1">
      <alignment wrapText="1"/>
    </xf>
    <xf numFmtId="0" fontId="2" fillId="0" borderId="4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1" fillId="0" borderId="3" xfId="0" applyFont="1" applyBorder="1" applyAlignment="1">
      <alignment wrapText="1"/>
    </xf>
    <xf numFmtId="0" fontId="6" fillId="0" borderId="0" xfId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Catogories - Game</a:t>
            </a:r>
            <a:r>
              <a:rPr lang="zh-CN" b="1"/>
              <a:t> </a:t>
            </a:r>
            <a:r>
              <a:rPr lang="en-US" b="1"/>
              <a:t>Engine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82572479894293E-2"/>
          <c:y val="0.12620593218904078"/>
          <c:w val="0.88222768556946263"/>
          <c:h val="0.7398016585838697"/>
        </c:manualLayout>
      </c:layout>
      <c:scatterChart>
        <c:scatterStyle val="lineMarker"/>
        <c:varyColors val="0"/>
        <c:ser>
          <c:idx val="1"/>
          <c:order val="0"/>
          <c:tx>
            <c:strRef>
              <c:f>'1st-1'!$A$39</c:f>
              <c:strCache>
                <c:ptCount val="1"/>
                <c:pt idx="0">
                  <c:v>Y: Game Engine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A0A390-1486-5740-946F-ABFB6E6BB3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9C64EC-B168-E743-948C-BA730997C0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3FABFB-C42C-1944-AFC3-885CF97BE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E58FAB-C135-A043-B978-4E82EFEA05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ABA2A-C0FE-1544-BD8D-321A5AB76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3E4A6-3A17-2940-8DD4-A3C6998F95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8711074237165033E-2"/>
                      <c:h val="0.1015269602476958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137F6F-7141-7E4D-AA35-2D94F1D366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85D2D6-441F-8E41-B9A0-04A1DB2D1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B3A755-8D60-554E-B9C4-B0793B5CE3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EC6735-12D3-AD45-A4CC-A5ED44CD0D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685E35-6C21-4F47-8C79-09019CE62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'1st-1'!$B$41:$B$51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'1st-1'!$C$41:$C$51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'1st-1'!$A$41:$A$51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5C13-034A-9481-1F7401B48A35}"/>
            </c:ext>
          </c:extLst>
        </c:ser>
        <c:ser>
          <c:idx val="0"/>
          <c:order val="1"/>
          <c:tx>
            <c:strRef>
              <c:f>'1st-1'!$E$53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2C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CC2B7C2-20E1-3148-B7B7-F1DCDE016F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7410B-2A26-354F-94E7-00DB74B17F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2D9BDD-3333-8544-97FB-C3FECEAF2C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D7B59B-9D03-9B42-93E9-D16A047E8E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7AE87D-6D8C-2449-A5DC-314731A17E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D9F3C5-BB79-1745-832A-73ADF6AD91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4DD5E6-9CC7-5449-9B23-2567B1DBC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2E27FB-D002-2F47-B796-FD1AE578C4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353B8-538F-3248-ABFF-E8B774498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027394-44A8-294B-930A-CEAD0AE16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C240E6-D351-A846-A52D-9504E171A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3FE8B6-E0C4-9544-8AC0-CBD8422AC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F634AE-6BCC-014C-861E-2C16BDB052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0D8A16-7366-0948-9FD0-B3F3F60ED5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F38AC6-3A4F-F44C-ADDA-B574F65E0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EB0A87-184B-1446-B426-86CD41A5E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B2EF84-A249-7142-9460-9AF26629F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464F61E-EE61-D54E-96B1-46289DCED9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734F99-697A-5E4B-871F-E88EA9E9F9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AB49A3-85EC-6442-880D-AB2B91151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A6EBC5-27FF-A74F-91E0-5A7821708F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5C7084-DD51-4B4F-BA1B-62B56A7B8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3FC14A-18FE-9843-AB84-C50A587344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F43E63-FD9F-DB42-B810-FAA7173AE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22318E-9085-6A4B-AAAD-282BDE0C6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018506-2124-6146-8866-1F8CBE6B5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B4562B-F615-4F49-B4DC-D171EB134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112FF8-DB21-7A40-9B1A-BFA59F59A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B9712D-12BF-2543-92D8-D0B465FA6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'1st-1'!$D$58:$D$86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'1st-1'!$E$58:$E$86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9</c:v>
                  </c:pt>
                  <c:pt idx="9">
                    <c:v>9</c:v>
                  </c:pt>
                  <c:pt idx="10">
                    <c:v>9</c:v>
                  </c:pt>
                  <c:pt idx="11">
                    <c:v>9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9</c:v>
                  </c:pt>
                  <c:pt idx="16">
                    <c:v>9</c:v>
                  </c:pt>
                  <c:pt idx="17">
                    <c:v>6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5C13-034A-9481-1F7401B48A35}"/>
            </c:ext>
          </c:extLst>
        </c:ser>
        <c:ser>
          <c:idx val="2"/>
          <c:order val="2"/>
          <c:tx>
            <c:strRef>
              <c:f>'1st-1'!$G$1</c:f>
              <c:strCache>
                <c:ptCount val="1"/>
                <c:pt idx="0">
                  <c:v>C1: User input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29FA5B-767A-F449-8EEE-6063C82457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5C13-034A-9481-1F7401B48A35}"/>
                </c:ext>
              </c:extLst>
            </c:dLbl>
            <c:dLbl>
              <c:idx val="1"/>
              <c:layout>
                <c:manualLayout>
                  <c:x val="-4.3791380595247439E-2"/>
                  <c:y val="6.8011494896900879E-2"/>
                </c:manualLayout>
              </c:layout>
              <c:tx>
                <c:rich>
                  <a:bodyPr/>
                  <a:lstStyle/>
                  <a:p>
                    <a:fld id="{CF7AA53F-2449-2649-B683-017267F68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5C13-034A-9481-1F7401B48A35}"/>
                </c:ext>
              </c:extLst>
            </c:dLbl>
            <c:dLbl>
              <c:idx val="2"/>
              <c:layout>
                <c:manualLayout>
                  <c:x val="-5.0338720754429696E-2"/>
                  <c:y val="9.0524189400269225E-2"/>
                </c:manualLayout>
              </c:layout>
              <c:tx>
                <c:rich>
                  <a:bodyPr/>
                  <a:lstStyle/>
                  <a:p>
                    <a:fld id="{CF935898-4C4C-3242-B687-1F2A46890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5C13-034A-9481-1F7401B48A35}"/>
                </c:ext>
              </c:extLst>
            </c:dLbl>
            <c:spPr>
              <a:noFill/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'1st-1'!$L$3:$L$5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'1st-1'!$G$3:$G$9</c15:f>
                <c15:dlblRangeCache>
                  <c:ptCount val="7"/>
                  <c:pt idx="0">
                    <c:v>Keyboard only</c:v>
                  </c:pt>
                  <c:pt idx="1">
                    <c:v>Mix</c:v>
                  </c:pt>
                  <c:pt idx="2">
                    <c:v>Mouse only</c:v>
                  </c:pt>
                  <c:pt idx="3">
                    <c:v>C2: Visual Output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5C13-034A-9481-1F7401B48A35}"/>
            </c:ext>
          </c:extLst>
        </c:ser>
        <c:ser>
          <c:idx val="3"/>
          <c:order val="3"/>
          <c:tx>
            <c:strRef>
              <c:f>'1st-1'!$G$6:$L$6</c:f>
              <c:strCache>
                <c:ptCount val="1"/>
                <c:pt idx="0">
                  <c:v>C2: Visual Output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A64598-5195-E54C-9208-43C23CD70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5C13-034A-9481-1F7401B48A35}"/>
                </c:ext>
              </c:extLst>
            </c:dLbl>
            <c:dLbl>
              <c:idx val="1"/>
              <c:layout>
                <c:manualLayout>
                  <c:x val="-5.3507021813419604E-2"/>
                  <c:y val="6.9589403452480478E-2"/>
                </c:manualLayout>
              </c:layout>
              <c:tx>
                <c:rich>
                  <a:bodyPr/>
                  <a:lstStyle/>
                  <a:p>
                    <a:fld id="{10BD8069-4CF1-BC4B-BFAF-6BD7FACBBD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5C13-034A-9481-1F7401B48A35}"/>
                </c:ext>
              </c:extLst>
            </c:dLbl>
            <c:dLbl>
              <c:idx val="2"/>
              <c:layout>
                <c:manualLayout>
                  <c:x val="-4.7288334508182282E-2"/>
                  <c:y val="0.10001137429572211"/>
                </c:manualLayout>
              </c:layout>
              <c:tx>
                <c:rich>
                  <a:bodyPr/>
                  <a:lstStyle/>
                  <a:p>
                    <a:fld id="{B4DA129F-9687-234F-B146-18D4EBFD94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'1st-1'!$L$7:$L$9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5C13-034A-9481-1F7401B48A35}"/>
            </c:ext>
          </c:extLst>
        </c:ser>
        <c:ser>
          <c:idx val="4"/>
          <c:order val="4"/>
          <c:tx>
            <c:strRef>
              <c:f>'1st-1'!$G$53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0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8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9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C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D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3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5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6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7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8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30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63CDB07-B9CE-EA41-8AB3-6B6B4786A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4E78DF-A350-824F-9F02-4F14C44899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CBF51E-F64E-964B-B0F7-FEDD5FE82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ACC2BF-0EA4-9D44-BA96-AA9038BB1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1FA40D-BBFD-054A-BB96-CC9CAEB899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959460-85AC-B44C-8142-7E7247303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6A2CEB-4D81-6D4C-B0FD-2B0B8600CD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05744A-0829-EC4C-97C0-FD0A0981CA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D06CA8-E121-BD41-8C7B-8D81ED60D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D2557B-53AD-D345-A46B-0A19116709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AB2032-F9A9-7748-BAD4-D1EA94005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CE8AA2-A54D-CB4D-81C3-EB28A71990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96DB13-82CC-7D40-AAE3-4863B75E2A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46638A-1768-7749-AFC8-7B3249828D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B6E644-04E5-584F-A5E3-AE11F0AB1E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F6A220-89FA-8F4D-A53D-A55DC81A2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298C3A-643B-AA43-BA72-CC4C5BD20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27D831-F478-3A49-BDCA-CF7689930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C6CA89-1965-9D40-AD1C-8CDA025CD8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34B51B-E91A-8840-994D-DC828C302A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8C37BA-5FCD-7A41-A09E-6708F558D4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C6E532-899B-8A45-85A6-A18DF56E64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4CD600-DA26-9B41-90E5-F701867458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13C148-34EF-AC46-8518-FB4150D87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0156DC-1B89-9D4C-BF25-F84AFEAEAC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53BF13-04F0-E84F-B6AA-1DB25502D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AFA9DC-06A1-2041-A572-685FAB1D4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A00AAE-E9E9-5F4C-A2CA-0BD08A177C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E39872-3FEC-7B4B-BA4D-50664A8508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'1st-1'!$F$58:$F$86</c:f>
              <c:numCache>
                <c:formatCode>General</c:formatCode>
                <c:ptCount val="2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'1st-1'!$G$58:$G$86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0</c:v>
                  </c:pt>
                  <c:pt idx="5">
                    <c:v>7</c:v>
                  </c:pt>
                  <c:pt idx="6">
                    <c:v>2</c:v>
                  </c:pt>
                  <c:pt idx="7">
                    <c:v>0</c:v>
                  </c:pt>
                  <c:pt idx="8">
                    <c:v>9</c:v>
                  </c:pt>
                  <c:pt idx="9">
                    <c:v>0</c:v>
                  </c:pt>
                  <c:pt idx="10">
                    <c:v>6</c:v>
                  </c:pt>
                  <c:pt idx="11">
                    <c:v>9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9</c:v>
                  </c:pt>
                  <c:pt idx="16">
                    <c:v>2</c:v>
                  </c:pt>
                  <c:pt idx="17">
                    <c:v>2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5C13-034A-9481-1F7401B48A35}"/>
            </c:ext>
          </c:extLst>
        </c:ser>
        <c:ser>
          <c:idx val="5"/>
          <c:order val="5"/>
          <c:tx>
            <c:strRef>
              <c:f>'1st-1'!$G$10:$L$10</c:f>
              <c:strCache>
                <c:ptCount val="1"/>
                <c:pt idx="0">
                  <c:v>C3: Story option		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136330472267393E-2"/>
                  <c:y val="4.1618793907984265E-2"/>
                </c:manualLayout>
              </c:layout>
              <c:tx>
                <c:rich>
                  <a:bodyPr/>
                  <a:lstStyle/>
                  <a:p>
                    <a:fld id="{BC7052E2-1A77-5C44-8BC1-CEC7198F6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5C13-034A-9481-1F7401B48A35}"/>
                </c:ext>
              </c:extLst>
            </c:dLbl>
            <c:dLbl>
              <c:idx val="1"/>
              <c:layout>
                <c:manualLayout>
                  <c:x val="-6.6961465423562322E-2"/>
                  <c:y val="7.2843111971077457E-2"/>
                </c:manualLayout>
              </c:layout>
              <c:tx>
                <c:rich>
                  <a:bodyPr/>
                  <a:lstStyle/>
                  <a:p>
                    <a:fld id="{171328AE-5020-0C48-9CBE-B28DEA03AF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5C13-034A-9481-1F7401B48A35}"/>
                </c:ext>
              </c:extLst>
            </c:dLbl>
            <c:dLbl>
              <c:idx val="2"/>
              <c:layout>
                <c:manualLayout>
                  <c:x val="-8.7260088106635991E-2"/>
                  <c:y val="0.11228435584024807"/>
                </c:manualLayout>
              </c:layout>
              <c:tx>
                <c:rich>
                  <a:bodyPr/>
                  <a:lstStyle/>
                  <a:p>
                    <a:fld id="{3BC8ED7C-A008-664E-B1CE-A143C6AA94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'1st-1'!$L$11:$L$13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D-5C13-034A-9481-1F7401B48A35}"/>
            </c:ext>
          </c:extLst>
        </c:ser>
        <c:ser>
          <c:idx val="6"/>
          <c:order val="6"/>
          <c:tx>
            <c:strRef>
              <c:f>'1st-1'!$G$14:$L$14</c:f>
              <c:strCache>
                <c:ptCount val="1"/>
                <c:pt idx="0">
                  <c:v>C4:Story Ending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DA19F0-BC6F-B24C-903A-5D0A96B8E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13-034A-9481-1F7401B48A35}"/>
                </c:ext>
              </c:extLst>
            </c:dLbl>
            <c:dLbl>
              <c:idx val="1"/>
              <c:layout>
                <c:manualLayout>
                  <c:x val="-5.5059417027915128E-2"/>
                  <c:y val="6.116291368824673E-2"/>
                </c:manualLayout>
              </c:layout>
              <c:tx>
                <c:rich>
                  <a:bodyPr/>
                  <a:lstStyle/>
                  <a:p>
                    <a:fld id="{43B8033F-92B2-5148-941D-A310115825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5C13-034A-9481-1F7401B48A35}"/>
                </c:ext>
              </c:extLst>
            </c:dLbl>
            <c:dLbl>
              <c:idx val="2"/>
              <c:layout>
                <c:manualLayout>
                  <c:x val="-2.9295167235800078E-2"/>
                  <c:y val="0.10571081519538632"/>
                </c:manualLayout>
              </c:layout>
              <c:tx>
                <c:rich>
                  <a:bodyPr/>
                  <a:lstStyle/>
                  <a:p>
                    <a:fld id="{0D13D4BC-F13F-0349-863C-4CDD6C607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'1st-1'!$L$15:$L$17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'1st-1'!$G$15:$G$17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1-5C13-034A-9481-1F7401B48A35}"/>
            </c:ext>
          </c:extLst>
        </c:ser>
        <c:ser>
          <c:idx val="7"/>
          <c:order val="7"/>
          <c:tx>
            <c:strRef>
              <c:f>'1st-1'!$G$18:$L$18</c:f>
              <c:strCache>
                <c:ptCount val="1"/>
                <c:pt idx="0">
                  <c:v>C5: Action Time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D2E530-0ED5-E946-B895-76861C4F74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13-034A-9481-1F7401B48A35}"/>
                </c:ext>
              </c:extLst>
            </c:dLbl>
            <c:dLbl>
              <c:idx val="1"/>
              <c:layout>
                <c:manualLayout>
                  <c:x val="-4.8645781401179727E-2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C8560E7B-A723-794D-95EB-FD2BCFA64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5C13-034A-9481-1F7401B48A35}"/>
                </c:ext>
              </c:extLst>
            </c:dLbl>
            <c:dLbl>
              <c:idx val="2"/>
              <c:layout>
                <c:manualLayout>
                  <c:x val="-3.5219204301307247E-2"/>
                  <c:y val="0.10078065971173988"/>
                </c:manualLayout>
              </c:layout>
              <c:tx>
                <c:rich>
                  <a:bodyPr/>
                  <a:lstStyle/>
                  <a:p>
                    <a:fld id="{99C0635B-9E10-E247-9AC3-3B8C465284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'1st-1'!$L$19:$L$21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'1st-1'!$G$19:$G$21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5-5C13-034A-9481-1F7401B48A35}"/>
            </c:ext>
          </c:extLst>
        </c:ser>
        <c:ser>
          <c:idx val="8"/>
          <c:order val="8"/>
          <c:tx>
            <c:strRef>
              <c:f>'1st-1'!$G$22:$L$22</c:f>
              <c:strCache>
                <c:ptCount val="1"/>
                <c:pt idx="0">
                  <c:v>C6: Stats &amp; Resource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F092C0-3E80-4640-8F94-4BAF978F9D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403160-6098-7D40-8CEF-598E6C1E94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4985200955"/>
                      <c:h val="0.10479019536504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5C13-034A-9481-1F7401B48A35}"/>
                </c:ext>
              </c:extLst>
            </c:dLbl>
            <c:dLbl>
              <c:idx val="2"/>
              <c:layout>
                <c:manualLayout>
                  <c:x val="-7.2127126941686132E-2"/>
                  <c:y val="0.11343673115939788"/>
                </c:manualLayout>
              </c:layout>
              <c:tx>
                <c:rich>
                  <a:bodyPr/>
                  <a:lstStyle/>
                  <a:p>
                    <a:fld id="{8C2A51DB-7040-BE4C-914F-068AF5AD4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788403937861406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'1st-1'!$L$23:$L$25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9-5C13-034A-9481-1F7401B48A35}"/>
            </c:ext>
          </c:extLst>
        </c:ser>
        <c:ser>
          <c:idx val="9"/>
          <c:order val="9"/>
          <c:tx>
            <c:strRef>
              <c:f>'1st-1'!$G$26:$L$26</c:f>
              <c:strCache>
                <c:ptCount val="1"/>
                <c:pt idx="0">
                  <c:v>C7: Player Count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220CC6-2DE5-D34E-BB73-9CC0E77AC3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13-034A-9481-1F7401B48A35}"/>
                </c:ext>
              </c:extLst>
            </c:dLbl>
            <c:dLbl>
              <c:idx val="1"/>
              <c:layout>
                <c:manualLayout>
                  <c:x val="-3.2486801123164974E-2"/>
                  <c:y val="7.4486497132292898E-2"/>
                </c:manualLayout>
              </c:layout>
              <c:tx>
                <c:rich>
                  <a:bodyPr/>
                  <a:lstStyle/>
                  <a:p>
                    <a:fld id="{44110A6C-86FF-7B42-B998-E4BFEE629E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5C13-034A-9481-1F7401B48A35}"/>
                </c:ext>
              </c:extLst>
            </c:dLbl>
            <c:dLbl>
              <c:idx val="2"/>
              <c:layout>
                <c:manualLayout>
                  <c:x val="-3.7785424587907859E-2"/>
                  <c:y val="0.10734885161768901"/>
                </c:manualLayout>
              </c:layout>
              <c:tx>
                <c:rich>
                  <a:bodyPr/>
                  <a:lstStyle/>
                  <a:p>
                    <a:fld id="{AF5B15E2-4946-E24E-AD61-F729EFB2DB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'1st-1'!$L$27:$L$29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'1st-1'!$G$27:$G$29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D-5C13-034A-9481-1F7401B48A35}"/>
            </c:ext>
          </c:extLst>
        </c:ser>
        <c:ser>
          <c:idx val="10"/>
          <c:order val="10"/>
          <c:tx>
            <c:strRef>
              <c:f>'1st-1'!$G$30:$L$30</c:f>
              <c:strCache>
                <c:ptCount val="1"/>
                <c:pt idx="0">
                  <c:v>C8: Platform Compatibility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061FBB-2D1F-1649-826B-2B0BA48654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13-034A-9481-1F7401B48A35}"/>
                </c:ext>
              </c:extLst>
            </c:dLbl>
            <c:dLbl>
              <c:idx val="1"/>
              <c:layout>
                <c:manualLayout>
                  <c:x val="-6.0012425415070306E-2"/>
                  <c:y val="6.9459040942415839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C44615-A8B6-CD46-8B8B-D47A5CEB1FA1}" type="CELLRANGE">
                      <a:rPr lang="en-US">
                        <a:solidFill>
                          <a:schemeClr val="accent2"/>
                        </a:solidFill>
                      </a:rPr>
                      <a:pPr>
                        <a:defRPr sz="1200"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5C13-034A-9481-1F7401B48A35}"/>
                </c:ext>
              </c:extLst>
            </c:dLbl>
            <c:dLbl>
              <c:idx val="2"/>
              <c:layout>
                <c:manualLayout>
                  <c:x val="-6.8981611542566504E-2"/>
                  <c:y val="0.11721451132389427"/>
                </c:manualLayout>
              </c:layout>
              <c:tx>
                <c:rich>
                  <a:bodyPr/>
                  <a:lstStyle/>
                  <a:p>
                    <a:fld id="{81FA497E-04AE-9E4B-B6BE-0E9536BCAB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'1st-1'!$L$31:$L$33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'1st-1'!$G$31:$G$33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5C13-034A-9481-1F7401B48A35}"/>
            </c:ext>
          </c:extLst>
        </c:ser>
        <c:ser>
          <c:idx val="11"/>
          <c:order val="11"/>
          <c:tx>
            <c:strRef>
              <c:f>'1st-1'!$G$34:$L$34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96E0EAC-AA63-2F41-BBA3-72D9C6BFF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13-034A-9481-1F7401B48A35}"/>
                </c:ext>
              </c:extLst>
            </c:dLbl>
            <c:dLbl>
              <c:idx val="1"/>
              <c:layout>
                <c:manualLayout>
                  <c:x val="0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84C56A81-B6D0-4941-A355-52F0D51A5C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5C13-034A-9481-1F7401B48A35}"/>
                </c:ext>
              </c:extLst>
            </c:dLbl>
            <c:dLbl>
              <c:idx val="2"/>
              <c:layout>
                <c:manualLayout>
                  <c:x val="-1.4559725155938779E-16"/>
                  <c:y val="0.10406743003417077"/>
                </c:manualLayout>
              </c:layout>
              <c:tx>
                <c:rich>
                  <a:bodyPr/>
                  <a:lstStyle/>
                  <a:p>
                    <a:fld id="{FC1EB555-36E6-4F4C-8C4F-CF68635A55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'1st-1'!$L$35:$L$37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5C13-034A-9481-1F7401B48A35}"/>
            </c:ext>
          </c:extLst>
        </c:ser>
        <c:ser>
          <c:idx val="12"/>
          <c:order val="12"/>
          <c:tx>
            <c:strRef>
              <c:f>'1st-1'!$I$53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699D1C-31F0-4145-857B-92319CBD7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9958D6-E4D7-3B4B-9B7F-AA77F50FB6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3D9909-B7C4-C540-BB7E-83CB57C39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4F107E-62A6-6248-9E3B-D20B91A32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50E82B-05D8-5745-B395-CB9B16D9C6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F9B8A2-87EC-0543-A7C8-A65A0ACBA2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E8497B-9079-9F4A-9528-EF1481331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A01080-A75C-E543-ADE1-AB428ABEAE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CB7327-A726-A147-9DFE-F0C52271D5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C40185-5609-1148-BC6D-3D865EFB92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98A2C3-EDB4-E14A-A9B6-15957BAE2E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815E39-C019-D448-AA03-446B6D31F5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292DE5-07E0-194D-BBBB-C56BFD8E52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F2BA42-3142-D342-A441-C92EDD655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66E487-D295-5448-A293-9C2FB94DD7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E1CB14-DFE7-CF40-B69F-FD00315A43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B86A1A-B981-6E49-9A19-C8E09D555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D32CFA-8A12-834F-B12D-AD6E29A229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50B3B7-7D8C-ED46-A031-181BE3D4C5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931074-E601-FF40-B133-BBAE7DB422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F30163-79BF-A04C-A58C-EFD1B3384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E3F190-4231-B248-80F7-4A676118E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ED5BDE-0E7F-A64D-AA1D-5F26240A5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A51003-A460-E44B-8AA2-13E54E801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AAA507-A986-D64D-B5CA-BBE39F274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4EB113-467A-A146-9E6C-1C63CC1E3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DADDF5-9A34-2248-B3F4-72FBEC024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3914FF-7AAF-EC48-B11E-3E84F0FB4F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325973-FC31-3946-8CD9-641BC5733E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'1st-1'!$H$58:$H$86</c:f>
              <c:numCache>
                <c:formatCode>General</c:formatCode>
                <c:ptCount val="2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'1st-1'!$I$58:$I$86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9</c:v>
                  </c:pt>
                  <c:pt idx="8">
                    <c:v>9</c:v>
                  </c:pt>
                  <c:pt idx="9">
                    <c:v>8</c:v>
                  </c:pt>
                  <c:pt idx="10">
                    <c:v>8</c:v>
                  </c:pt>
                  <c:pt idx="11">
                    <c:v>9</c:v>
                  </c:pt>
                  <c:pt idx="12">
                    <c:v>8</c:v>
                  </c:pt>
                  <c:pt idx="13">
                    <c:v>9</c:v>
                  </c:pt>
                  <c:pt idx="14">
                    <c:v>9</c:v>
                  </c:pt>
                  <c:pt idx="15">
                    <c:v>7</c:v>
                  </c:pt>
                  <c:pt idx="16">
                    <c:v>7</c:v>
                  </c:pt>
                  <c:pt idx="17">
                    <c:v>7</c:v>
                  </c:pt>
                  <c:pt idx="18">
                    <c:v>0</c:v>
                  </c:pt>
                  <c:pt idx="19">
                    <c:v>0</c:v>
                  </c:pt>
                  <c:pt idx="20">
                    <c:v>1</c:v>
                  </c:pt>
                  <c:pt idx="21">
                    <c:v>1</c:v>
                  </c:pt>
                  <c:pt idx="22">
                    <c:v>0</c:v>
                  </c:pt>
                  <c:pt idx="23">
                    <c:v>1</c:v>
                  </c:pt>
                  <c:pt idx="24">
                    <c:v>0</c:v>
                  </c:pt>
                  <c:pt idx="25">
                    <c:v>0</c:v>
                  </c:pt>
                  <c:pt idx="26">
                    <c:v>2</c:v>
                  </c:pt>
                  <c:pt idx="27">
                    <c:v>2</c:v>
                  </c:pt>
                  <c:pt idx="28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5C13-034A-9481-1F7401B48A35}"/>
            </c:ext>
          </c:extLst>
        </c:ser>
        <c:ser>
          <c:idx val="13"/>
          <c:order val="13"/>
          <c:tx>
            <c:strRef>
              <c:f>'1st-1'!$L$53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880190-951B-5F4A-9CD9-AAFEBC697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D2FEDE-DC01-0147-8C1D-C8674C1F8E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EB072A-6A91-5A45-BD20-1DDAE68EF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B02C77-72DF-F749-ABC9-C883B60788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D0CAB7-D0E1-C049-BF9E-C27C575F1D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5081C9-FE2C-1B49-A467-78B5C5CFE3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2E8D1F-A4CC-A840-B72B-7B3C21D562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7A815C-DAF0-ED45-8648-D24221A0BB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DAE03F-316A-CB40-A1DF-C8E0B1C82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34C048-A78D-A741-8BA1-EB2FCECF47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BCB8BF-8D5D-7246-A641-CB196AF15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4763F7-5875-FA49-BC0D-0C65D58B45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91265F-930F-184F-A7E3-7958EA619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6B5BC2-D696-9642-81E9-8ECBF97518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9C866F-F04C-AA46-9B21-8F4F8BCD4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0BB50C-2763-F741-A4CC-1C3E0A02B3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B06596-EEEB-3B4C-BEBF-CEC5D0841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CDAEAF-09F5-7947-8028-0649DA643C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C3A743-BC0D-D642-97E3-71E13E53E8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660B2E-1CB6-D74C-A05A-858B4966A6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CD9521-402B-6A43-8DC9-78941DF2A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AE7A07-3A28-2044-9477-AC196EDEFB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EE331D-127B-C948-9D86-F2A704FED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A7632C-E465-9348-8610-564B14080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896256-8B13-ED4C-B34B-0BF5BA9995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6AEA95-BB21-7B49-A181-DF4997EE5C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3A836B-29AF-E142-8DCB-C16AE07EB0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7B3AD7-5916-F941-83AF-E364AD9CF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FFE2AE-42A9-CA4F-9260-50A798880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'1st-1'!$K$58:$K$86</c:f>
              <c:numCache>
                <c:formatCode>General</c:formatCode>
                <c:ptCount val="2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'1st-1'!$L$58:$L$86</c15:f>
                <c15:dlblRangeCache>
                  <c:ptCount val="29"/>
                  <c:pt idx="0">
                    <c:v>1</c:v>
                  </c:pt>
                  <c:pt idx="1">
                    <c:v>3</c:v>
                  </c:pt>
                  <c:pt idx="2">
                    <c:v>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8</c:v>
                  </c:pt>
                  <c:pt idx="8">
                    <c:v>9</c:v>
                  </c:pt>
                  <c:pt idx="9">
                    <c:v>8</c:v>
                  </c:pt>
                  <c:pt idx="10">
                    <c:v>9</c:v>
                  </c:pt>
                  <c:pt idx="11">
                    <c:v>8</c:v>
                  </c:pt>
                  <c:pt idx="12">
                    <c:v>6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8</c:v>
                  </c:pt>
                  <c:pt idx="17">
                    <c:v>9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1</c:v>
                  </c:pt>
                  <c:pt idx="2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5C13-034A-9481-1F7401B48A35}"/>
            </c:ext>
          </c:extLst>
        </c:ser>
        <c:ser>
          <c:idx val="14"/>
          <c:order val="14"/>
          <c:tx>
            <c:strRef>
              <c:f>'1st-1'!$N$53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6B7B94-8C5F-FC4B-B0B5-3C6464985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C8849E-EF39-634D-9993-8630C92A0F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F30F74-EDB8-2149-9803-106C2F534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580A34-844E-3440-843F-6499C9BFE6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925E5D-9A76-E243-BC1D-1945ED422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60401F-4F82-3443-A0FB-EE8D7438C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D6058C-5443-1541-A9F1-51FCCF4637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1BAB60-F8AB-6A4E-9D2B-A5AA68727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780214-2850-B64F-8107-4FEEF89F0C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34FB24-98E9-9C45-8056-26D069BC8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311014-765C-D74B-B8EC-5D04C8E612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61BD63-36FC-4444-BC07-87A5D0A2A9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5C7ECE-D89A-B344-A528-72BC37B507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638113-C740-3349-9295-E3D83F9054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41EBD4-4F61-4943-838D-0D5317CC18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4F0CF3-7256-2042-B174-257CF9679C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BEBAF6-3656-084B-89E1-FAE028C31D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C7E75C-BC3A-B249-BD05-84826269E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7D6213-DCD3-1546-BA04-9CEC8CBD19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B1D17B-C427-054C-A1FB-9AD8A78788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31C254-FEB9-1F47-8F2A-D6BD4A55A1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E7A7EE-1723-F045-B543-AC0827E37D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9130DA-7D7C-8044-94FE-33B7A30AC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F04240-619E-7147-94BB-8022C5D50E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268A6F-EF38-7A4E-B1B0-80E8EC79EF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3611C4-1D7E-C94C-8F4A-63CBDA1D68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AC87BA-37CB-654B-84F2-AC3D1492AE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A1B841-9C65-B74A-8BE0-3C02A6C0A7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E1117D-EE7F-344C-AE26-065F7BCB5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'1st-1'!$M$58:$M$86</c:f>
              <c:numCache>
                <c:formatCode>General</c:formatCode>
                <c:ptCount val="2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'1st-1'!$N$58:$N$86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3</c:v>
                  </c:pt>
                  <c:pt idx="18">
                    <c:v>9</c:v>
                  </c:pt>
                  <c:pt idx="19">
                    <c:v>9</c:v>
                  </c:pt>
                  <c:pt idx="20">
                    <c:v>9</c:v>
                  </c:pt>
                  <c:pt idx="21">
                    <c:v>9</c:v>
                  </c:pt>
                  <c:pt idx="22">
                    <c:v>9</c:v>
                  </c:pt>
                  <c:pt idx="23">
                    <c:v>9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  <c:pt idx="27">
                    <c:v>9</c:v>
                  </c:pt>
                  <c:pt idx="28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5C13-034A-9481-1F7401B48A35}"/>
            </c:ext>
          </c:extLst>
        </c:ser>
        <c:ser>
          <c:idx val="15"/>
          <c:order val="15"/>
          <c:tx>
            <c:strRef>
              <c:f>'1st-1'!$P$53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B94A6C-B599-F54A-A46C-CD30B2806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CEC4EF-E8B0-1541-8DFD-3A01E1D5A5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0EC624-62FB-444E-9440-9E100F251E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EDA08D-738C-8B45-BF8E-69AECCC989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8C6678-0F98-2C46-8C27-7BB3D713B1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C85D79-7DB0-0846-A6E0-AE8F4C81B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6AEC8F-EA4A-C14F-83DB-8453FC605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0B902A-81A1-504D-82D9-7431EA458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87A3E6-2FC1-4344-9636-1A47AAB500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26AF98-9A21-444F-885E-3DD3726074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8AA7C9-82C7-C547-A5D9-807F2A9F97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FB5872-D6A2-5143-BB72-A5143F40C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DBDE7F-B8B5-5440-B67D-3A3BBBE177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52BEF1-6DC9-974D-911C-55743345DF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6007CD-8DCC-B243-9C4C-8513E0FAF5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451DE1-95DD-C44B-96C4-464060A98D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576D3A-2D44-A34A-BA5F-52C86ADCD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AD4207-9302-F54B-B719-CF6E134D4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72DD32-A318-1548-8CBD-2E2A653FDE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9CF72B-B0D0-2D4C-9235-A176E03491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4E2D51-5AC0-624D-8426-B4C0E581A9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B82AA9-0275-F547-A11F-17A44617C7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77575D-583C-344D-8AB7-6AACB84FB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30ECD5-A1A0-694F-A749-B110CA1BC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5F126D-A358-2343-988B-70885CEAB5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BADA30-5D33-B24D-BECA-25AA0E8C59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432B95-23CE-F346-A0C5-074CD2A6D4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E2BF2B-5E16-384D-8AB0-9736687869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45B6CA-81D4-424A-BEB1-202B54CF5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'1st-1'!$O$58:$O$86</c:f>
              <c:numCache>
                <c:formatCode>General</c:formatCode>
                <c:ptCount val="2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'1st-1'!$P$58:$P$86</c15:f>
                <c15:dlblRangeCache>
                  <c:ptCount val="29"/>
                  <c:pt idx="0">
                    <c:v>9</c:v>
                  </c:pt>
                  <c:pt idx="1">
                    <c:v>8</c:v>
                  </c:pt>
                  <c:pt idx="2">
                    <c:v>8</c:v>
                  </c:pt>
                  <c:pt idx="3">
                    <c:v>9</c:v>
                  </c:pt>
                  <c:pt idx="4">
                    <c:v>7</c:v>
                  </c:pt>
                  <c:pt idx="5">
                    <c:v>7</c:v>
                  </c:pt>
                  <c:pt idx="6">
                    <c:v>5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1</c:v>
                  </c:pt>
                  <c:pt idx="11">
                    <c:v>0</c:v>
                  </c:pt>
                  <c:pt idx="12">
                    <c:v>1</c:v>
                  </c:pt>
                  <c:pt idx="13">
                    <c:v>1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1</c:v>
                  </c:pt>
                  <c:pt idx="18">
                    <c:v>0</c:v>
                  </c:pt>
                  <c:pt idx="19">
                    <c:v>0</c:v>
                  </c:pt>
                  <c:pt idx="20">
                    <c:v>2</c:v>
                  </c:pt>
                  <c:pt idx="21">
                    <c:v>2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2</c:v>
                  </c:pt>
                  <c:pt idx="27">
                    <c:v>2</c:v>
                  </c:pt>
                  <c:pt idx="28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5C13-034A-9481-1F7401B48A35}"/>
            </c:ext>
          </c:extLst>
        </c:ser>
        <c:ser>
          <c:idx val="16"/>
          <c:order val="16"/>
          <c:tx>
            <c:strRef>
              <c:f>'1st-1'!$S$53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9F0936-8158-CF42-9A29-B79E4ED539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0F6911-D046-3740-8395-40776397C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C3869-E8C2-844E-B117-3BD272D576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D42110-B208-434B-9F61-FE6E56350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DCA8E8-DC57-E643-8325-8ABCEFA380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DD4818-F021-5E42-9FD6-78133C3ADD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3B1B7C-157D-A946-8F06-2EDE2DAE0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7607B2-BEAE-D94A-90FD-B4CF60CFCA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2277B8-F554-E84E-9E00-7B42DDAB25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9EC993-60D5-BA40-9EBA-819697CED6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2707AB-9156-E94B-8713-8EAB4CA5BC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020F60-F30E-C449-9FE5-795393E85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737551-03EF-B847-BFB5-5820B1F878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ED3B00-963D-E245-B006-664DB8EA2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FEEC96-7437-EE40-811A-31ECBF8270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168BD0-DB99-2C47-AFBF-03C38402F7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E17BD6-CF96-0A40-A0F1-132A28E057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32869F-8EDD-8C40-9EB3-ADA6A13FB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49BEB9-BD56-324B-BBFD-26362AC8B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FAB410-EC31-354D-B6B7-C749585EA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B6C109-1481-AD47-B49D-E8E5F39787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2D187D-7162-EA44-81BF-5726251BF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38320F-C89D-F544-BB44-EE3944CEBA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91655F-CD44-3C47-A76E-E14CD675EB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AD5CDB-BD4C-3D4E-85FA-E7CEB10CA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D1BF41-6901-0141-895D-232FCC6D9B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E3B077-AA3E-6F42-8671-55836C9B31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F9C8EB-49E0-EC44-B11E-90FF27661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6E2758-8E8B-FD47-B16E-CFCC18D7C7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'1st-1'!$R$58:$R$86</c:f>
              <c:numCache>
                <c:formatCode>General</c:formatCode>
                <c:ptCount val="29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'1st-1'!$S$58:$S$86</c15:f>
                <c15:dlblRangeCache>
                  <c:ptCount val="29"/>
                  <c:pt idx="0">
                    <c:v>9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9</c:v>
                  </c:pt>
                  <c:pt idx="5">
                    <c:v>9</c:v>
                  </c:pt>
                  <c:pt idx="6">
                    <c:v>9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5C13-034A-9481-1F7401B48A35}"/>
            </c:ext>
          </c:extLst>
        </c:ser>
        <c:ser>
          <c:idx val="17"/>
          <c:order val="17"/>
          <c:tx>
            <c:strRef>
              <c:f>'1st-1'!$U$53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C5C2FD-2B3A-6A4F-BE4D-29912D2E59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0B2C6-441A-DE4C-8659-289F16045E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8C57A3-DC74-784B-A800-DBD9E625C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344880-B4C0-2945-B034-0798547DBD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80CF84-BEC4-BA4E-B8EA-1873FB6F7D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9CD324-0F8E-174B-A8F9-6C30FF869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D20D53-8D18-7348-9930-C026EEBD0B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930B8B-7E0C-B14D-92B6-070B970FA5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147B58-169F-914C-B6F9-83AA5A304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61D448-14C1-1946-B835-F291101B4B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63B0BF-531E-8A49-8827-61712F8D9D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478B1C-0B9D-604E-8F8E-05EC9E54C9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533930-353D-074A-84F7-3E8CB41C27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047D72-DE12-C241-9B06-BE2E9C5C3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9AEA15-658E-5140-9464-3FB14E5ACB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742AA2-B775-9149-9233-AA7D5EEC63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9F434E-BB52-A747-8B5F-D9F8DD2A38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1FB4E2-A276-9F4E-93BE-9A58A48DF2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46A51-171B-1948-AB7D-C1200F3DF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08D9BD-59C7-6F4F-9E4B-5B3AF0B5DE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CF190A-BCD1-4F42-9572-1C7821F5ED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BE74F1-7EAB-3B44-9AD7-342E18570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FAEBB3-3CF4-0F44-8F90-B75D5AC24F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FE98B6-3E55-344F-BBB1-A632E8EC9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D50440-1173-D34B-94B7-60364BD5A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54054E-388F-4C49-9A54-110513D5C7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C988F1-912F-FB41-B560-507DAF2BF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44EDEA-784F-2A49-8725-975AEF4D9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1CD352-5BA6-1A43-B505-4CBD7D9943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'1st-1'!$T$58:$T$86</c:f>
              <c:numCache>
                <c:formatCode>General</c:formatCode>
                <c:ptCount val="29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'1st-1'!$U$58:$U$86</c15:f>
                <c15:dlblRangeCache>
                  <c:ptCount val="29"/>
                  <c:pt idx="0">
                    <c:v>0</c:v>
                  </c:pt>
                  <c:pt idx="1">
                    <c:v>9</c:v>
                  </c:pt>
                  <c:pt idx="2">
                    <c:v>0</c:v>
                  </c:pt>
                  <c:pt idx="3">
                    <c:v>0</c:v>
                  </c:pt>
                  <c:pt idx="4">
                    <c:v>7</c:v>
                  </c:pt>
                  <c:pt idx="5">
                    <c:v>7</c:v>
                  </c:pt>
                  <c:pt idx="6">
                    <c:v>8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2</c:v>
                  </c:pt>
                  <c:pt idx="22">
                    <c:v>9</c:v>
                  </c:pt>
                  <c:pt idx="23">
                    <c:v>0</c:v>
                  </c:pt>
                  <c:pt idx="24">
                    <c:v>9</c:v>
                  </c:pt>
                  <c:pt idx="25">
                    <c:v>9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5C13-034A-9481-1F7401B48A35}"/>
            </c:ext>
          </c:extLst>
        </c:ser>
        <c:ser>
          <c:idx val="18"/>
          <c:order val="18"/>
          <c:tx>
            <c:strRef>
              <c:f>'1st-1'!$W$53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CEA406-BBE6-FB49-AA1A-343666E68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D1AF84-B38B-4345-8771-889B87BA44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72DF63-0A25-A243-A643-CC1526D270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A0977B-647D-1D4C-9EA2-2B91E8390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2EFF5E-7551-664B-8736-025B6AC96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E016B1-B176-0E48-BCAE-5573CB7B1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A9B00C-ABD9-F146-A4DF-AA7997469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CF1FDE-9FC7-534A-8EAD-4C23E32D5F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A8B863-F143-2E46-A621-1FD1AFA86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E0F09E-DDD7-A24F-82E0-8F35AFEDAF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72DA81-75C2-DD4F-B95E-E11F506863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964258-0B94-464B-A256-0EB9D0DD4F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287F77-BB6B-7643-B0B4-C5C6E431D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68E647-BBE2-7E49-AB32-3EC4F151D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569A80A-6E2E-944C-BA05-FB7882BF75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D5B949-170B-B14D-8AE7-D18F5CAE8A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6C9D7E-A93B-E646-9BBA-76E8CFD58E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4914CB-7449-BD4B-BC2A-208B3666B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A537BD-9C08-4743-82ED-B2DA9E3CD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832A6E-51AE-7249-8FFF-A29391C0D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18AAD8-515E-0748-AE01-E9FC969C9C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A8D1EC-B4F0-1045-BE2D-1A0DD75A27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D6B62C-C589-3144-965E-629863079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1C6DA5-B0B8-524A-9484-01AE1178B9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7DAFE5-55D4-B245-ABB6-A04BE233CC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FD2567-91CA-C741-BCCE-B4836466CA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C38F6E-9C2F-8243-AFD6-615DE3959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C1DF6E-937D-974B-B6DC-A402DF6D5D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3B8244-782B-EF4C-8063-839F95C56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'1st-1'!$V$58:$V$86</c:f>
              <c:numCache>
                <c:formatCode>General</c:formatCode>
                <c:ptCount val="2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'1st-1'!$W$58:$W$86</c15:f>
                <c15:dlblRangeCache>
                  <c:ptCount val="29"/>
                  <c:pt idx="0">
                    <c:v>7</c:v>
                  </c:pt>
                  <c:pt idx="1">
                    <c:v>7</c:v>
                  </c:pt>
                  <c:pt idx="2">
                    <c:v>8</c:v>
                  </c:pt>
                  <c:pt idx="3">
                    <c:v>1</c:v>
                  </c:pt>
                  <c:pt idx="4">
                    <c:v>7</c:v>
                  </c:pt>
                  <c:pt idx="5">
                    <c:v>7</c:v>
                  </c:pt>
                  <c:pt idx="6">
                    <c:v>3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4</c:v>
                  </c:pt>
                  <c:pt idx="11">
                    <c:v>2</c:v>
                  </c:pt>
                  <c:pt idx="12">
                    <c:v>2</c:v>
                  </c:pt>
                  <c:pt idx="13">
                    <c:v>1</c:v>
                  </c:pt>
                  <c:pt idx="14">
                    <c:v>8</c:v>
                  </c:pt>
                  <c:pt idx="15">
                    <c:v>2</c:v>
                  </c:pt>
                  <c:pt idx="16">
                    <c:v>1</c:v>
                  </c:pt>
                  <c:pt idx="17">
                    <c:v>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1</c:v>
                  </c:pt>
                  <c:pt idx="28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5C13-034A-9481-1F7401B48A35}"/>
            </c:ext>
          </c:extLst>
        </c:ser>
        <c:ser>
          <c:idx val="19"/>
          <c:order val="19"/>
          <c:tx>
            <c:strRef>
              <c:f>'1st-1'!$P$1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ACD776-8590-C74B-A2A9-9C75ECB809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6B-574E-A6C1-1014490377E1}"/>
                </c:ext>
              </c:extLst>
            </c:dLbl>
            <c:dLbl>
              <c:idx val="1"/>
              <c:layout>
                <c:manualLayout>
                  <c:x val="-5.6460989152462601E-2"/>
                  <c:y val="-2.6830964200299911E-2"/>
                </c:manualLayout>
              </c:layout>
              <c:tx>
                <c:rich>
                  <a:bodyPr/>
                  <a:lstStyle/>
                  <a:p>
                    <a:fld id="{0DC65955-F6DE-2A44-8D79-5B195E0E8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AE6B-574E-A6C1-1014490377E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B7BE0BB-7F3D-DF49-9C1C-7D30EC8491D7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6B-574E-A6C1-1014490377E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A6EE549-BEF8-264B-AD23-80536144268C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6B-574E-A6C1-1014490377E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C529941-9252-F942-A3AB-47C82E70EF25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6B-574E-A6C1-1014490377E1}"/>
                </c:ext>
              </c:extLst>
            </c:dLbl>
            <c:dLbl>
              <c:idx val="5"/>
              <c:layout>
                <c:manualLayout>
                  <c:x val="-4.8675602084680726E-2"/>
                  <c:y val="-1.5583750053907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0D1A5D6-6D1C-6044-B35C-89CC52FB4442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62128060254821"/>
                      <c:h val="0.101891434172783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AE6B-574E-A6C1-1014490377E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952F9FB-ECF0-A148-9D9D-2923F6E7F3B7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6B-574E-A6C1-1014490377E1}"/>
                </c:ext>
              </c:extLst>
            </c:dLbl>
            <c:dLbl>
              <c:idx val="7"/>
              <c:layout>
                <c:manualLayout>
                  <c:x val="-5.7977310329118875E-2"/>
                  <c:y val="-1.10949141246744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BA4C18F-002E-884E-9C04-B4773709E506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503477881182201"/>
                      <c:h val="0.13153787666573291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AE6B-574E-A6C1-1014490377E1}"/>
                </c:ext>
              </c:extLst>
            </c:dLbl>
            <c:dLbl>
              <c:idx val="8"/>
              <c:layout>
                <c:manualLayout>
                  <c:x val="-4.3382645722282731E-6"/>
                  <c:y val="-1.122526274020115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4AA6721-ED7C-1145-B725-8843B651A228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666691523750161E-2"/>
                      <c:h val="9.317433003855030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AE6B-574E-A6C1-101449037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'1st-1'!$O$2:$O$10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Action Time</c:v>
                  </c:pt>
                  <c:pt idx="5">
                    <c:v>Stats &amp; Resource</c:v>
                  </c:pt>
                  <c:pt idx="6">
                    <c:v>Player Count </c:v>
                  </c:pt>
                  <c:pt idx="7">
                    <c:v>Platform Compatibility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AE6B-574E-A6C1-101449037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1638299</xdr:colOff>
      <xdr:row>37</xdr:row>
      <xdr:rowOff>118533</xdr:rowOff>
    </xdr:from>
    <xdr:to>
      <xdr:col>13</xdr:col>
      <xdr:colOff>905933</xdr:colOff>
      <xdr:row>51</xdr:row>
      <xdr:rowOff>829734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56EF0A-8FAE-8E46-8472-AC9D5C7C5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fdb.org/search?searchfor=system:Storynexus" TargetMode="External"/><Relationship Id="rId13" Type="http://schemas.openxmlformats.org/officeDocument/2006/relationships/hyperlink" Target="https://adarkroom.doublespeakgames.com/" TargetMode="External"/><Relationship Id="rId18" Type="http://schemas.openxmlformats.org/officeDocument/2006/relationships/hyperlink" Target="https://www.4399.com/flash/198637.htm" TargetMode="External"/><Relationship Id="rId3" Type="http://schemas.openxmlformats.org/officeDocument/2006/relationships/hyperlink" Target="https://ifdb.org/search?searchfor=system:Inform+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ifdb.org/search?searchfor=system:Inklewriter" TargetMode="External"/><Relationship Id="rId12" Type="http://schemas.openxmlformats.org/officeDocument/2006/relationships/hyperlink" Target="https://aidungeon.com/" TargetMode="External"/><Relationship Id="rId17" Type="http://schemas.openxmlformats.org/officeDocument/2006/relationships/hyperlink" Target="https://store.steampowered.com/app/998940/_The_Invisible_Guardian/?l=tchinese&amp;cc=cn" TargetMode="External"/><Relationship Id="rId2" Type="http://schemas.openxmlformats.org/officeDocument/2006/relationships/hyperlink" Target="https://ifdb.org/search?searchfor=system:Ren%27Py" TargetMode="External"/><Relationship Id="rId16" Type="http://schemas.openxmlformats.org/officeDocument/2006/relationships/hyperlink" Target="https://ssz66666.github.io/qfzct-66rpg/" TargetMode="External"/><Relationship Id="rId20" Type="http://schemas.openxmlformats.org/officeDocument/2006/relationships/hyperlink" Target="https://store.steampowered.com/app/736190/_/?l=schinese" TargetMode="External"/><Relationship Id="rId1" Type="http://schemas.openxmlformats.org/officeDocument/2006/relationships/hyperlink" Target="https://ifdb.org/search?searchfor=system:Twine" TargetMode="External"/><Relationship Id="rId6" Type="http://schemas.openxmlformats.org/officeDocument/2006/relationships/hyperlink" Target="https://ifdb.org/search?searchfor=system:TADS" TargetMode="External"/><Relationship Id="rId11" Type="http://schemas.openxmlformats.org/officeDocument/2006/relationships/hyperlink" Target="https://store.steampowered.com/app/1926590/Nancy_Drew_Mystery_of_the_Seven_Keys/" TargetMode="External"/><Relationship Id="rId5" Type="http://schemas.openxmlformats.org/officeDocument/2006/relationships/hyperlink" Target="https://ifdb.org/search?searchfor=system:Quest" TargetMode="External"/><Relationship Id="rId15" Type="http://schemas.openxmlformats.org/officeDocument/2006/relationships/hyperlink" Target="https://store.steampowered.com/app/838350/_The_Scroll_Of_Taiwu/" TargetMode="External"/><Relationship Id="rId10" Type="http://schemas.openxmlformats.org/officeDocument/2006/relationships/hyperlink" Target="https://ifdb.org/search?searchfor=system:ADRIFT" TargetMode="External"/><Relationship Id="rId19" Type="http://schemas.openxmlformats.org/officeDocument/2006/relationships/hyperlink" Target="https://www.66rpg.com/game/155748?new=1" TargetMode="External"/><Relationship Id="rId4" Type="http://schemas.openxmlformats.org/officeDocument/2006/relationships/hyperlink" Target="https://ifdb.org/search?searchfor=system:ChoiceScript" TargetMode="External"/><Relationship Id="rId9" Type="http://schemas.openxmlformats.org/officeDocument/2006/relationships/hyperlink" Target="https://ifdb.org/search?searchfor=system:Unity" TargetMode="External"/><Relationship Id="rId14" Type="http://schemas.openxmlformats.org/officeDocument/2006/relationships/hyperlink" Target="https://www.playablstudios.com/fa&#231;a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2987C-1011-CA42-9E34-CA67F06F2C03}">
  <sheetPr codeName="Sheet5"/>
  <dimension ref="A1:AH189"/>
  <sheetViews>
    <sheetView tabSelected="1" topLeftCell="A89" zoomScaleNormal="100" workbookViewId="0">
      <pane xSplit="1" topLeftCell="B1" activePane="topRight" state="frozen"/>
      <selection activeCell="A81" sqref="A81"/>
      <selection pane="topRight" activeCell="C103" sqref="C103"/>
    </sheetView>
  </sheetViews>
  <sheetFormatPr baseColWidth="10" defaultRowHeight="19" x14ac:dyDescent="0.2"/>
  <cols>
    <col min="1" max="3" width="30.83203125" style="1" customWidth="1"/>
    <col min="4" max="4" width="10.83203125" style="1" customWidth="1"/>
    <col min="5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5:34" ht="20" customHeight="1" x14ac:dyDescent="0.2">
      <c r="G1" s="53" t="s">
        <v>92</v>
      </c>
      <c r="H1" s="53"/>
      <c r="I1" s="53"/>
      <c r="J1" s="53"/>
      <c r="K1" s="53"/>
      <c r="L1" s="53"/>
      <c r="M1" s="39"/>
      <c r="N1" s="19" t="s">
        <v>82</v>
      </c>
      <c r="O1" s="19" t="s">
        <v>83</v>
      </c>
      <c r="P1" s="19" t="s">
        <v>84</v>
      </c>
      <c r="Q1" s="48"/>
      <c r="R1" s="49"/>
      <c r="T1" s="52"/>
      <c r="U1" s="52"/>
      <c r="V1" s="52"/>
      <c r="X1" s="52"/>
      <c r="Y1" s="52"/>
      <c r="Z1" s="52"/>
      <c r="AB1" s="52"/>
      <c r="AC1" s="52"/>
      <c r="AD1" s="52"/>
      <c r="AF1" s="52"/>
      <c r="AG1" s="52"/>
      <c r="AH1" s="52"/>
    </row>
    <row r="2" spans="5:34" ht="20" x14ac:dyDescent="0.2">
      <c r="G2" s="20" t="s">
        <v>30</v>
      </c>
      <c r="H2" s="20"/>
      <c r="I2" s="20" t="s">
        <v>0</v>
      </c>
      <c r="J2" s="20"/>
      <c r="K2" s="20"/>
      <c r="L2" s="20" t="s">
        <v>1</v>
      </c>
      <c r="M2" s="40"/>
      <c r="N2" s="5">
        <v>1</v>
      </c>
      <c r="O2" s="5">
        <v>11</v>
      </c>
      <c r="P2" s="5" t="s">
        <v>86</v>
      </c>
      <c r="Q2" s="50"/>
      <c r="R2" s="16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5:34" ht="20" x14ac:dyDescent="0.2">
      <c r="G3" s="45" t="s">
        <v>100</v>
      </c>
      <c r="H3" s="5"/>
      <c r="I3" s="5">
        <v>0</v>
      </c>
      <c r="J3" s="5"/>
      <c r="K3" s="5"/>
      <c r="L3" s="5">
        <v>0</v>
      </c>
      <c r="M3" s="41"/>
      <c r="N3" s="5">
        <v>5</v>
      </c>
      <c r="O3" s="5">
        <v>11</v>
      </c>
      <c r="P3" s="5" t="s">
        <v>87</v>
      </c>
      <c r="Q3" s="50"/>
      <c r="R3" s="16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5:34" ht="20" x14ac:dyDescent="0.2">
      <c r="G4" s="45" t="s">
        <v>64</v>
      </c>
      <c r="H4" s="5"/>
      <c r="I4" s="5">
        <v>1</v>
      </c>
      <c r="J4" s="5"/>
      <c r="K4" s="5"/>
      <c r="L4" s="5">
        <v>0</v>
      </c>
      <c r="M4" s="41"/>
      <c r="N4" s="3">
        <v>9</v>
      </c>
      <c r="O4" s="3">
        <v>11</v>
      </c>
      <c r="P4" s="3" t="s">
        <v>88</v>
      </c>
      <c r="Q4" s="50"/>
      <c r="R4" s="16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5:34" ht="20" x14ac:dyDescent="0.2">
      <c r="G5" s="45" t="s">
        <v>81</v>
      </c>
      <c r="H5" s="5"/>
      <c r="I5" s="5">
        <v>2</v>
      </c>
      <c r="J5" s="5"/>
      <c r="K5" s="5"/>
      <c r="L5" s="5">
        <v>0</v>
      </c>
      <c r="M5" s="41"/>
      <c r="N5" s="3">
        <v>13</v>
      </c>
      <c r="O5" s="3">
        <v>11</v>
      </c>
      <c r="P5" s="3" t="s">
        <v>85</v>
      </c>
      <c r="Q5" s="50"/>
      <c r="R5" s="16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5:34" ht="19" customHeight="1" x14ac:dyDescent="0.2">
      <c r="G6" s="63" t="s">
        <v>93</v>
      </c>
      <c r="H6" s="64"/>
      <c r="I6" s="64"/>
      <c r="J6" s="64"/>
      <c r="K6" s="64"/>
      <c r="L6" s="65"/>
      <c r="M6" s="42"/>
      <c r="N6" s="4">
        <v>17</v>
      </c>
      <c r="O6" s="4">
        <v>11</v>
      </c>
      <c r="P6" s="4" t="s">
        <v>89</v>
      </c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5:34" ht="20" x14ac:dyDescent="0.2">
      <c r="G7" s="46" t="s">
        <v>57</v>
      </c>
      <c r="H7" s="3"/>
      <c r="I7" s="3">
        <v>4</v>
      </c>
      <c r="J7" s="3"/>
      <c r="K7" s="3"/>
      <c r="L7" s="3">
        <v>0</v>
      </c>
      <c r="M7" s="18"/>
      <c r="N7" s="4">
        <v>21</v>
      </c>
      <c r="O7" s="4">
        <v>11</v>
      </c>
      <c r="P7" s="4" t="s">
        <v>91</v>
      </c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5:34" ht="20" x14ac:dyDescent="0.2">
      <c r="G8" s="46" t="s">
        <v>58</v>
      </c>
      <c r="H8" s="3"/>
      <c r="I8" s="3">
        <v>5</v>
      </c>
      <c r="J8" s="3"/>
      <c r="K8" s="3"/>
      <c r="L8" s="3">
        <v>0</v>
      </c>
      <c r="M8" s="18"/>
      <c r="N8" s="4">
        <v>25</v>
      </c>
      <c r="O8" s="4">
        <v>11</v>
      </c>
      <c r="P8" s="4" t="s">
        <v>42</v>
      </c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5:34" ht="20" x14ac:dyDescent="0.2">
      <c r="G9" s="46" t="s">
        <v>59</v>
      </c>
      <c r="H9" s="3"/>
      <c r="I9" s="3">
        <v>6</v>
      </c>
      <c r="J9" s="3"/>
      <c r="K9" s="3"/>
      <c r="L9" s="3">
        <v>0</v>
      </c>
      <c r="M9" s="18"/>
      <c r="N9" s="5">
        <v>29</v>
      </c>
      <c r="O9" s="5">
        <v>11</v>
      </c>
      <c r="P9" s="5" t="s">
        <v>41</v>
      </c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5:34" ht="19" customHeight="1" x14ac:dyDescent="0.2">
      <c r="G10" s="57" t="s">
        <v>94</v>
      </c>
      <c r="H10" s="58"/>
      <c r="I10" s="58"/>
      <c r="J10" s="58"/>
      <c r="K10" s="58"/>
      <c r="L10" s="59"/>
      <c r="M10" s="39"/>
      <c r="N10" s="5">
        <v>33</v>
      </c>
      <c r="O10" s="5">
        <v>11</v>
      </c>
      <c r="P10" s="5" t="s">
        <v>43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5:34" ht="20" x14ac:dyDescent="0.2">
      <c r="G11" s="47" t="s">
        <v>60</v>
      </c>
      <c r="H11" s="4"/>
      <c r="I11" s="4">
        <v>8</v>
      </c>
      <c r="J11" s="4"/>
      <c r="K11" s="4"/>
      <c r="L11" s="4">
        <v>0</v>
      </c>
      <c r="M11" s="37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5:34" ht="20" x14ac:dyDescent="0.2">
      <c r="G12" s="47" t="s">
        <v>62</v>
      </c>
      <c r="H12" s="4"/>
      <c r="I12" s="4">
        <v>9</v>
      </c>
      <c r="J12" s="4"/>
      <c r="K12" s="4"/>
      <c r="L12" s="4">
        <v>0</v>
      </c>
      <c r="M12" s="37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5:34" ht="20" x14ac:dyDescent="0.2">
      <c r="G13" s="47" t="s">
        <v>61</v>
      </c>
      <c r="H13" s="4"/>
      <c r="I13" s="4">
        <v>10</v>
      </c>
      <c r="J13" s="4"/>
      <c r="K13" s="4"/>
      <c r="L13" s="4">
        <v>0</v>
      </c>
      <c r="M13" s="37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5:34" ht="19" customHeight="1" x14ac:dyDescent="0.2">
      <c r="G14" s="66" t="s">
        <v>95</v>
      </c>
      <c r="H14" s="67"/>
      <c r="I14" s="67"/>
      <c r="J14" s="67"/>
      <c r="K14" s="67"/>
      <c r="L14" s="68"/>
      <c r="M14" s="43"/>
    </row>
    <row r="15" spans="5:34" ht="20" x14ac:dyDescent="0.2">
      <c r="E15" s="5"/>
      <c r="G15" s="5" t="s">
        <v>66</v>
      </c>
      <c r="H15" s="5"/>
      <c r="I15" s="5">
        <v>12</v>
      </c>
      <c r="J15" s="6"/>
      <c r="K15" s="6"/>
      <c r="L15" s="5">
        <v>0</v>
      </c>
      <c r="M15" s="41"/>
    </row>
    <row r="16" spans="5:34" ht="20" x14ac:dyDescent="0.2">
      <c r="E16" s="5"/>
      <c r="G16" s="5" t="s">
        <v>67</v>
      </c>
      <c r="H16" s="5"/>
      <c r="I16" s="5">
        <v>13</v>
      </c>
      <c r="J16" s="6"/>
      <c r="K16" s="6"/>
      <c r="L16" s="5">
        <v>0</v>
      </c>
      <c r="M16" s="41"/>
    </row>
    <row r="17" spans="5:13" ht="20" x14ac:dyDescent="0.2">
      <c r="E17" s="5"/>
      <c r="G17" s="5" t="s">
        <v>68</v>
      </c>
      <c r="H17" s="5"/>
      <c r="I17" s="5">
        <v>14</v>
      </c>
      <c r="J17" s="6"/>
      <c r="K17" s="6"/>
      <c r="L17" s="5">
        <v>0</v>
      </c>
      <c r="M17" s="41"/>
    </row>
    <row r="18" spans="5:13" ht="19" customHeight="1" x14ac:dyDescent="0.2">
      <c r="G18" s="54" t="s">
        <v>96</v>
      </c>
      <c r="H18" s="55"/>
      <c r="I18" s="55"/>
      <c r="J18" s="55"/>
      <c r="K18" s="55"/>
      <c r="L18" s="56"/>
      <c r="M18" s="44"/>
    </row>
    <row r="19" spans="5:13" ht="20" x14ac:dyDescent="0.2">
      <c r="G19" s="3" t="s">
        <v>63</v>
      </c>
      <c r="H19" s="3"/>
      <c r="I19" s="3">
        <v>16</v>
      </c>
      <c r="J19" s="2"/>
      <c r="K19" s="2"/>
      <c r="L19" s="3">
        <v>0</v>
      </c>
      <c r="M19" s="18"/>
    </row>
    <row r="20" spans="5:13" ht="20" x14ac:dyDescent="0.2">
      <c r="G20" s="3" t="s">
        <v>64</v>
      </c>
      <c r="H20" s="3"/>
      <c r="I20" s="3">
        <v>17</v>
      </c>
      <c r="J20" s="2"/>
      <c r="K20" s="2"/>
      <c r="L20" s="3">
        <v>0</v>
      </c>
      <c r="M20" s="18"/>
    </row>
    <row r="21" spans="5:13" ht="20" x14ac:dyDescent="0.2">
      <c r="G21" s="3" t="s">
        <v>65</v>
      </c>
      <c r="H21" s="3"/>
      <c r="I21" s="3">
        <v>18</v>
      </c>
      <c r="J21" s="2"/>
      <c r="K21" s="2"/>
      <c r="L21" s="3">
        <v>0</v>
      </c>
      <c r="M21" s="18"/>
    </row>
    <row r="22" spans="5:13" ht="19" customHeight="1" x14ac:dyDescent="0.2">
      <c r="G22" s="57" t="s">
        <v>97</v>
      </c>
      <c r="H22" s="58"/>
      <c r="I22" s="58"/>
      <c r="J22" s="58"/>
      <c r="K22" s="58"/>
      <c r="L22" s="59"/>
      <c r="M22" s="39"/>
    </row>
    <row r="23" spans="5:13" ht="20" x14ac:dyDescent="0.2">
      <c r="G23" s="4" t="s">
        <v>69</v>
      </c>
      <c r="H23" s="4"/>
      <c r="I23" s="4">
        <v>20</v>
      </c>
      <c r="J23" s="19"/>
      <c r="K23" s="19"/>
      <c r="L23" s="4">
        <v>0</v>
      </c>
      <c r="M23" s="37"/>
    </row>
    <row r="24" spans="5:13" ht="20" x14ac:dyDescent="0.2">
      <c r="G24" s="4" t="s">
        <v>70</v>
      </c>
      <c r="H24" s="4"/>
      <c r="I24" s="4">
        <v>21</v>
      </c>
      <c r="J24" s="19"/>
      <c r="K24" s="19"/>
      <c r="L24" s="4">
        <v>0</v>
      </c>
      <c r="M24" s="37"/>
    </row>
    <row r="25" spans="5:13" ht="20" x14ac:dyDescent="0.2">
      <c r="G25" s="4" t="s">
        <v>71</v>
      </c>
      <c r="H25" s="4"/>
      <c r="I25" s="4">
        <v>22</v>
      </c>
      <c r="J25" s="19"/>
      <c r="K25" s="19"/>
      <c r="L25" s="4">
        <v>0</v>
      </c>
      <c r="M25" s="37"/>
    </row>
    <row r="26" spans="5:13" ht="19" customHeight="1" x14ac:dyDescent="0.2">
      <c r="G26" s="66" t="s">
        <v>98</v>
      </c>
      <c r="H26" s="67"/>
      <c r="I26" s="67"/>
      <c r="J26" s="67"/>
      <c r="K26" s="67"/>
      <c r="L26" s="68"/>
      <c r="M26" s="43"/>
    </row>
    <row r="27" spans="5:13" ht="20" x14ac:dyDescent="0.2">
      <c r="G27" s="5" t="s">
        <v>72</v>
      </c>
      <c r="H27" s="5"/>
      <c r="I27" s="5">
        <v>24</v>
      </c>
      <c r="J27" s="6"/>
      <c r="K27" s="6"/>
      <c r="L27" s="5">
        <v>0</v>
      </c>
      <c r="M27" s="41"/>
    </row>
    <row r="28" spans="5:13" ht="20" x14ac:dyDescent="0.2">
      <c r="G28" s="5" t="s">
        <v>76</v>
      </c>
      <c r="H28" s="5"/>
      <c r="I28" s="5">
        <v>25</v>
      </c>
      <c r="J28" s="6"/>
      <c r="K28" s="6"/>
      <c r="L28" s="5">
        <v>0</v>
      </c>
      <c r="M28" s="41"/>
    </row>
    <row r="29" spans="5:13" ht="20" x14ac:dyDescent="0.2">
      <c r="G29" s="5" t="s">
        <v>77</v>
      </c>
      <c r="H29" s="5"/>
      <c r="I29" s="5">
        <v>26</v>
      </c>
      <c r="J29" s="6"/>
      <c r="K29" s="6"/>
      <c r="L29" s="5">
        <v>0</v>
      </c>
      <c r="M29" s="41"/>
    </row>
    <row r="30" spans="5:13" ht="19" customHeight="1" x14ac:dyDescent="0.2">
      <c r="G30" s="54" t="s">
        <v>99</v>
      </c>
      <c r="H30" s="55"/>
      <c r="I30" s="55"/>
      <c r="J30" s="55"/>
      <c r="K30" s="55"/>
      <c r="L30" s="56"/>
      <c r="M30" s="44"/>
    </row>
    <row r="31" spans="5:13" ht="20" x14ac:dyDescent="0.2">
      <c r="G31" s="3" t="s">
        <v>73</v>
      </c>
      <c r="H31" s="3"/>
      <c r="I31" s="3">
        <v>28</v>
      </c>
      <c r="J31" s="2"/>
      <c r="K31" s="2"/>
      <c r="L31" s="3">
        <v>0</v>
      </c>
      <c r="M31" s="18"/>
    </row>
    <row r="32" spans="5:13" ht="20" x14ac:dyDescent="0.2">
      <c r="G32" s="3" t="s">
        <v>74</v>
      </c>
      <c r="H32" s="3"/>
      <c r="I32" s="3">
        <v>29</v>
      </c>
      <c r="J32" s="2"/>
      <c r="K32" s="2"/>
      <c r="L32" s="3">
        <v>0</v>
      </c>
      <c r="M32" s="18"/>
    </row>
    <row r="33" spans="1:13" ht="20" x14ac:dyDescent="0.2">
      <c r="G33" s="3" t="s">
        <v>75</v>
      </c>
      <c r="H33" s="3"/>
      <c r="I33" s="3">
        <v>30</v>
      </c>
      <c r="J33" s="2"/>
      <c r="K33" s="2"/>
      <c r="L33" s="3">
        <v>0</v>
      </c>
      <c r="M33" s="18"/>
    </row>
    <row r="34" spans="1:13" ht="19" customHeight="1" x14ac:dyDescent="0.2">
      <c r="G34" s="57" t="s">
        <v>37</v>
      </c>
      <c r="H34" s="58"/>
      <c r="I34" s="58"/>
      <c r="J34" s="58"/>
      <c r="K34" s="58"/>
      <c r="L34" s="59"/>
      <c r="M34" s="39"/>
    </row>
    <row r="35" spans="1:13" ht="20" x14ac:dyDescent="0.2">
      <c r="G35" s="4" t="s">
        <v>78</v>
      </c>
      <c r="H35" s="4"/>
      <c r="I35" s="4">
        <v>32</v>
      </c>
      <c r="J35" s="19"/>
      <c r="K35" s="19"/>
      <c r="L35" s="4">
        <v>0</v>
      </c>
      <c r="M35" s="37"/>
    </row>
    <row r="36" spans="1:13" ht="20" x14ac:dyDescent="0.2">
      <c r="G36" s="4" t="s">
        <v>79</v>
      </c>
      <c r="H36" s="4"/>
      <c r="I36" s="4">
        <v>33</v>
      </c>
      <c r="J36" s="19"/>
      <c r="K36" s="19"/>
      <c r="L36" s="4">
        <v>0</v>
      </c>
      <c r="M36" s="37"/>
    </row>
    <row r="37" spans="1:13" ht="20" x14ac:dyDescent="0.2">
      <c r="G37" s="4" t="s">
        <v>80</v>
      </c>
      <c r="H37" s="4"/>
      <c r="I37" s="4">
        <v>34</v>
      </c>
      <c r="J37" s="19"/>
      <c r="K37" s="19"/>
      <c r="L37" s="4">
        <v>0</v>
      </c>
      <c r="M37" s="37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0" t="s">
        <v>28</v>
      </c>
      <c r="B39" s="61"/>
      <c r="C39" s="62"/>
      <c r="D39" s="38"/>
      <c r="E39" s="11"/>
      <c r="F39" s="11"/>
    </row>
    <row r="40" spans="1:13" ht="20" x14ac:dyDescent="0.2">
      <c r="A40" s="4" t="s">
        <v>2</v>
      </c>
      <c r="B40" s="4" t="s">
        <v>0</v>
      </c>
      <c r="C40" s="4" t="s">
        <v>1</v>
      </c>
      <c r="D40" s="37"/>
    </row>
    <row r="41" spans="1:13" ht="20" x14ac:dyDescent="0.2">
      <c r="A41" s="3" t="s">
        <v>47</v>
      </c>
      <c r="B41" s="4">
        <v>0</v>
      </c>
      <c r="C41" s="4">
        <v>0</v>
      </c>
      <c r="D41" s="37"/>
    </row>
    <row r="42" spans="1:13" ht="20" x14ac:dyDescent="0.2">
      <c r="A42" s="3" t="s">
        <v>21</v>
      </c>
      <c r="B42" s="4">
        <v>0</v>
      </c>
      <c r="C42" s="4">
        <v>1</v>
      </c>
      <c r="D42" s="37"/>
    </row>
    <row r="43" spans="1:13" ht="20" x14ac:dyDescent="0.2">
      <c r="A43" s="3" t="s">
        <v>45</v>
      </c>
      <c r="B43" s="4">
        <v>0</v>
      </c>
      <c r="C43" s="4">
        <v>2</v>
      </c>
      <c r="D43" s="37"/>
    </row>
    <row r="44" spans="1:13" ht="20" x14ac:dyDescent="0.2">
      <c r="A44" s="3" t="s">
        <v>19</v>
      </c>
      <c r="B44" s="4">
        <v>0</v>
      </c>
      <c r="C44" s="4">
        <v>3</v>
      </c>
      <c r="D44" s="37"/>
    </row>
    <row r="45" spans="1:13" ht="20" x14ac:dyDescent="0.2">
      <c r="A45" s="3" t="s">
        <v>24</v>
      </c>
      <c r="B45" s="4">
        <v>0</v>
      </c>
      <c r="C45" s="4">
        <v>4</v>
      </c>
      <c r="D45" s="37"/>
    </row>
    <row r="46" spans="1:13" ht="20" x14ac:dyDescent="0.2">
      <c r="A46" s="3" t="s">
        <v>20</v>
      </c>
      <c r="B46" s="4">
        <v>0</v>
      </c>
      <c r="C46" s="4">
        <v>5</v>
      </c>
      <c r="D46" s="37"/>
    </row>
    <row r="47" spans="1:13" ht="20" x14ac:dyDescent="0.2">
      <c r="A47" s="3" t="s">
        <v>18</v>
      </c>
      <c r="B47" s="4">
        <v>0</v>
      </c>
      <c r="C47" s="4">
        <v>6</v>
      </c>
      <c r="D47" s="37"/>
    </row>
    <row r="48" spans="1:13" ht="111" customHeight="1" x14ac:dyDescent="0.2">
      <c r="A48" s="3" t="s">
        <v>44</v>
      </c>
      <c r="B48" s="4">
        <v>0</v>
      </c>
      <c r="C48" s="4">
        <v>7</v>
      </c>
      <c r="D48" s="37"/>
    </row>
    <row r="49" spans="1:23" ht="112" customHeight="1" x14ac:dyDescent="0.2">
      <c r="A49" s="3" t="s">
        <v>23</v>
      </c>
      <c r="B49" s="4">
        <v>0</v>
      </c>
      <c r="C49" s="4">
        <v>8</v>
      </c>
      <c r="D49" s="37"/>
    </row>
    <row r="50" spans="1:23" ht="71" customHeight="1" x14ac:dyDescent="0.2">
      <c r="A50" s="3" t="s">
        <v>46</v>
      </c>
      <c r="B50" s="4">
        <v>0</v>
      </c>
      <c r="C50" s="4">
        <v>9</v>
      </c>
      <c r="D50" s="37"/>
      <c r="G50" s="1"/>
      <c r="H50" s="1"/>
      <c r="I50" s="1"/>
      <c r="J50" s="1"/>
      <c r="K50" s="1"/>
      <c r="L50" s="1"/>
    </row>
    <row r="51" spans="1:23" ht="64" customHeight="1" x14ac:dyDescent="0.2">
      <c r="A51" s="3" t="s">
        <v>25</v>
      </c>
      <c r="B51" s="4">
        <v>0</v>
      </c>
      <c r="C51" s="4">
        <v>10</v>
      </c>
      <c r="G51" s="1"/>
      <c r="H51" s="1"/>
      <c r="I51" s="1"/>
      <c r="J51" s="1"/>
      <c r="K51" s="1"/>
      <c r="L51" s="1"/>
    </row>
    <row r="52" spans="1:23" ht="80" customHeight="1" x14ac:dyDescent="0.2">
      <c r="S52" s="15"/>
    </row>
    <row r="53" spans="1:23" ht="20" x14ac:dyDescent="0.2">
      <c r="B53" s="2" t="s">
        <v>3</v>
      </c>
      <c r="D53" s="2" t="s">
        <v>31</v>
      </c>
      <c r="E53" s="21" t="s">
        <v>48</v>
      </c>
      <c r="F53" s="21" t="s">
        <v>32</v>
      </c>
      <c r="G53" s="2" t="s">
        <v>49</v>
      </c>
      <c r="H53" s="2" t="s">
        <v>33</v>
      </c>
      <c r="I53" s="2" t="s">
        <v>50</v>
      </c>
      <c r="J53" s="12"/>
      <c r="K53" s="2" t="s">
        <v>34</v>
      </c>
      <c r="L53" s="2" t="s">
        <v>51</v>
      </c>
      <c r="M53" s="29" t="s">
        <v>35</v>
      </c>
      <c r="N53" s="29" t="s">
        <v>52</v>
      </c>
      <c r="O53" s="29" t="s">
        <v>36</v>
      </c>
      <c r="P53" s="2" t="s">
        <v>53</v>
      </c>
      <c r="R53" s="2" t="s">
        <v>38</v>
      </c>
      <c r="S53" s="2" t="s">
        <v>54</v>
      </c>
      <c r="T53" s="29" t="s">
        <v>39</v>
      </c>
      <c r="U53" s="29" t="s">
        <v>55</v>
      </c>
      <c r="V53" s="29" t="s">
        <v>40</v>
      </c>
      <c r="W53" s="2" t="s">
        <v>56</v>
      </c>
    </row>
    <row r="54" spans="1:23" ht="20" x14ac:dyDescent="0.2">
      <c r="A54" s="3" t="s">
        <v>47</v>
      </c>
      <c r="B54" s="4">
        <v>5</v>
      </c>
      <c r="C54" s="1">
        <v>1988</v>
      </c>
      <c r="D54" s="4">
        <v>0</v>
      </c>
      <c r="E54" s="22">
        <f>COUNTIFS(E90:E189, "=0",$B$90:$B$189, "=Text Adventure Development System")</f>
        <v>9</v>
      </c>
      <c r="F54" s="22">
        <v>4</v>
      </c>
      <c r="G54" s="22">
        <f>COUNTIFS(G90:G189, "=0",$B$90:$B$189, "=Text Adventure Development System")</f>
        <v>9</v>
      </c>
      <c r="H54" s="4">
        <v>8</v>
      </c>
      <c r="I54" s="22">
        <f>COUNTIFS(I90:I189, "=0",$B$90:$B$189, "=Text Adventure Development System")</f>
        <v>0</v>
      </c>
      <c r="K54" s="4">
        <v>12</v>
      </c>
      <c r="L54" s="22">
        <f>COUNTIFS(L90:L189, "=0",$B$90:$B$189, "=Text Adventure Development System")</f>
        <v>1</v>
      </c>
      <c r="M54" s="30">
        <v>16</v>
      </c>
      <c r="N54" s="22">
        <f>COUNTIFS(N90:N189, "=0",$B$90:$B$189, "=Text Adventure Development System")</f>
        <v>0</v>
      </c>
      <c r="O54" s="30">
        <v>20</v>
      </c>
      <c r="P54" s="22">
        <f>COUNTIFS(P90:P189, "=0",$B$90:$B$189, "=Text Adventure Development System")</f>
        <v>9</v>
      </c>
      <c r="R54" s="4">
        <v>24</v>
      </c>
      <c r="S54" s="22">
        <f>COUNTIFS(S90:S189, "=0",$B$90:$B$189, "=Text Adventure Development System")</f>
        <v>9</v>
      </c>
      <c r="T54" s="30">
        <v>28</v>
      </c>
      <c r="U54" s="22">
        <f>COUNTIFS(U90:U189, "=0",$B$90:$B$189, "=Text Adventure Development System")</f>
        <v>9</v>
      </c>
      <c r="V54" s="30">
        <v>32</v>
      </c>
      <c r="W54" s="22">
        <f>COUNTIFS(W90:W189, "=0",$B$90:$B$189, "=Text Adventure Development System")</f>
        <v>9</v>
      </c>
    </row>
    <row r="55" spans="1:23" ht="20" x14ac:dyDescent="0.2">
      <c r="A55" s="3" t="s">
        <v>21</v>
      </c>
      <c r="B55" s="4">
        <v>4</v>
      </c>
      <c r="C55" s="1">
        <v>1998</v>
      </c>
      <c r="D55" s="4">
        <v>0</v>
      </c>
      <c r="E55" s="22">
        <f>COUNTIFS(E90:E189, "=0",$B$90:$B$189, "=Quest")</f>
        <v>0</v>
      </c>
      <c r="F55" s="22">
        <v>4</v>
      </c>
      <c r="G55" s="22">
        <f>COUNTIFS(G90:G189, "=0",$B$90:$B$189, "=Quest")</f>
        <v>0</v>
      </c>
      <c r="H55" s="4">
        <v>8</v>
      </c>
      <c r="I55" s="22">
        <f>COUNTIFS(I90:I189, "=0",$B$90:$B$189, "=Quest")</f>
        <v>0</v>
      </c>
      <c r="K55" s="4">
        <v>12</v>
      </c>
      <c r="L55" s="22">
        <f>COUNTIFS(L90:L189, "=0",$B$90:$B$189, "=Quest")</f>
        <v>0</v>
      </c>
      <c r="M55" s="30">
        <v>16</v>
      </c>
      <c r="N55" s="22">
        <f>COUNTIFS(N90:N189, "=0",$B$90:$B$189, "=Quest")</f>
        <v>0</v>
      </c>
      <c r="O55" s="30">
        <v>20</v>
      </c>
      <c r="P55" s="22">
        <f>COUNTIFS(P90:P189, "=0",$B$90:$B$189, "=Quest")</f>
        <v>9</v>
      </c>
      <c r="R55" s="4">
        <v>24</v>
      </c>
      <c r="S55" s="22">
        <f>COUNTIFS(S90:S189, "=0",$B$90:$B$189, "=Quest")</f>
        <v>9</v>
      </c>
      <c r="T55" s="30">
        <v>28</v>
      </c>
      <c r="U55" s="22">
        <f>COUNTIFS(U90:U189, "=0",$B$90:$B$189, "=Quest")</f>
        <v>9</v>
      </c>
      <c r="V55" s="30">
        <v>32</v>
      </c>
      <c r="W55" s="22">
        <f>COUNTIFS(W90:W189, "=0",$B$90:$B$189, "=Quest")</f>
        <v>9</v>
      </c>
    </row>
    <row r="56" spans="1:23" ht="20" x14ac:dyDescent="0.2">
      <c r="A56" s="3" t="s">
        <v>45</v>
      </c>
      <c r="B56" s="4">
        <v>9</v>
      </c>
      <c r="C56" s="1">
        <v>1999</v>
      </c>
      <c r="D56" s="4">
        <v>0</v>
      </c>
      <c r="E56" s="22">
        <f>COUNTIFS(E90:E189, "=0",$B$90:$B$189, "=Adrift")</f>
        <v>0</v>
      </c>
      <c r="F56" s="22">
        <v>4</v>
      </c>
      <c r="G56" s="22">
        <f>COUNTIFS(G90:G189, "=0",$B$90:$B$189, "=Adrift")</f>
        <v>9</v>
      </c>
      <c r="H56" s="4">
        <v>8</v>
      </c>
      <c r="I56" s="22">
        <f>COUNTIFS(I90:I189, "=0",$B$90:$B$189, "=Adrift")</f>
        <v>0</v>
      </c>
      <c r="K56" s="4">
        <v>12</v>
      </c>
      <c r="L56" s="22">
        <f>COUNTIFS(L90:L189, "=0",$B$90:$B$189, "=Adrift")</f>
        <v>1</v>
      </c>
      <c r="M56" s="30">
        <v>16</v>
      </c>
      <c r="N56" s="22">
        <f>COUNTIFS(N90:N189, "=0",$B$90:$B$189, "=Adrift")</f>
        <v>0</v>
      </c>
      <c r="O56" s="30">
        <v>20</v>
      </c>
      <c r="P56" s="22">
        <f>COUNTIFS(P90:P189, "=0",$B$90:$B$189, "=Adrift")</f>
        <v>7</v>
      </c>
      <c r="R56" s="4">
        <v>24</v>
      </c>
      <c r="S56" s="22">
        <f>COUNTIFS(S90:S189, "=0",$B$90:$B$189, "=Adrift")</f>
        <v>9</v>
      </c>
      <c r="T56" s="30">
        <v>28</v>
      </c>
      <c r="U56" s="22">
        <f>COUNTIFS(U90:U189, "=0",$B$90:$B$189, "=Adrift")</f>
        <v>9</v>
      </c>
      <c r="V56" s="30">
        <v>32</v>
      </c>
      <c r="W56" s="22">
        <f>COUNTIFS(W90:W189, "=0",$B$90:$B$189, "=Adrift")</f>
        <v>9</v>
      </c>
    </row>
    <row r="57" spans="1:23" ht="20" x14ac:dyDescent="0.2">
      <c r="A57" s="3" t="s">
        <v>19</v>
      </c>
      <c r="B57" s="4">
        <v>1</v>
      </c>
      <c r="C57" s="1">
        <v>2004</v>
      </c>
      <c r="D57" s="4">
        <v>0</v>
      </c>
      <c r="E57" s="22">
        <f>COUNTIFS(E90:E189, "=0",$B$90:$B$189, "=Ren'Py")</f>
        <v>0</v>
      </c>
      <c r="F57" s="22">
        <v>4</v>
      </c>
      <c r="G57" s="22">
        <f>COUNTIFS(G90:G189, "=0",$B$90:$B$189, "=Ren'Py")</f>
        <v>3</v>
      </c>
      <c r="H57" s="4">
        <v>8</v>
      </c>
      <c r="I57" s="22">
        <f>COUNTIFS(I90:I189, "=0",$B$90:$B$189, "=Ren'Py")</f>
        <v>0</v>
      </c>
      <c r="K57" s="4">
        <v>12</v>
      </c>
      <c r="L57" s="22">
        <f>COUNTIFS(L90:L189, "=0",$B$90:$B$189, "=Ren'Py")</f>
        <v>0</v>
      </c>
      <c r="M57" s="30">
        <v>16</v>
      </c>
      <c r="N57" s="22">
        <f>COUNTIFS(N90:N189, "=0",$B$90:$B$189, "=Ren'Py")</f>
        <v>0</v>
      </c>
      <c r="O57" s="30">
        <v>20</v>
      </c>
      <c r="P57" s="22">
        <f>COUNTIFS(P90:P189, "=0",$B$90:$B$189, "=Ren'Py")</f>
        <v>6</v>
      </c>
      <c r="R57" s="4">
        <v>24</v>
      </c>
      <c r="S57" s="22">
        <f>COUNTIFS(S90:S189, "=0",$B$90:$B$189, "=Ren'Py")</f>
        <v>9</v>
      </c>
      <c r="T57" s="30">
        <v>28</v>
      </c>
      <c r="U57" s="22">
        <f>COUNTIFS(U90:U189, "=0",$B$90:$B$189, "=Ren'Py")</f>
        <v>7</v>
      </c>
      <c r="V57" s="30">
        <v>32</v>
      </c>
      <c r="W57" s="22">
        <f>COUNTIFS(W90:W189, "=0",$B$90:$B$189, "=Ren'Py")</f>
        <v>5</v>
      </c>
    </row>
    <row r="58" spans="1:23" ht="20" x14ac:dyDescent="0.2">
      <c r="A58" s="3" t="s">
        <v>24</v>
      </c>
      <c r="B58" s="4">
        <v>8</v>
      </c>
      <c r="C58" s="1">
        <v>2005</v>
      </c>
      <c r="D58" s="4">
        <v>0</v>
      </c>
      <c r="E58" s="22">
        <f>COUNTIFS(E90:E189, "=0",$B$90:$B$189, "=Unity")</f>
        <v>0</v>
      </c>
      <c r="F58" s="22">
        <v>4</v>
      </c>
      <c r="G58" s="22">
        <f>COUNTIFS(G90:G189, "=0",$B$90:$B$189, "=Unity")</f>
        <v>0</v>
      </c>
      <c r="H58" s="4">
        <v>8</v>
      </c>
      <c r="I58" s="22">
        <f>COUNTIFS(I90:I189, "=0",$B$90:$B$189, "=Unity")</f>
        <v>0</v>
      </c>
      <c r="K58" s="4">
        <v>12</v>
      </c>
      <c r="L58" s="22">
        <f>COUNTIFS(L90:L189, "=0",$B$90:$B$189, "=Unity")</f>
        <v>1</v>
      </c>
      <c r="M58" s="30">
        <v>16</v>
      </c>
      <c r="N58" s="22">
        <f>COUNTIFS(N90:N189, "=0",$B$90:$B$189, "=Unity")</f>
        <v>0</v>
      </c>
      <c r="O58" s="30">
        <v>20</v>
      </c>
      <c r="P58" s="22">
        <f>COUNTIFS(P90:P189, "=0",$B$90:$B$189, "=Unity")</f>
        <v>9</v>
      </c>
      <c r="R58" s="4">
        <v>24</v>
      </c>
      <c r="S58" s="22">
        <f>COUNTIFS(S90:S189, "=0",$B$90:$B$189, "=Unity")</f>
        <v>9</v>
      </c>
      <c r="T58" s="30">
        <v>28</v>
      </c>
      <c r="U58" s="22">
        <f>COUNTIFS(U90:U189, "=0",$B$90:$B$189, "=Unity")</f>
        <v>0</v>
      </c>
      <c r="V58" s="30">
        <v>32</v>
      </c>
      <c r="W58" s="22">
        <f>COUNTIFS(W90:W189, "=0",$B$90:$B$189, "=Unity")</f>
        <v>7</v>
      </c>
    </row>
    <row r="59" spans="1:23" ht="20" x14ac:dyDescent="0.2">
      <c r="A59" s="3" t="s">
        <v>20</v>
      </c>
      <c r="B59" s="4">
        <v>2</v>
      </c>
      <c r="C59" s="1">
        <v>2006</v>
      </c>
      <c r="D59" s="4">
        <v>0</v>
      </c>
      <c r="E59" s="22">
        <f>COUNTIFS(E90:E189, "=0",$B$90:$B$189, "=Inform 7")</f>
        <v>9</v>
      </c>
      <c r="F59" s="22">
        <v>4</v>
      </c>
      <c r="G59" s="22">
        <f>COUNTIFS(G90:G189, "=0",$B$90:$B$189, "=Inform 7")</f>
        <v>9</v>
      </c>
      <c r="H59" s="4">
        <v>8</v>
      </c>
      <c r="I59" s="22">
        <f>COUNTIFS(I90:I189, "=0",$B$90:$B$189, "=Inform 7")</f>
        <v>0</v>
      </c>
      <c r="K59" s="4">
        <v>12</v>
      </c>
      <c r="L59" s="22">
        <f>COUNTIFS(L90:L189, "=0",$B$90:$B$189, "=Inform 7")</f>
        <v>3</v>
      </c>
      <c r="M59" s="30">
        <v>16</v>
      </c>
      <c r="N59" s="22">
        <f>COUNTIFS(N90:N189, "=0",$B$90:$B$189, "=Inform 7")</f>
        <v>0</v>
      </c>
      <c r="O59" s="30">
        <v>20</v>
      </c>
      <c r="P59" s="22">
        <f>COUNTIFS(P90:P189, "=0",$B$90:$B$189, "=Inform 7")</f>
        <v>8</v>
      </c>
      <c r="R59" s="4">
        <v>24</v>
      </c>
      <c r="S59" s="22">
        <f>COUNTIFS(S90:S189, "=0",$B$90:$B$189, "=Inform 7")</f>
        <v>9</v>
      </c>
      <c r="T59" s="30">
        <v>28</v>
      </c>
      <c r="U59" s="22">
        <f>COUNTIFS(U90:U189, "=0",$B$90:$B$189, "=Inform 7")</f>
        <v>9</v>
      </c>
      <c r="V59" s="30">
        <v>32</v>
      </c>
      <c r="W59" s="22">
        <f>COUNTIFS(W90:W189, "=0",$B$90:$B$189, "=Inform 7")</f>
        <v>7</v>
      </c>
    </row>
    <row r="60" spans="1:23" ht="20" x14ac:dyDescent="0.2">
      <c r="A60" s="3" t="s">
        <v>18</v>
      </c>
      <c r="B60" s="4">
        <v>0</v>
      </c>
      <c r="C60" s="1">
        <v>2009</v>
      </c>
      <c r="D60" s="4">
        <v>0</v>
      </c>
      <c r="E60" s="22">
        <f>COUNTIFS(E90:E189, "=0",$B$90:$B$189, "=Twine")</f>
        <v>9</v>
      </c>
      <c r="F60" s="22">
        <v>4</v>
      </c>
      <c r="G60" s="22">
        <f>COUNTIFS(G90:G189, "=0",$B$90:$B$189, "=Twine")</f>
        <v>9</v>
      </c>
      <c r="H60" s="4">
        <v>8</v>
      </c>
      <c r="I60" s="22">
        <f>COUNTIFS(I90:I189, "=0",$B$90:$B$189, "=Twine")</f>
        <v>0</v>
      </c>
      <c r="K60" s="4">
        <v>12</v>
      </c>
      <c r="L60" s="22">
        <f>COUNTIFS(L90:L189, "=0",$B$90:$B$189, "=Twine")</f>
        <v>1</v>
      </c>
      <c r="M60" s="30">
        <v>16</v>
      </c>
      <c r="N60" s="22">
        <f>COUNTIFS(N90:N189, "=0",$B$90:$B$189, "=Twine")</f>
        <v>0</v>
      </c>
      <c r="O60" s="30">
        <v>20</v>
      </c>
      <c r="P60" s="22">
        <f>COUNTIFS(P90:P189, "=0",$B$90:$B$189, "=Twine")</f>
        <v>8</v>
      </c>
      <c r="R60" s="4">
        <v>24</v>
      </c>
      <c r="S60" s="22">
        <f>COUNTIFS(S90:S189, "=0",$B$90:$B$189, "=Twine")</f>
        <v>9</v>
      </c>
      <c r="T60" s="30">
        <v>28</v>
      </c>
      <c r="U60" s="22">
        <f>COUNTIFS(U90:U189, "=0",$B$90:$B$189, "=Twine")</f>
        <v>0</v>
      </c>
      <c r="V60" s="30">
        <v>32</v>
      </c>
      <c r="W60" s="22">
        <f>COUNTIFS(W90:W189, "=0",$B$90:$B$189, "=Twine")</f>
        <v>8</v>
      </c>
    </row>
    <row r="61" spans="1:23" ht="20" x14ac:dyDescent="0.2">
      <c r="A61" s="3" t="s">
        <v>44</v>
      </c>
      <c r="B61" s="4">
        <v>3</v>
      </c>
      <c r="C61" s="1">
        <v>2010</v>
      </c>
      <c r="D61" s="4">
        <v>0</v>
      </c>
      <c r="E61" s="22">
        <f>COUNTIFS(E90:E189, "=0",$B$90:$B$189, "=ChoiceScript")</f>
        <v>9</v>
      </c>
      <c r="F61" s="22">
        <v>4</v>
      </c>
      <c r="G61" s="22">
        <f>COUNTIFS(G90:G189, "=0",$B$90:$B$189, "=ChoiceScript")</f>
        <v>9</v>
      </c>
      <c r="H61" s="4">
        <v>8</v>
      </c>
      <c r="I61" s="22">
        <f>COUNTIFS(I90:I189, "=0",$B$90:$B$189, "=ChoiceScript")</f>
        <v>0</v>
      </c>
      <c r="K61" s="4">
        <v>12</v>
      </c>
      <c r="L61" s="22">
        <f>COUNTIFS(L90:L189, "=0",$B$90:$B$189, "=ChoiceScript")</f>
        <v>0</v>
      </c>
      <c r="M61" s="30">
        <v>16</v>
      </c>
      <c r="N61" s="22">
        <f>COUNTIFS(N90:N189, "=0",$B$90:$B$189, "=ChoiceScript")</f>
        <v>0</v>
      </c>
      <c r="O61" s="30">
        <v>20</v>
      </c>
      <c r="P61" s="22">
        <f>COUNTIFS(P90:P189, "=0",$B$90:$B$189, "=ChoiceScript")</f>
        <v>9</v>
      </c>
      <c r="R61" s="4">
        <v>24</v>
      </c>
      <c r="S61" s="22">
        <f>COUNTIFS(S90:S189, "=0",$B$90:$B$189, "=ChoiceScript")</f>
        <v>9</v>
      </c>
      <c r="T61" s="30">
        <v>28</v>
      </c>
      <c r="U61" s="22">
        <f>COUNTIFS(U90:U189, "=0",$B$90:$B$189, "=ChoiceScript")</f>
        <v>0</v>
      </c>
      <c r="V61" s="30">
        <v>32</v>
      </c>
      <c r="W61" s="22">
        <f>COUNTIFS(W90:W189, "=0",$B$90:$B$189, "=ChoiceScript")</f>
        <v>1</v>
      </c>
    </row>
    <row r="62" spans="1:23" ht="20" x14ac:dyDescent="0.2">
      <c r="A62" s="3" t="s">
        <v>23</v>
      </c>
      <c r="B62" s="4">
        <v>6</v>
      </c>
      <c r="C62" s="1">
        <v>2012</v>
      </c>
      <c r="D62" s="4">
        <v>0</v>
      </c>
      <c r="E62" s="22">
        <f>COUNTIFS(E90:E189, "=0",$B$90:$B$189, "=inklewriter")</f>
        <v>0</v>
      </c>
      <c r="F62" s="22">
        <v>4</v>
      </c>
      <c r="G62" s="22">
        <f>COUNTIFS(G90:G189, "=0",$B$90:$B$189, "=inklewriter")</f>
        <v>0</v>
      </c>
      <c r="H62" s="4">
        <v>8</v>
      </c>
      <c r="I62" s="22">
        <f>COUNTIFS(I90:I189, "=0",$B$90:$B$189, "=inklewriter")</f>
        <v>0</v>
      </c>
      <c r="K62" s="4">
        <v>12</v>
      </c>
      <c r="L62" s="22">
        <f>COUNTIFS(L90:L189, "=0",$B$90:$B$189, "=inklewriter")</f>
        <v>0</v>
      </c>
      <c r="M62" s="30">
        <v>16</v>
      </c>
      <c r="N62" s="22">
        <f>COUNTIFS(N90:N189, "=0",$B$90:$B$189, "=inklewriter")</f>
        <v>0</v>
      </c>
      <c r="O62" s="30">
        <v>20</v>
      </c>
      <c r="P62" s="22">
        <f>COUNTIFS(P90:P189, "=0",$B$90:$B$189, "=inklewriter")</f>
        <v>7</v>
      </c>
      <c r="R62" s="4">
        <v>24</v>
      </c>
      <c r="S62" s="22">
        <f>COUNTIFS(S90:S189, "=0",$B$90:$B$189, "=inklewriter")</f>
        <v>9</v>
      </c>
      <c r="T62" s="30">
        <v>28</v>
      </c>
      <c r="U62" s="22">
        <f>COUNTIFS(U90:U189, "=0",$B$90:$B$189, "=inklewriter")</f>
        <v>7</v>
      </c>
      <c r="V62" s="30">
        <v>32</v>
      </c>
      <c r="W62" s="22">
        <f>COUNTIFS(W90:W189, "=0",$B$90:$B$189, "=inklewriter")</f>
        <v>7</v>
      </c>
    </row>
    <row r="63" spans="1:23" ht="20" x14ac:dyDescent="0.2">
      <c r="A63" s="3" t="s">
        <v>46</v>
      </c>
      <c r="B63" s="4">
        <v>7</v>
      </c>
      <c r="C63" s="1">
        <v>2012</v>
      </c>
      <c r="D63" s="4">
        <v>0</v>
      </c>
      <c r="E63" s="22">
        <f>COUNTIFS(E90:E189, "=0",$B$90:$B$189, "=Storynexus")</f>
        <v>0</v>
      </c>
      <c r="F63" s="22">
        <v>4</v>
      </c>
      <c r="G63" s="22">
        <f>COUNTIFS(G90:G189, "=0",$B$90:$B$189, "=Storynexus")</f>
        <v>7</v>
      </c>
      <c r="H63" s="4">
        <v>8</v>
      </c>
      <c r="I63" s="22">
        <f>COUNTIFS(I90:I189, "=0",$B$90:$B$189, "=Storynexus")</f>
        <v>0</v>
      </c>
      <c r="K63" s="4">
        <v>12</v>
      </c>
      <c r="L63" s="22">
        <f>COUNTIFS(L90:L189, "=0",$B$90:$B$189, "=Storynexus")</f>
        <v>0</v>
      </c>
      <c r="M63" s="30">
        <v>16</v>
      </c>
      <c r="N63" s="22">
        <f>COUNTIFS(N90:N189, "=0",$B$90:$B$189, "=Storynexus")</f>
        <v>0</v>
      </c>
      <c r="O63" s="30">
        <v>20</v>
      </c>
      <c r="P63" s="22">
        <f>COUNTIFS(P90:P189, "=0",$B$90:$B$189, "=Storynexus")</f>
        <v>7</v>
      </c>
      <c r="R63" s="4">
        <v>24</v>
      </c>
      <c r="S63" s="22">
        <f>COUNTIFS(S90:S189, "=0",$B$90:$B$189, "=Storynexus")</f>
        <v>9</v>
      </c>
      <c r="T63" s="30">
        <v>28</v>
      </c>
      <c r="U63" s="22">
        <f>COUNTIFS(U90:U189, "=0",$B$90:$B$189, "=Storynexus")</f>
        <v>7</v>
      </c>
      <c r="V63" s="30">
        <v>32</v>
      </c>
      <c r="W63" s="22">
        <f>COUNTIFS(W90:W189, "=0",$B$90:$B$189, "=Storynexus")</f>
        <v>7</v>
      </c>
    </row>
    <row r="64" spans="1:23" ht="20" x14ac:dyDescent="0.2">
      <c r="A64" s="3" t="s">
        <v>25</v>
      </c>
      <c r="B64" s="4">
        <v>10</v>
      </c>
      <c r="D64" s="4">
        <v>0</v>
      </c>
      <c r="E64" s="22">
        <f>COUNTIFS(E90:E189, "=0",$B$90:$B$189, "=Others")</f>
        <v>0</v>
      </c>
      <c r="F64" s="22">
        <v>4</v>
      </c>
      <c r="G64" s="22">
        <f>COUNTIFS(G90:G189, "=0",$B$90:$B$189, "=Others")</f>
        <v>2</v>
      </c>
      <c r="H64" s="4">
        <v>8</v>
      </c>
      <c r="I64" s="22">
        <f>COUNTIFS(I90:I189, "=0",$B$90:$B$189, "=Others")</f>
        <v>0</v>
      </c>
      <c r="K64" s="4">
        <v>12</v>
      </c>
      <c r="L64" s="22">
        <f>COUNTIFS(L90:L189, "=0",$B$90:$B$189, "=Others")</f>
        <v>0</v>
      </c>
      <c r="M64" s="30">
        <v>16</v>
      </c>
      <c r="N64" s="22">
        <f>COUNTIFS(N90:N189, "=0",$B$90:$B$189, "=Others")</f>
        <v>0</v>
      </c>
      <c r="O64" s="30">
        <v>20</v>
      </c>
      <c r="P64" s="22">
        <f>COUNTIFS(P90:P189, "=0",$B$90:$B$189, "=Others")</f>
        <v>5</v>
      </c>
      <c r="R64" s="4">
        <v>24</v>
      </c>
      <c r="S64" s="22">
        <f>COUNTIFS(S90:S189, "=0",$B$90:$B$189, "=Others")</f>
        <v>9</v>
      </c>
      <c r="T64" s="30">
        <v>28</v>
      </c>
      <c r="U64" s="22">
        <f>COUNTIFS(U90:U189, "=0",$B$90:$B$189, "=Others")</f>
        <v>8</v>
      </c>
      <c r="V64" s="30">
        <v>32</v>
      </c>
      <c r="W64" s="22">
        <f>COUNTIFS(W90:W189, "=0",$B$90:$B$189, "=Others")</f>
        <v>3</v>
      </c>
    </row>
    <row r="65" spans="1:23" ht="20" x14ac:dyDescent="0.2">
      <c r="A65" s="5" t="s">
        <v>47</v>
      </c>
      <c r="B65" s="5">
        <v>5</v>
      </c>
      <c r="C65" s="1">
        <v>1988</v>
      </c>
      <c r="D65" s="5">
        <v>1</v>
      </c>
      <c r="E65" s="23">
        <f>COUNTIFS(E90:E189, "=1",$B$90:$B$189, "=Text Adventure Development System")</f>
        <v>0</v>
      </c>
      <c r="F65" s="23">
        <v>5</v>
      </c>
      <c r="G65" s="23">
        <f>COUNTIFS(G90:G189, "=1",$B$90:$B$189, "=Text Adventure Development System")</f>
        <v>0</v>
      </c>
      <c r="H65" s="5">
        <v>9</v>
      </c>
      <c r="I65" s="23">
        <f>COUNTIFS(I90:I189, "=1",$B$90:$B$189, "=Text Adventure Development System")</f>
        <v>9</v>
      </c>
      <c r="K65" s="5">
        <v>13</v>
      </c>
      <c r="L65" s="23">
        <f>COUNTIFS(L90:L189, "=1",$B$90:$B$189, "=Text Adventure Development System")</f>
        <v>8</v>
      </c>
      <c r="M65" s="31">
        <v>17</v>
      </c>
      <c r="N65" s="23">
        <f>COUNTIFS(N90:N189, "=1",$B$90:$B$189, "=Text Adventure Development System")</f>
        <v>0</v>
      </c>
      <c r="O65" s="31">
        <v>21</v>
      </c>
      <c r="P65" s="23">
        <f>COUNTIFS(P90:P189, "=1",$B$90:$B$189, "=Text Adventure Development System")</f>
        <v>0</v>
      </c>
      <c r="R65" s="5">
        <v>25</v>
      </c>
      <c r="S65" s="23">
        <f>COUNTIFS(S90:S189, "=1",$B$90:$B$189, "=Text Adventure Development System")</f>
        <v>0</v>
      </c>
      <c r="T65" s="31">
        <v>29</v>
      </c>
      <c r="U65" s="23">
        <f>COUNTIFS(U90:U189, "=1",$B$90:$B$189, "=Text Adventure Development System")</f>
        <v>0</v>
      </c>
      <c r="V65" s="31">
        <v>33</v>
      </c>
      <c r="W65" s="23">
        <f>COUNTIFS(W90:W189, "=1",$B$90:$B$189, "=Text Adventure Development System")</f>
        <v>0</v>
      </c>
    </row>
    <row r="66" spans="1:23" ht="20" x14ac:dyDescent="0.2">
      <c r="A66" s="5" t="s">
        <v>21</v>
      </c>
      <c r="B66" s="5">
        <v>4</v>
      </c>
      <c r="C66" s="1">
        <v>1998</v>
      </c>
      <c r="D66" s="5">
        <v>1</v>
      </c>
      <c r="E66" s="23">
        <f>COUNTIFS(E90:E189, "=1",$B$90:$B$189, "=Quest")</f>
        <v>9</v>
      </c>
      <c r="F66" s="23">
        <v>5</v>
      </c>
      <c r="G66" s="23">
        <f>COUNTIFS(G90:G189, "=1",$B$90:$B$189, "=Quest")</f>
        <v>9</v>
      </c>
      <c r="H66" s="5">
        <v>9</v>
      </c>
      <c r="I66" s="23">
        <f>COUNTIFS(I90:I189, "=1",$B$90:$B$189, "=Quest")</f>
        <v>9</v>
      </c>
      <c r="K66" s="5">
        <v>13</v>
      </c>
      <c r="L66" s="23">
        <f>COUNTIFS(L90:L189, "=1",$B$90:$B$189, "=Quest")</f>
        <v>9</v>
      </c>
      <c r="M66" s="31">
        <v>17</v>
      </c>
      <c r="N66" s="23">
        <f>COUNTIFS(N90:N189, "=1",$B$90:$B$189, "=Quest")</f>
        <v>0</v>
      </c>
      <c r="O66" s="31">
        <v>21</v>
      </c>
      <c r="P66" s="23">
        <f>COUNTIFS(P90:P189, "=1",$B$90:$B$189, "=Quest")</f>
        <v>0</v>
      </c>
      <c r="R66" s="5">
        <v>25</v>
      </c>
      <c r="S66" s="23">
        <f>COUNTIFS(S90:S189, "=1",$B$90:$B$189, "=Quest")</f>
        <v>0</v>
      </c>
      <c r="T66" s="31">
        <v>29</v>
      </c>
      <c r="U66" s="23">
        <f>COUNTIFS(U90:U189, "=1",$B$90:$B$189, "=Quest")</f>
        <v>0</v>
      </c>
      <c r="V66" s="31">
        <v>33</v>
      </c>
      <c r="W66" s="23">
        <f>COUNTIFS(W90:W189, "=1",$B$90:$B$189, "=Quest")</f>
        <v>0</v>
      </c>
    </row>
    <row r="67" spans="1:23" ht="20" x14ac:dyDescent="0.2">
      <c r="A67" s="5" t="s">
        <v>45</v>
      </c>
      <c r="B67" s="5">
        <v>9</v>
      </c>
      <c r="C67" s="1">
        <v>1999</v>
      </c>
      <c r="D67" s="5">
        <v>1</v>
      </c>
      <c r="E67" s="23">
        <f>COUNTIFS(E90:E189, "=1",$B$90:$B$189, "=Adrift")</f>
        <v>9</v>
      </c>
      <c r="F67" s="23">
        <v>5</v>
      </c>
      <c r="G67" s="23">
        <f>COUNTIFS(G90:G189, "=1",$B$90:$B$189, "=Adrift")</f>
        <v>0</v>
      </c>
      <c r="H67" s="5">
        <v>9</v>
      </c>
      <c r="I67" s="23">
        <f>COUNTIFS(I90:I189, "=1",$B$90:$B$189, "=Adrift")</f>
        <v>8</v>
      </c>
      <c r="K67" s="5">
        <v>13</v>
      </c>
      <c r="L67" s="23">
        <f>COUNTIFS(L90:L189, "=1",$B$90:$B$189, "=Adrift")</f>
        <v>8</v>
      </c>
      <c r="M67" s="31">
        <v>17</v>
      </c>
      <c r="N67" s="23">
        <f>COUNTIFS(N90:N189, "=1",$B$90:$B$189, "=Adrift")</f>
        <v>0</v>
      </c>
      <c r="O67" s="31">
        <v>21</v>
      </c>
      <c r="P67" s="23">
        <f>COUNTIFS(P90:P189, "=1",$B$90:$B$189, "=Adrift")</f>
        <v>0</v>
      </c>
      <c r="R67" s="5">
        <v>25</v>
      </c>
      <c r="S67" s="23">
        <f>COUNTIFS(S90:S189, "=1",$B$90:$B$189, "=Adrift")</f>
        <v>0</v>
      </c>
      <c r="T67" s="31">
        <v>29</v>
      </c>
      <c r="U67" s="23">
        <f>COUNTIFS(U90:U189, "=1",$B$90:$B$189, "=Adrift")</f>
        <v>0</v>
      </c>
      <c r="V67" s="31">
        <v>33</v>
      </c>
      <c r="W67" s="23">
        <f>COUNTIFS(W90:W189, "=1",$B$90:$B$189, "=Adrift")</f>
        <v>0</v>
      </c>
    </row>
    <row r="68" spans="1:23" ht="20" x14ac:dyDescent="0.2">
      <c r="A68" s="5" t="s">
        <v>101</v>
      </c>
      <c r="B68" s="5">
        <v>1</v>
      </c>
      <c r="C68" s="1">
        <v>2004</v>
      </c>
      <c r="D68" s="5">
        <v>1</v>
      </c>
      <c r="E68" s="23">
        <f>COUNTIFS(E90:E189, "=1",$B$90:$B$189, "=Ren'Py")</f>
        <v>9</v>
      </c>
      <c r="F68" s="23">
        <v>5</v>
      </c>
      <c r="G68" s="23">
        <f>COUNTIFS(G90:G189, "=1",$B$90:$B$189, "=Ren'Py")</f>
        <v>6</v>
      </c>
      <c r="H68" s="5">
        <v>9</v>
      </c>
      <c r="I68" s="23">
        <f>COUNTIFS(I90:I189, "=1",$B$90:$B$189, "=Ren'Py")</f>
        <v>8</v>
      </c>
      <c r="K68" s="5">
        <v>13</v>
      </c>
      <c r="L68" s="23">
        <f>COUNTIFS(L90:L189, "=1",$B$90:$B$189, "=Ren'Py")</f>
        <v>9</v>
      </c>
      <c r="M68" s="31">
        <v>17</v>
      </c>
      <c r="N68" s="23">
        <f>COUNTIFS(N90:N189, "=1",$B$90:$B$189, "=Ren'Py")</f>
        <v>0</v>
      </c>
      <c r="O68" s="31">
        <v>21</v>
      </c>
      <c r="P68" s="23">
        <f>COUNTIFS(P90:P189, "=1",$B$90:$B$189, "=Ren'Py")</f>
        <v>1</v>
      </c>
      <c r="R68" s="5">
        <v>25</v>
      </c>
      <c r="S68" s="23">
        <f>COUNTIFS(S90:S189, "=1",$B$90:$B$189, "=Ren'Py")</f>
        <v>0</v>
      </c>
      <c r="T68" s="31">
        <v>29</v>
      </c>
      <c r="U68" s="23">
        <f>COUNTIFS(U90:U189, "=1",$B$90:$B$189, "=Ren'Py")</f>
        <v>0</v>
      </c>
      <c r="V68" s="31">
        <v>33</v>
      </c>
      <c r="W68" s="23">
        <f>COUNTIFS(W90:W189, "=1",$B$90:$B$189, "=Ren'Py")</f>
        <v>4</v>
      </c>
    </row>
    <row r="69" spans="1:23" ht="20" x14ac:dyDescent="0.2">
      <c r="A69" s="5" t="s">
        <v>24</v>
      </c>
      <c r="B69" s="5">
        <v>8</v>
      </c>
      <c r="C69" s="1">
        <v>2005</v>
      </c>
      <c r="D69" s="5">
        <v>1</v>
      </c>
      <c r="E69" s="23">
        <f>COUNTIFS(E90:E189, "=1",$B$90:$B$189, "=Unity")</f>
        <v>9</v>
      </c>
      <c r="F69" s="23">
        <v>5</v>
      </c>
      <c r="G69" s="23">
        <f>COUNTIFS(G90:G189, "=1",$B$90:$B$189, "=Unity")</f>
        <v>9</v>
      </c>
      <c r="H69" s="5">
        <v>9</v>
      </c>
      <c r="I69" s="23">
        <f>COUNTIFS(I90:I189, "=1",$B$90:$B$189, "=Unity")</f>
        <v>9</v>
      </c>
      <c r="K69" s="5">
        <v>13</v>
      </c>
      <c r="L69" s="23">
        <f>COUNTIFS(L90:L189, "=1",$B$90:$B$189, "=Unity")</f>
        <v>8</v>
      </c>
      <c r="M69" s="31">
        <v>17</v>
      </c>
      <c r="N69" s="23">
        <f>COUNTIFS(N90:N189, "=1",$B$90:$B$189, "=Unity")</f>
        <v>0</v>
      </c>
      <c r="O69" s="31">
        <v>21</v>
      </c>
      <c r="P69" s="23">
        <f>COUNTIFS(P90:P189, "=1",$B$90:$B$189, "=Unity")</f>
        <v>0</v>
      </c>
      <c r="R69" s="5">
        <v>25</v>
      </c>
      <c r="S69" s="23">
        <f>COUNTIFS(S90:S189, "=1",$B$90:$B$189, "=Unity")</f>
        <v>0</v>
      </c>
      <c r="T69" s="31">
        <v>29</v>
      </c>
      <c r="U69" s="23">
        <f>COUNTIFS(U90:U189, "=1",$B$90:$B$189, "=Unity")</f>
        <v>0</v>
      </c>
      <c r="V69" s="31">
        <v>33</v>
      </c>
      <c r="W69" s="23">
        <f>COUNTIFS(W90:W189, "=1",$B$90:$B$189, "=Unity")</f>
        <v>2</v>
      </c>
    </row>
    <row r="70" spans="1:23" ht="20" x14ac:dyDescent="0.2">
      <c r="A70" s="5" t="s">
        <v>102</v>
      </c>
      <c r="B70" s="5">
        <v>2</v>
      </c>
      <c r="C70" s="1">
        <v>2006</v>
      </c>
      <c r="D70" s="5">
        <v>1</v>
      </c>
      <c r="E70" s="23">
        <f>COUNTIFS(E90:E189, "=1",$B$90:$B$189, "=Inform 7")</f>
        <v>0</v>
      </c>
      <c r="F70" s="23">
        <v>5</v>
      </c>
      <c r="G70" s="23">
        <f>COUNTIFS(G90:G189, "=1",$B$90:$B$189, "=Inform 7")</f>
        <v>0</v>
      </c>
      <c r="H70" s="5">
        <v>9</v>
      </c>
      <c r="I70" s="23">
        <f>COUNTIFS(I90:I189, "=1",$B$90:$B$189, "=Inform 7")</f>
        <v>8</v>
      </c>
      <c r="K70" s="5">
        <v>13</v>
      </c>
      <c r="L70" s="23">
        <f>COUNTIFS(L90:L189, "=1",$B$90:$B$189, "=Inform 7")</f>
        <v>6</v>
      </c>
      <c r="M70" s="31">
        <v>17</v>
      </c>
      <c r="N70" s="23">
        <f>COUNTIFS(N90:N189, "=1",$B$90:$B$189, "=Inform 7")</f>
        <v>0</v>
      </c>
      <c r="O70" s="31">
        <v>21</v>
      </c>
      <c r="P70" s="23">
        <f>COUNTIFS(P90:P189, "=1",$B$90:$B$189, "=Inform 7")</f>
        <v>1</v>
      </c>
      <c r="R70" s="5">
        <v>25</v>
      </c>
      <c r="S70" s="23">
        <f>COUNTIFS(S90:S189, "=1",$B$90:$B$189, "=Inform 7")</f>
        <v>0</v>
      </c>
      <c r="T70" s="31">
        <v>29</v>
      </c>
      <c r="U70" s="23">
        <f>COUNTIFS(U90:U189, "=1",$B$90:$B$189, "=Inform 7")</f>
        <v>0</v>
      </c>
      <c r="V70" s="31">
        <v>33</v>
      </c>
      <c r="W70" s="23">
        <f>COUNTIFS(W90:W189, "=1",$B$90:$B$189, "=Inform 7")</f>
        <v>2</v>
      </c>
    </row>
    <row r="71" spans="1:23" ht="20" x14ac:dyDescent="0.2">
      <c r="A71" s="5" t="s">
        <v>18</v>
      </c>
      <c r="B71" s="5">
        <v>0</v>
      </c>
      <c r="C71" s="1">
        <v>2009</v>
      </c>
      <c r="D71" s="5">
        <v>1</v>
      </c>
      <c r="E71" s="23">
        <f>COUNTIFS(E90:E189, "=1",$B$90:$B$189, "=Twine")</f>
        <v>0</v>
      </c>
      <c r="F71" s="23">
        <v>5</v>
      </c>
      <c r="G71" s="23">
        <f>COUNTIFS(G90:G189, "=1",$B$90:$B$189, "=Twine")</f>
        <v>0</v>
      </c>
      <c r="H71" s="5">
        <v>9</v>
      </c>
      <c r="I71" s="23">
        <f>COUNTIFS(I90:I189, "=1",$B$90:$B$189, "=Twine")</f>
        <v>9</v>
      </c>
      <c r="K71" s="5">
        <v>13</v>
      </c>
      <c r="L71" s="23">
        <f>COUNTIFS(L90:L189, "=1",$B$90:$B$189, "=Twine")</f>
        <v>8</v>
      </c>
      <c r="M71" s="31">
        <v>17</v>
      </c>
      <c r="N71" s="23">
        <f>COUNTIFS(N90:N189, "=1",$B$90:$B$189, "=Twine")</f>
        <v>0</v>
      </c>
      <c r="O71" s="31">
        <v>21</v>
      </c>
      <c r="P71" s="23">
        <f>COUNTIFS(P90:P189, "=1",$B$90:$B$189, "=Twine")</f>
        <v>1</v>
      </c>
      <c r="R71" s="5">
        <v>25</v>
      </c>
      <c r="S71" s="23">
        <f>COUNTIFS(S90:S189, "=1",$B$90:$B$189, "=Twine")</f>
        <v>0</v>
      </c>
      <c r="T71" s="31">
        <v>29</v>
      </c>
      <c r="U71" s="23">
        <f>COUNTIFS(U90:U189, "=1",$B$90:$B$189, "=Twine")</f>
        <v>0</v>
      </c>
      <c r="V71" s="31">
        <v>33</v>
      </c>
      <c r="W71" s="23">
        <f>COUNTIFS(W90:W189, "=1",$B$90:$B$189, "=Twine")</f>
        <v>1</v>
      </c>
    </row>
    <row r="72" spans="1:23" ht="20" x14ac:dyDescent="0.2">
      <c r="A72" s="5" t="s">
        <v>203</v>
      </c>
      <c r="B72" s="5">
        <v>3</v>
      </c>
      <c r="C72" s="1">
        <v>2010</v>
      </c>
      <c r="D72" s="5">
        <v>1</v>
      </c>
      <c r="E72" s="23">
        <f>COUNTIFS(E90:E189, "=1",$B$90:$B$189, "=ChoiceScript")</f>
        <v>0</v>
      </c>
      <c r="F72" s="23">
        <v>5</v>
      </c>
      <c r="G72" s="23">
        <f>COUNTIFS(G90:G189, "=1",$B$90:$B$189, "=ChoiceScript")</f>
        <v>0</v>
      </c>
      <c r="H72" s="5">
        <v>9</v>
      </c>
      <c r="I72" s="23">
        <f>COUNTIFS(I90:I189, "=1",$B$90:$B$189, "=ChoiceScript")</f>
        <v>9</v>
      </c>
      <c r="K72" s="5">
        <v>13</v>
      </c>
      <c r="L72" s="23">
        <f>COUNTIFS(L90:L189, "=1",$B$90:$B$189, "=ChoiceScript")</f>
        <v>9</v>
      </c>
      <c r="M72" s="31">
        <v>17</v>
      </c>
      <c r="N72" s="23">
        <f>COUNTIFS(N90:N189, "=1",$B$90:$B$189, "=ChoiceScript")</f>
        <v>0</v>
      </c>
      <c r="O72" s="31">
        <v>21</v>
      </c>
      <c r="P72" s="23">
        <f>COUNTIFS(P90:P189, "=1",$B$90:$B$189, "=ChoiceScript")</f>
        <v>0</v>
      </c>
      <c r="R72" s="5">
        <v>25</v>
      </c>
      <c r="S72" s="23">
        <f>COUNTIFS(S90:S189, "=1",$B$90:$B$189, "=ChoiceScript")</f>
        <v>0</v>
      </c>
      <c r="T72" s="31">
        <v>29</v>
      </c>
      <c r="U72" s="23">
        <f>COUNTIFS(U90:U189, "=1",$B$90:$B$189, "=ChoiceScript")</f>
        <v>0</v>
      </c>
      <c r="V72" s="31">
        <v>33</v>
      </c>
      <c r="W72" s="23">
        <f>COUNTIFS(W90:W189, "=1",$B$90:$B$189, "=ChoiceScript")</f>
        <v>8</v>
      </c>
    </row>
    <row r="73" spans="1:23" ht="20" x14ac:dyDescent="0.2">
      <c r="A73" s="5" t="s">
        <v>103</v>
      </c>
      <c r="B73" s="5">
        <v>6</v>
      </c>
      <c r="C73" s="1">
        <v>2012</v>
      </c>
      <c r="D73" s="5">
        <v>1</v>
      </c>
      <c r="E73" s="23">
        <f>COUNTIFS(E90:E189, "=1",$B$90:$B$189, "=inklewriter")</f>
        <v>9</v>
      </c>
      <c r="F73" s="23">
        <v>5</v>
      </c>
      <c r="G73" s="23">
        <f>COUNTIFS(G90:G189, "=1",$B$90:$B$189, "=inklewriter")</f>
        <v>9</v>
      </c>
      <c r="H73" s="5">
        <v>9</v>
      </c>
      <c r="I73" s="23">
        <f>COUNTIFS(I90:I189, "=1",$B$90:$B$189, "=inklewriter")</f>
        <v>7</v>
      </c>
      <c r="K73" s="5">
        <v>13</v>
      </c>
      <c r="L73" s="23">
        <f>COUNTIFS(L90:L189, "=1",$B$90:$B$189, "=inklewriter")</f>
        <v>9</v>
      </c>
      <c r="M73" s="31">
        <v>17</v>
      </c>
      <c r="N73" s="23">
        <f>COUNTIFS(N90:N189, "=1",$B$90:$B$189, "=inklewriter")</f>
        <v>0</v>
      </c>
      <c r="O73" s="31">
        <v>21</v>
      </c>
      <c r="P73" s="23">
        <f>COUNTIFS(P90:P189, "=1",$B$90:$B$189, "=inklewriter")</f>
        <v>0</v>
      </c>
      <c r="R73" s="5">
        <v>25</v>
      </c>
      <c r="S73" s="23">
        <f>COUNTIFS(S90:S189, "=1",$B$90:$B$189, "=inklewriter")</f>
        <v>0</v>
      </c>
      <c r="T73" s="31">
        <v>29</v>
      </c>
      <c r="U73" s="23">
        <f>COUNTIFS(U90:U189, "=1",$B$90:$B$189, "=inklewriter")</f>
        <v>0</v>
      </c>
      <c r="V73" s="31">
        <v>33</v>
      </c>
      <c r="W73" s="23">
        <f>COUNTIFS(W90:W189, "=1",$B$90:$B$189, "=inklewriter")</f>
        <v>2</v>
      </c>
    </row>
    <row r="74" spans="1:23" ht="20" x14ac:dyDescent="0.2">
      <c r="A74" s="5" t="s">
        <v>104</v>
      </c>
      <c r="B74" s="5">
        <v>7</v>
      </c>
      <c r="C74" s="1">
        <v>2012</v>
      </c>
      <c r="D74" s="5">
        <v>1</v>
      </c>
      <c r="E74" s="23">
        <f>COUNTIFS(E90:E189, "=1",$B$90:$B$189, "=Storynexus")</f>
        <v>9</v>
      </c>
      <c r="F74" s="23">
        <v>5</v>
      </c>
      <c r="G74" s="23">
        <f>COUNTIFS(G90:G189, "=1",$B$90:$B$189, "=Storynexus")</f>
        <v>2</v>
      </c>
      <c r="H74" s="5">
        <v>9</v>
      </c>
      <c r="I74" s="23">
        <f>COUNTIFS(I90:I189, "=1",$B$90:$B$189, "=Storynexus")</f>
        <v>7</v>
      </c>
      <c r="K74" s="5">
        <v>13</v>
      </c>
      <c r="L74" s="23">
        <f>COUNTIFS(L90:L189, "=1",$B$90:$B$189, "=Storynexus")</f>
        <v>8</v>
      </c>
      <c r="M74" s="31">
        <v>17</v>
      </c>
      <c r="N74" s="23">
        <f>COUNTIFS(N90:N189, "=1",$B$90:$B$189, "=Storynexus")</f>
        <v>0</v>
      </c>
      <c r="O74" s="31">
        <v>21</v>
      </c>
      <c r="P74" s="23">
        <f>COUNTIFS(P90:P189, "=1",$B$90:$B$189, "=Storynexus")</f>
        <v>0</v>
      </c>
      <c r="R74" s="5">
        <v>25</v>
      </c>
      <c r="S74" s="23">
        <f>COUNTIFS(S90:S189, "=1",$B$90:$B$189, "=Storynexus")</f>
        <v>0</v>
      </c>
      <c r="T74" s="31">
        <v>29</v>
      </c>
      <c r="U74" s="23">
        <f>COUNTIFS(U90:U189, "=1",$B$90:$B$189, "=Storynexus")</f>
        <v>0</v>
      </c>
      <c r="V74" s="31">
        <v>33</v>
      </c>
      <c r="W74" s="23">
        <f>COUNTIFS(W90:W189, "=1",$B$90:$B$189, "=Storynexus")</f>
        <v>1</v>
      </c>
    </row>
    <row r="75" spans="1:23" ht="20" x14ac:dyDescent="0.2">
      <c r="A75" s="5" t="s">
        <v>25</v>
      </c>
      <c r="B75" s="5">
        <v>10</v>
      </c>
      <c r="D75" s="5">
        <v>1</v>
      </c>
      <c r="E75" s="23">
        <f>COUNTIFS(E90:E189, "=1",$B$90:$B$189, "=Others")</f>
        <v>6</v>
      </c>
      <c r="F75" s="23">
        <v>5</v>
      </c>
      <c r="G75" s="23">
        <f>COUNTIFS(G90:G189, "=1",$B$90:$B$189, "=Others")</f>
        <v>2</v>
      </c>
      <c r="H75" s="5">
        <v>9</v>
      </c>
      <c r="I75" s="23">
        <f>COUNTIFS(I90:I189, "=1",$B$90:$B$189, "=Others")</f>
        <v>7</v>
      </c>
      <c r="K75" s="5">
        <v>13</v>
      </c>
      <c r="L75" s="23">
        <f>COUNTIFS(L90:L189, "=1",$B$90:$B$189, "=Others")</f>
        <v>9</v>
      </c>
      <c r="M75" s="31">
        <v>17</v>
      </c>
      <c r="N75" s="23">
        <f>COUNTIFS(N90:N189, "=1",$B$90:$B$189, "=Others")</f>
        <v>3</v>
      </c>
      <c r="O75" s="31">
        <v>21</v>
      </c>
      <c r="P75" s="23">
        <f>COUNTIFS(P90:P189, "=1",$B$90:$B$189, "=Others")</f>
        <v>1</v>
      </c>
      <c r="R75" s="5">
        <v>25</v>
      </c>
      <c r="S75" s="23">
        <f>COUNTIFS(S90:S189, "=1",$B$90:$B$189, "=Others")</f>
        <v>0</v>
      </c>
      <c r="T75" s="31">
        <v>29</v>
      </c>
      <c r="U75" s="23">
        <f>COUNTIFS(U90:U189, "=1",$B$90:$B$189, "=Others")</f>
        <v>0</v>
      </c>
      <c r="V75" s="31">
        <v>33</v>
      </c>
      <c r="W75" s="23">
        <f>COUNTIFS(W90:W189, "=1",$B$90:$B$189, "=Others")</f>
        <v>4</v>
      </c>
    </row>
    <row r="76" spans="1:23" ht="20" x14ac:dyDescent="0.2">
      <c r="A76" s="3" t="s">
        <v>47</v>
      </c>
      <c r="B76" s="3">
        <v>5</v>
      </c>
      <c r="C76" s="1">
        <v>1988</v>
      </c>
      <c r="D76" s="3">
        <v>2</v>
      </c>
      <c r="E76" s="24">
        <f>COUNTIFS(E90:E189, "=2",$B$90:$B$189, "=Text Adventure Development System")</f>
        <v>0</v>
      </c>
      <c r="F76" s="24">
        <v>6</v>
      </c>
      <c r="G76" s="24">
        <f>COUNTIFS(G90:G189, "=2",$B$90:$B$189, "=Text Adventure Development System")</f>
        <v>0</v>
      </c>
      <c r="H76" s="3">
        <v>10</v>
      </c>
      <c r="I76" s="24">
        <f>COUNTIFS(I90:I189, "=2",$B$90:$B$189, "=Text Adventure Development System")</f>
        <v>0</v>
      </c>
      <c r="K76" s="3">
        <v>14</v>
      </c>
      <c r="L76" s="24">
        <f>COUNTIFS(L90:L189, "=2",$B$90:$B$189, "=Text Adventure Development System")</f>
        <v>0</v>
      </c>
      <c r="M76" s="32">
        <v>18</v>
      </c>
      <c r="N76" s="24">
        <f>COUNTIFS(N90:N189, "=2",$B$90:$B$189, "=Text Adventure Development System")</f>
        <v>9</v>
      </c>
      <c r="O76" s="32">
        <v>22</v>
      </c>
      <c r="P76" s="24">
        <f>COUNTIFS(P90:P189, "=2",$B$90:$B$189, "=Text Adventure Development System")</f>
        <v>0</v>
      </c>
      <c r="R76" s="3">
        <v>26</v>
      </c>
      <c r="S76" s="24">
        <f>COUNTIFS(S90:S189, "=2",$B$90:$B$189, "=Text Adventure Development System")</f>
        <v>0</v>
      </c>
      <c r="T76" s="32">
        <v>30</v>
      </c>
      <c r="U76" s="24">
        <f>COUNTIFS(U90:U189, "=2",$B$90:$B$189, "=Text Adventure Development System")</f>
        <v>0</v>
      </c>
      <c r="V76" s="32">
        <v>34</v>
      </c>
      <c r="W76" s="24">
        <f>COUNTIFS(W90:W189, "=2",$B$90:$B$189, "=Text Adventure Development System")</f>
        <v>0</v>
      </c>
    </row>
    <row r="77" spans="1:23" ht="20" x14ac:dyDescent="0.2">
      <c r="A77" s="3" t="s">
        <v>21</v>
      </c>
      <c r="B77" s="3">
        <v>4</v>
      </c>
      <c r="C77" s="1">
        <v>1998</v>
      </c>
      <c r="D77" s="3">
        <v>2</v>
      </c>
      <c r="E77" s="24">
        <f>COUNTIFS(E90:E189, "=2",$B$90:$B$189, "=Quest")</f>
        <v>0</v>
      </c>
      <c r="F77" s="24">
        <v>6</v>
      </c>
      <c r="G77" s="24">
        <f>COUNTIFS(G90:G189, "=2",$B$90:$B$189, "=Quest")</f>
        <v>0</v>
      </c>
      <c r="H77" s="3">
        <v>10</v>
      </c>
      <c r="I77" s="24">
        <f>COUNTIFS(I90:I189, "=2",$B$90:$B$189, "=Quest")</f>
        <v>0</v>
      </c>
      <c r="K77" s="3">
        <v>14</v>
      </c>
      <c r="L77" s="24">
        <f>COUNTIFS(L90:L189, "=2",$B$90:$B$189, "=Quest")</f>
        <v>0</v>
      </c>
      <c r="M77" s="32">
        <v>18</v>
      </c>
      <c r="N77" s="24">
        <f>COUNTIFS(N90:N189, "=2",$B$90:$B$189, "=Quest")</f>
        <v>9</v>
      </c>
      <c r="O77" s="32">
        <v>22</v>
      </c>
      <c r="P77" s="24">
        <f>COUNTIFS(P90:P189, "=2",$B$90:$B$189, "=Quest")</f>
        <v>0</v>
      </c>
      <c r="R77" s="3">
        <v>26</v>
      </c>
      <c r="S77" s="24">
        <f>COUNTIFS(S90:S189, "=2",$B$90:$B$189, "=Quest")</f>
        <v>0</v>
      </c>
      <c r="T77" s="32">
        <v>30</v>
      </c>
      <c r="U77" s="24">
        <f>COUNTIFS(U90:U189, "=2",$B$90:$B$189, "=Quest")</f>
        <v>0</v>
      </c>
      <c r="V77" s="32">
        <v>34</v>
      </c>
      <c r="W77" s="24">
        <f>COUNTIFS(W90:W189, "=2",$B$90:$B$189, "=Quest")</f>
        <v>0</v>
      </c>
    </row>
    <row r="78" spans="1:23" ht="20" x14ac:dyDescent="0.2">
      <c r="A78" s="3" t="s">
        <v>45</v>
      </c>
      <c r="B78" s="3">
        <v>9</v>
      </c>
      <c r="C78" s="1">
        <v>1999</v>
      </c>
      <c r="D78" s="3">
        <v>2</v>
      </c>
      <c r="E78" s="24">
        <f>COUNTIFS(E90:E189, "=2",$B$90:$B$189, "=Adrift")</f>
        <v>0</v>
      </c>
      <c r="F78" s="24">
        <v>6</v>
      </c>
      <c r="G78" s="24">
        <f>COUNTIFS(G90:G189, "=2",$B$90:$B$189, "=Adrift")</f>
        <v>0</v>
      </c>
      <c r="H78" s="3">
        <v>10</v>
      </c>
      <c r="I78" s="24">
        <f>COUNTIFS(I90:I189, "=2",$B$90:$B$189, "=Adrift")</f>
        <v>1</v>
      </c>
      <c r="K78" s="3">
        <v>14</v>
      </c>
      <c r="L78" s="24">
        <f>COUNTIFS(L90:L189, "=2",$B$90:$B$189, "=Adrift")</f>
        <v>0</v>
      </c>
      <c r="M78" s="32">
        <v>18</v>
      </c>
      <c r="N78" s="24">
        <f>COUNTIFS(N90:N189, "=2",$B$90:$B$189, "=Adrift")</f>
        <v>9</v>
      </c>
      <c r="O78" s="32">
        <v>22</v>
      </c>
      <c r="P78" s="24">
        <f>COUNTIFS(P90:P189, "=2",$B$90:$B$189, "=Adrift")</f>
        <v>2</v>
      </c>
      <c r="R78" s="3">
        <v>26</v>
      </c>
      <c r="S78" s="24">
        <f>COUNTIFS(S90:S189, "=2",$B$90:$B$189, "=Adrift")</f>
        <v>0</v>
      </c>
      <c r="T78" s="32">
        <v>30</v>
      </c>
      <c r="U78" s="24">
        <f>COUNTIFS(U90:U189, "=2",$B$90:$B$189, "=Adrift")</f>
        <v>0</v>
      </c>
      <c r="V78" s="32">
        <v>34</v>
      </c>
      <c r="W78" s="24">
        <f>COUNTIFS(W90:W189, "=2",$B$90:$B$189, "=Adrift")</f>
        <v>0</v>
      </c>
    </row>
    <row r="79" spans="1:23" ht="20" x14ac:dyDescent="0.2">
      <c r="A79" s="3" t="s">
        <v>101</v>
      </c>
      <c r="B79" s="3">
        <v>1</v>
      </c>
      <c r="C79" s="1">
        <v>2004</v>
      </c>
      <c r="D79" s="3">
        <v>2</v>
      </c>
      <c r="E79" s="24">
        <f>COUNTIFS(E90:E189, "=2",$B$90:$B$189, "=Ren'Py")</f>
        <v>0</v>
      </c>
      <c r="F79" s="24">
        <v>6</v>
      </c>
      <c r="G79" s="24">
        <f>COUNTIFS(G90:G189, "=2",$B$90:$B$189, "=Ren'Py")</f>
        <v>0</v>
      </c>
      <c r="H79" s="3">
        <v>10</v>
      </c>
      <c r="I79" s="24">
        <f>COUNTIFS(I90:I189, "=2",$B$90:$B$189, "=Ren'Py")</f>
        <v>1</v>
      </c>
      <c r="K79" s="3">
        <v>14</v>
      </c>
      <c r="L79" s="24">
        <f>COUNTIFS(L90:L189, "=2",$B$90:$B$189, "=Ren'Py")</f>
        <v>0</v>
      </c>
      <c r="M79" s="32">
        <v>18</v>
      </c>
      <c r="N79" s="24">
        <f>COUNTIFS(N90:N189, "=2",$B$90:$B$189, "=Ren'Py")</f>
        <v>9</v>
      </c>
      <c r="O79" s="32">
        <v>22</v>
      </c>
      <c r="P79" s="24">
        <f>COUNTIFS(P90:P189, "=2",$B$90:$B$189, "=Ren'Py")</f>
        <v>2</v>
      </c>
      <c r="R79" s="3">
        <v>26</v>
      </c>
      <c r="S79" s="24">
        <f>COUNTIFS(S90:S189, "=2",$B$90:$B$189, "=Ren'Py")</f>
        <v>0</v>
      </c>
      <c r="T79" s="32">
        <v>30</v>
      </c>
      <c r="U79" s="24">
        <f>COUNTIFS(U90:U189, "=2",$B$90:$B$189, "=Ren'Py")</f>
        <v>2</v>
      </c>
      <c r="V79" s="32">
        <v>34</v>
      </c>
      <c r="W79" s="24">
        <f>COUNTIFS(W90:W189, "=2",$B$90:$B$189, "=Ren'Py")</f>
        <v>0</v>
      </c>
    </row>
    <row r="80" spans="1:23" ht="20" x14ac:dyDescent="0.2">
      <c r="A80" s="3" t="s">
        <v>24</v>
      </c>
      <c r="B80" s="3">
        <v>8</v>
      </c>
      <c r="C80" s="1">
        <v>2005</v>
      </c>
      <c r="D80" s="3">
        <v>2</v>
      </c>
      <c r="E80" s="24">
        <f>COUNTIFS(E90:E189, "=2",$B$90:$B$189, "=Unity")</f>
        <v>0</v>
      </c>
      <c r="F80" s="24">
        <v>6</v>
      </c>
      <c r="G80" s="24">
        <f>COUNTIFS(G90:G189, "=2",$B$90:$B$189, "=Unity")</f>
        <v>0</v>
      </c>
      <c r="H80" s="3">
        <v>10</v>
      </c>
      <c r="I80" s="24">
        <f>COUNTIFS(I90:I189, "=2",$B$90:$B$189, "=Unity")</f>
        <v>0</v>
      </c>
      <c r="K80" s="3">
        <v>14</v>
      </c>
      <c r="L80" s="24">
        <f>COUNTIFS(L90:L189, "=2",$B$90:$B$189, "=Unity")</f>
        <v>0</v>
      </c>
      <c r="M80" s="32">
        <v>18</v>
      </c>
      <c r="N80" s="24">
        <f>COUNTIFS(N90:N189, "=2",$B$90:$B$189, "=Unity")</f>
        <v>9</v>
      </c>
      <c r="O80" s="32">
        <v>22</v>
      </c>
      <c r="P80" s="24">
        <f>COUNTIFS(P90:P189, "=2",$B$90:$B$189, "=Unity")</f>
        <v>0</v>
      </c>
      <c r="R80" s="3">
        <v>26</v>
      </c>
      <c r="S80" s="24">
        <f>COUNTIFS(S90:S189, "=2",$B$90:$B$189, "=Unity")</f>
        <v>0</v>
      </c>
      <c r="T80" s="32">
        <v>30</v>
      </c>
      <c r="U80" s="24">
        <f>COUNTIFS(U90:U189, "=2",$B$90:$B$189, "=Unity")</f>
        <v>9</v>
      </c>
      <c r="V80" s="32">
        <v>34</v>
      </c>
      <c r="W80" s="24">
        <f>COUNTIFS(W90:W189, "=2",$B$90:$B$189, "=Unity")</f>
        <v>0</v>
      </c>
    </row>
    <row r="81" spans="1:23" ht="20" x14ac:dyDescent="0.2">
      <c r="A81" s="3" t="s">
        <v>102</v>
      </c>
      <c r="B81" s="3">
        <v>2</v>
      </c>
      <c r="C81" s="1">
        <v>2006</v>
      </c>
      <c r="D81" s="3">
        <v>2</v>
      </c>
      <c r="E81" s="24">
        <f>COUNTIFS(E90:E189, "=2",$B$90:$B$189, "=Inform 7")</f>
        <v>0</v>
      </c>
      <c r="F81" s="24">
        <v>6</v>
      </c>
      <c r="G81" s="24">
        <f>COUNTIFS(G90:G189, "=2",$B$90:$B$189, "=Inform 7")</f>
        <v>0</v>
      </c>
      <c r="H81" s="3">
        <v>10</v>
      </c>
      <c r="I81" s="24">
        <f>COUNTIFS(I90:I189, "=2",$B$90:$B$189, "=Inform 7")</f>
        <v>1</v>
      </c>
      <c r="K81" s="3">
        <v>14</v>
      </c>
      <c r="L81" s="24">
        <f>COUNTIFS(L90:L189, "=2",$B$90:$B$189, "=Inform 7")</f>
        <v>0</v>
      </c>
      <c r="M81" s="32">
        <v>18</v>
      </c>
      <c r="N81" s="24">
        <f>COUNTIFS(N90:N189, "=2",$B$90:$B$189, "=Inform 7")</f>
        <v>9</v>
      </c>
      <c r="O81" s="32">
        <v>22</v>
      </c>
      <c r="P81" s="24">
        <f>COUNTIFS(P90:P189, "=2",$B$90:$B$189, "=Inform 7")</f>
        <v>0</v>
      </c>
      <c r="R81" s="3">
        <v>26</v>
      </c>
      <c r="S81" s="24">
        <f>COUNTIFS(S90:S189, "=2",$B$90:$B$189, "=Inform 7")</f>
        <v>0</v>
      </c>
      <c r="T81" s="32">
        <v>30</v>
      </c>
      <c r="U81" s="24">
        <f>COUNTIFS(U90:U189, "=2",$B$90:$B$189, "=Inform 7")</f>
        <v>0</v>
      </c>
      <c r="V81" s="32">
        <v>34</v>
      </c>
      <c r="W81" s="24">
        <f>COUNTIFS(W90:W189, "=2",$B$90:$B$189, "=Inform 7")</f>
        <v>0</v>
      </c>
    </row>
    <row r="82" spans="1:23" ht="20" x14ac:dyDescent="0.2">
      <c r="A82" s="3" t="s">
        <v>18</v>
      </c>
      <c r="B82" s="3">
        <v>0</v>
      </c>
      <c r="C82" s="1">
        <v>2009</v>
      </c>
      <c r="D82" s="3">
        <v>2</v>
      </c>
      <c r="E82" s="24">
        <f>COUNTIFS(E90:E189, "=2",$B$90:$B$189, "=Twine")</f>
        <v>0</v>
      </c>
      <c r="F82" s="24">
        <v>6</v>
      </c>
      <c r="G82" s="24">
        <f>COUNTIFS(G90:G189, "=2",$B$90:$B$189, "=Twine")</f>
        <v>0</v>
      </c>
      <c r="H82" s="3">
        <v>10</v>
      </c>
      <c r="I82" s="24">
        <f>COUNTIFS(I90:I189, "=2",$B$90:$B$189, "=Twine")</f>
        <v>0</v>
      </c>
      <c r="K82" s="3">
        <v>14</v>
      </c>
      <c r="L82" s="24">
        <f>COUNTIFS(L90:L189, "=2",$B$90:$B$189, "=Twine")</f>
        <v>0</v>
      </c>
      <c r="M82" s="32">
        <v>18</v>
      </c>
      <c r="N82" s="24">
        <f>COUNTIFS(N90:N189, "=2",$B$90:$B$189, "=Twine")</f>
        <v>9</v>
      </c>
      <c r="O82" s="32">
        <v>22</v>
      </c>
      <c r="P82" s="24">
        <f>COUNTIFS(P90:P189, "=2",$B$90:$B$189, "=Twine")</f>
        <v>0</v>
      </c>
      <c r="R82" s="3">
        <v>26</v>
      </c>
      <c r="S82" s="24">
        <f>COUNTIFS(S90:S189, "=2",$B$90:$B$189, "=Twine")</f>
        <v>0</v>
      </c>
      <c r="T82" s="32">
        <v>30</v>
      </c>
      <c r="U82" s="24">
        <f>COUNTIFS(U90:U189, "=2",$B$90:$B$189, "=Twine")</f>
        <v>9</v>
      </c>
      <c r="V82" s="32">
        <v>34</v>
      </c>
      <c r="W82" s="24">
        <f>COUNTIFS(W90:W189, "=2",$B$90:$B$189, "=Twine")</f>
        <v>0</v>
      </c>
    </row>
    <row r="83" spans="1:23" ht="20" x14ac:dyDescent="0.2">
      <c r="A83" s="3" t="s">
        <v>203</v>
      </c>
      <c r="B83" s="14">
        <v>3</v>
      </c>
      <c r="C83" s="1">
        <v>2010</v>
      </c>
      <c r="D83" s="14">
        <v>2</v>
      </c>
      <c r="E83" s="24">
        <f>COUNTIFS(E90:E189, "=2",$B$90:$B$189, "=ChoiceScript")</f>
        <v>0</v>
      </c>
      <c r="F83" s="24">
        <v>6</v>
      </c>
      <c r="G83" s="24">
        <f>COUNTIFS(G90:G189, "=2",$B$90:$B$189, "=ChoiceScript")</f>
        <v>0</v>
      </c>
      <c r="H83" s="3">
        <v>10</v>
      </c>
      <c r="I83" s="24">
        <f>COUNTIFS(I90:I189, "=2",$B$90:$B$189, "=ChoiceScript")</f>
        <v>0</v>
      </c>
      <c r="J83" s="17"/>
      <c r="K83" s="3">
        <v>14</v>
      </c>
      <c r="L83" s="24">
        <f>COUNTIFS(L90:L189, "=2",$B$90:$B$189, "=ChoiceScript")</f>
        <v>0</v>
      </c>
      <c r="M83" s="32">
        <v>18</v>
      </c>
      <c r="N83" s="24">
        <f>COUNTIFS(N90:N189, "=2",$B$90:$B$189, "=ChoiceScript")</f>
        <v>9</v>
      </c>
      <c r="O83" s="32">
        <v>22</v>
      </c>
      <c r="P83" s="24">
        <f>COUNTIFS(P90:P189, "=2",$B$90:$B$189, "=ChoiceScript")</f>
        <v>0</v>
      </c>
      <c r="R83" s="3">
        <v>26</v>
      </c>
      <c r="S83" s="24">
        <f>COUNTIFS(S90:S189, "=2",$B$90:$B$189, "=ChoiceScript")</f>
        <v>0</v>
      </c>
      <c r="T83" s="32">
        <v>30</v>
      </c>
      <c r="U83" s="24">
        <f>COUNTIFS(U90:U189, "=2",$B$90:$B$189, "=ChoiceScript")</f>
        <v>9</v>
      </c>
      <c r="V83" s="32">
        <v>34</v>
      </c>
      <c r="W83" s="24">
        <f>COUNTIFS(W90:W189, "=2",$B$90:$B$189, "=ChoiceScript")</f>
        <v>0</v>
      </c>
    </row>
    <row r="84" spans="1:23" ht="20" x14ac:dyDescent="0.2">
      <c r="A84" s="3" t="s">
        <v>103</v>
      </c>
      <c r="B84" s="3">
        <v>6</v>
      </c>
      <c r="C84" s="1">
        <v>2012</v>
      </c>
      <c r="D84" s="3">
        <v>2</v>
      </c>
      <c r="E84" s="24">
        <f>COUNTIFS(E90:E189, "=2",$B$90:$B$189, "=inklewriter")</f>
        <v>0</v>
      </c>
      <c r="F84" s="24">
        <v>6</v>
      </c>
      <c r="G84" s="24">
        <f>COUNTIFS(G90:G189, "=2",$B$90:$B$189, "=inklewriter")</f>
        <v>0</v>
      </c>
      <c r="H84" s="3">
        <v>10</v>
      </c>
      <c r="I84" s="24">
        <f>COUNTIFS(I90:I189, "=2",$B$90:$B$189, "=inklewriter")</f>
        <v>2</v>
      </c>
      <c r="K84" s="3">
        <v>14</v>
      </c>
      <c r="L84" s="24">
        <f>COUNTIFS(L90:L189, "=2",$B$90:$B$189, "=inklewriter")</f>
        <v>0</v>
      </c>
      <c r="M84" s="32">
        <v>18</v>
      </c>
      <c r="N84" s="24">
        <f>COUNTIFS(N90:N189, "=2",$B$90:$B$189, "=inklewriter")</f>
        <v>9</v>
      </c>
      <c r="O84" s="32">
        <v>22</v>
      </c>
      <c r="P84" s="24">
        <f>COUNTIFS(P90:P189, "=2",$B$90:$B$189, "=inklewriter")</f>
        <v>2</v>
      </c>
      <c r="R84" s="3">
        <v>26</v>
      </c>
      <c r="S84" s="24">
        <f>COUNTIFS(S90:S189, "=2",$B$90:$B$189, "=inklewriter")</f>
        <v>0</v>
      </c>
      <c r="T84" s="32">
        <v>30</v>
      </c>
      <c r="U84" s="24">
        <f>COUNTIFS(U90:U189, "=2",$B$90:$B$189, "=inklewriter")</f>
        <v>2</v>
      </c>
      <c r="V84" s="32">
        <v>34</v>
      </c>
      <c r="W84" s="24">
        <f>COUNTIFS(W90:W189, "=2",$B$90:$B$189, "=inklewriter")</f>
        <v>0</v>
      </c>
    </row>
    <row r="85" spans="1:23" ht="20" x14ac:dyDescent="0.2">
      <c r="A85" s="3" t="s">
        <v>104</v>
      </c>
      <c r="B85" s="3">
        <v>7</v>
      </c>
      <c r="C85" s="1">
        <v>2012</v>
      </c>
      <c r="D85" s="3">
        <v>2</v>
      </c>
      <c r="E85" s="24">
        <f>COUNTIFS(E90:E189, "=2",$B$90:$B$189, "=Storynexus")</f>
        <v>0</v>
      </c>
      <c r="F85" s="24">
        <v>6</v>
      </c>
      <c r="G85" s="24">
        <f>COUNTIFS(G90:G189, "=2",$B$90:$B$189, "=Storynexus")</f>
        <v>0</v>
      </c>
      <c r="H85" s="3">
        <v>10</v>
      </c>
      <c r="I85" s="24">
        <f>COUNTIFS(I90:I189, "=2",$B$90:$B$189, "=Storynexus")</f>
        <v>2</v>
      </c>
      <c r="K85" s="3">
        <v>14</v>
      </c>
      <c r="L85" s="24">
        <f>COUNTIFS(L90:L189, "=2",$B$90:$B$189, "=Storynexus")</f>
        <v>1</v>
      </c>
      <c r="M85" s="32">
        <v>18</v>
      </c>
      <c r="N85" s="24">
        <f>COUNTIFS(N90:N189, "=2",$B$90:$B$189, "=Storynexus")</f>
        <v>9</v>
      </c>
      <c r="O85" s="32">
        <v>22</v>
      </c>
      <c r="P85" s="24">
        <f>COUNTIFS(P90:P189, "=2",$B$90:$B$189, "=Storynexus")</f>
        <v>2</v>
      </c>
      <c r="R85" s="3">
        <v>26</v>
      </c>
      <c r="S85" s="24">
        <f>COUNTIFS(S90:S189, "=2",$B$90:$B$189, "=Storynexus")</f>
        <v>0</v>
      </c>
      <c r="T85" s="32">
        <v>30</v>
      </c>
      <c r="U85" s="24">
        <f>COUNTIFS(U90:U189, "=2",$B$90:$B$189, "=Storynexus")</f>
        <v>2</v>
      </c>
      <c r="V85" s="32">
        <v>34</v>
      </c>
      <c r="W85" s="24">
        <f>COUNTIFS(W90:W189, "=2",$B$90:$B$189, "=Storynexus")</f>
        <v>1</v>
      </c>
    </row>
    <row r="86" spans="1:23" ht="20" x14ac:dyDescent="0.2">
      <c r="A86" s="3" t="s">
        <v>25</v>
      </c>
      <c r="B86" s="3">
        <v>10</v>
      </c>
      <c r="D86" s="3">
        <v>2</v>
      </c>
      <c r="E86" s="24">
        <f>COUNTIFS(E90:E189, "=2",$B$90:$B$189, "=Others")</f>
        <v>4</v>
      </c>
      <c r="F86" s="24">
        <v>6</v>
      </c>
      <c r="G86" s="24">
        <f>COUNTIFS(G90:G189, "=2",$B$90:$B$189, "=Others")</f>
        <v>6</v>
      </c>
      <c r="H86" s="3">
        <v>10</v>
      </c>
      <c r="I86" s="24">
        <f>COUNTIFS(I90:I189, "=2",$B$90:$B$189, "=Others")</f>
        <v>3</v>
      </c>
      <c r="K86" s="3">
        <v>14</v>
      </c>
      <c r="L86" s="24">
        <f>COUNTIFS(L90:L189, "=2",$B$90:$B$189, "=Others")</f>
        <v>1</v>
      </c>
      <c r="M86" s="32">
        <v>18</v>
      </c>
      <c r="N86" s="24">
        <f>COUNTIFS(N90:N189, "=2",$B$90:$B$189, "=Others")</f>
        <v>7</v>
      </c>
      <c r="O86" s="32">
        <v>22</v>
      </c>
      <c r="P86" s="24">
        <f>COUNTIFS(P90:P189, "=2",$B$90:$B$189, "=Others")</f>
        <v>4</v>
      </c>
      <c r="R86" s="3">
        <v>26</v>
      </c>
      <c r="S86" s="24">
        <f>COUNTIFS(S90:S189, "=2",$B$90:$B$189, "=Others")</f>
        <v>1</v>
      </c>
      <c r="T86" s="32">
        <v>30</v>
      </c>
      <c r="U86" s="24">
        <f>COUNTIFS(U90:U189, "=2",$B$90:$B$189, "=Others")</f>
        <v>2</v>
      </c>
      <c r="V86" s="32">
        <v>34</v>
      </c>
      <c r="W86" s="24">
        <f>COUNTIFS(W90:W189, "=2",$B$90:$B$189, "=Others")</f>
        <v>3</v>
      </c>
    </row>
    <row r="87" spans="1:23" ht="20" x14ac:dyDescent="0.2">
      <c r="B87" s="19" t="s">
        <v>27</v>
      </c>
      <c r="D87" s="22"/>
      <c r="E87" s="22">
        <f>SUM(E54:E86)</f>
        <v>100</v>
      </c>
      <c r="F87" s="22"/>
      <c r="G87" s="22">
        <f>SUM(G54:G86)</f>
        <v>100</v>
      </c>
      <c r="H87" s="4"/>
      <c r="I87" s="22">
        <f>SUM(I54:I86)</f>
        <v>100</v>
      </c>
      <c r="K87" s="4"/>
      <c r="L87" s="22">
        <f>SUM(L54:L86)</f>
        <v>100</v>
      </c>
      <c r="M87" s="30"/>
      <c r="N87" s="22">
        <f>SUM(N54:N86)</f>
        <v>100</v>
      </c>
      <c r="O87" s="30"/>
      <c r="P87" s="22">
        <f>SUM(P54:P86)</f>
        <v>100</v>
      </c>
      <c r="R87" s="4"/>
      <c r="S87" s="22">
        <f>SUM(S54:S86)</f>
        <v>100</v>
      </c>
      <c r="T87" s="30"/>
      <c r="U87" s="22">
        <f>SUM(U54:U86)</f>
        <v>100</v>
      </c>
      <c r="V87" s="30"/>
      <c r="W87" s="22">
        <f>SUM(W54:W86)</f>
        <v>100</v>
      </c>
    </row>
    <row r="89" spans="1:23" ht="40" x14ac:dyDescent="0.2">
      <c r="A89" s="10" t="s">
        <v>205</v>
      </c>
      <c r="B89" s="10" t="s">
        <v>29</v>
      </c>
      <c r="E89" s="25" t="s">
        <v>86</v>
      </c>
      <c r="F89" s="25"/>
      <c r="G89" s="6" t="s">
        <v>87</v>
      </c>
      <c r="H89" s="6"/>
      <c r="I89" s="6" t="s">
        <v>88</v>
      </c>
      <c r="J89" s="12"/>
      <c r="K89" s="6"/>
      <c r="L89" s="33" t="s">
        <v>26</v>
      </c>
      <c r="M89" s="33"/>
      <c r="N89" s="33" t="s">
        <v>201</v>
      </c>
      <c r="O89" s="33"/>
      <c r="P89" s="6" t="s">
        <v>90</v>
      </c>
      <c r="R89" s="6"/>
      <c r="S89" s="33" t="s">
        <v>202</v>
      </c>
      <c r="T89" s="33"/>
      <c r="U89" s="6" t="s">
        <v>41</v>
      </c>
      <c r="V89" s="33"/>
      <c r="W89" s="6" t="s">
        <v>43</v>
      </c>
    </row>
    <row r="90" spans="1:23" ht="34" x14ac:dyDescent="0.2">
      <c r="A90" s="3" t="s">
        <v>115</v>
      </c>
      <c r="B90" s="7" t="s">
        <v>18</v>
      </c>
      <c r="C90" s="51" t="s">
        <v>105</v>
      </c>
      <c r="E90" s="26">
        <v>0</v>
      </c>
      <c r="F90" s="26"/>
      <c r="G90" s="7">
        <v>0</v>
      </c>
      <c r="H90" s="7"/>
      <c r="I90" s="7">
        <v>1</v>
      </c>
      <c r="J90" s="13"/>
      <c r="K90" s="7"/>
      <c r="L90" s="7">
        <v>1</v>
      </c>
      <c r="M90" s="34"/>
      <c r="N90" s="7">
        <v>2</v>
      </c>
      <c r="O90" s="34"/>
      <c r="P90" s="7">
        <v>1</v>
      </c>
      <c r="R90" s="7"/>
      <c r="S90" s="34">
        <v>0</v>
      </c>
      <c r="T90" s="34"/>
      <c r="U90" s="7">
        <v>2</v>
      </c>
      <c r="V90" s="34"/>
      <c r="W90" s="7">
        <v>1</v>
      </c>
    </row>
    <row r="91" spans="1:23" ht="20" x14ac:dyDescent="0.2">
      <c r="A91" s="3" t="s">
        <v>116</v>
      </c>
      <c r="B91" s="7" t="s">
        <v>18</v>
      </c>
      <c r="E91" s="26">
        <v>0</v>
      </c>
      <c r="F91" s="26"/>
      <c r="G91" s="7">
        <v>0</v>
      </c>
      <c r="H91" s="7"/>
      <c r="I91" s="7">
        <v>1</v>
      </c>
      <c r="J91" s="13"/>
      <c r="K91" s="7"/>
      <c r="L91" s="7">
        <v>0</v>
      </c>
      <c r="M91" s="34"/>
      <c r="N91" s="7">
        <v>2</v>
      </c>
      <c r="O91" s="34"/>
      <c r="P91" s="7">
        <v>0</v>
      </c>
      <c r="R91" s="7"/>
      <c r="S91" s="34">
        <v>0</v>
      </c>
      <c r="T91" s="34"/>
      <c r="U91" s="7">
        <v>2</v>
      </c>
      <c r="V91" s="34"/>
      <c r="W91" s="7">
        <v>0</v>
      </c>
    </row>
    <row r="92" spans="1:23" ht="20" x14ac:dyDescent="0.2">
      <c r="A92" s="3" t="s">
        <v>117</v>
      </c>
      <c r="B92" s="7" t="s">
        <v>18</v>
      </c>
      <c r="E92" s="26">
        <v>0</v>
      </c>
      <c r="F92" s="26"/>
      <c r="G92" s="7">
        <v>0</v>
      </c>
      <c r="H92" s="7"/>
      <c r="I92" s="7">
        <v>1</v>
      </c>
      <c r="J92" s="13"/>
      <c r="K92" s="7"/>
      <c r="L92" s="7">
        <v>1</v>
      </c>
      <c r="M92" s="34"/>
      <c r="N92" s="7">
        <v>2</v>
      </c>
      <c r="O92" s="34"/>
      <c r="P92" s="7">
        <v>0</v>
      </c>
      <c r="R92" s="7"/>
      <c r="S92" s="34">
        <v>0</v>
      </c>
      <c r="T92" s="34"/>
      <c r="U92" s="7">
        <v>2</v>
      </c>
      <c r="V92" s="34"/>
      <c r="W92" s="7">
        <v>0</v>
      </c>
    </row>
    <row r="93" spans="1:23" ht="40" x14ac:dyDescent="0.2">
      <c r="A93" s="3" t="s">
        <v>118</v>
      </c>
      <c r="B93" s="7" t="s">
        <v>18</v>
      </c>
      <c r="E93" s="26">
        <v>0</v>
      </c>
      <c r="F93" s="26"/>
      <c r="G93" s="7">
        <v>0</v>
      </c>
      <c r="H93" s="7"/>
      <c r="I93" s="7">
        <v>1</v>
      </c>
      <c r="J93" s="13"/>
      <c r="K93" s="7"/>
      <c r="L93" s="7">
        <v>1</v>
      </c>
      <c r="M93" s="34"/>
      <c r="N93" s="7">
        <v>2</v>
      </c>
      <c r="O93" s="34"/>
      <c r="P93" s="7">
        <v>0</v>
      </c>
      <c r="R93" s="7"/>
      <c r="S93" s="34">
        <v>0</v>
      </c>
      <c r="T93" s="34"/>
      <c r="U93" s="7">
        <v>2</v>
      </c>
      <c r="V93" s="34"/>
      <c r="W93" s="7">
        <v>0</v>
      </c>
    </row>
    <row r="94" spans="1:23" ht="20" x14ac:dyDescent="0.2">
      <c r="A94" s="3" t="s">
        <v>119</v>
      </c>
      <c r="B94" s="7" t="s">
        <v>18</v>
      </c>
      <c r="E94" s="26">
        <v>0</v>
      </c>
      <c r="F94" s="26"/>
      <c r="G94" s="7">
        <v>0</v>
      </c>
      <c r="H94" s="7"/>
      <c r="I94" s="7">
        <v>1</v>
      </c>
      <c r="J94" s="13"/>
      <c r="K94" s="7"/>
      <c r="L94" s="7">
        <v>1</v>
      </c>
      <c r="M94" s="34"/>
      <c r="N94" s="7">
        <v>2</v>
      </c>
      <c r="O94" s="34"/>
      <c r="P94" s="7">
        <v>0</v>
      </c>
      <c r="R94" s="7"/>
      <c r="S94" s="34">
        <v>0</v>
      </c>
      <c r="T94" s="34"/>
      <c r="U94" s="7">
        <v>2</v>
      </c>
      <c r="V94" s="34"/>
      <c r="W94" s="7">
        <v>0</v>
      </c>
    </row>
    <row r="95" spans="1:23" ht="20" x14ac:dyDescent="0.2">
      <c r="A95" s="3" t="s">
        <v>210</v>
      </c>
      <c r="B95" s="7" t="s">
        <v>18</v>
      </c>
      <c r="E95" s="26">
        <v>0</v>
      </c>
      <c r="F95" s="26"/>
      <c r="G95" s="7">
        <v>0</v>
      </c>
      <c r="H95" s="7"/>
      <c r="I95" s="7">
        <v>1</v>
      </c>
      <c r="J95" s="13"/>
      <c r="K95" s="7"/>
      <c r="L95" s="7">
        <v>1</v>
      </c>
      <c r="M95" s="34"/>
      <c r="N95" s="7">
        <v>2</v>
      </c>
      <c r="O95" s="34"/>
      <c r="P95" s="7">
        <v>0</v>
      </c>
      <c r="R95" s="7"/>
      <c r="S95" s="34">
        <v>0</v>
      </c>
      <c r="T95" s="34"/>
      <c r="U95" s="7">
        <v>2</v>
      </c>
      <c r="V95" s="34"/>
      <c r="W95" s="7">
        <v>0</v>
      </c>
    </row>
    <row r="96" spans="1:23" ht="20" x14ac:dyDescent="0.2">
      <c r="A96" s="3" t="s">
        <v>120</v>
      </c>
      <c r="B96" s="7" t="s">
        <v>18</v>
      </c>
      <c r="E96" s="26">
        <v>0</v>
      </c>
      <c r="F96" s="26"/>
      <c r="G96" s="7">
        <v>0</v>
      </c>
      <c r="H96" s="7"/>
      <c r="I96" s="7">
        <v>1</v>
      </c>
      <c r="J96" s="13"/>
      <c r="K96" s="7"/>
      <c r="L96" s="7">
        <v>1</v>
      </c>
      <c r="M96" s="34"/>
      <c r="N96" s="7">
        <v>2</v>
      </c>
      <c r="O96" s="34"/>
      <c r="P96" s="7">
        <v>0</v>
      </c>
      <c r="R96" s="7"/>
      <c r="S96" s="34">
        <v>0</v>
      </c>
      <c r="T96" s="34"/>
      <c r="U96" s="7">
        <v>2</v>
      </c>
      <c r="V96" s="34"/>
      <c r="W96" s="7">
        <v>0</v>
      </c>
    </row>
    <row r="97" spans="1:23" ht="20" x14ac:dyDescent="0.2">
      <c r="A97" s="3" t="s">
        <v>211</v>
      </c>
      <c r="B97" s="7" t="s">
        <v>18</v>
      </c>
      <c r="E97" s="26">
        <v>0</v>
      </c>
      <c r="F97" s="26"/>
      <c r="G97" s="7">
        <v>0</v>
      </c>
      <c r="H97" s="7"/>
      <c r="I97" s="7">
        <v>1</v>
      </c>
      <c r="J97" s="13"/>
      <c r="K97" s="7"/>
      <c r="L97" s="7">
        <v>1</v>
      </c>
      <c r="M97" s="34"/>
      <c r="N97" s="7">
        <v>2</v>
      </c>
      <c r="O97" s="34"/>
      <c r="P97" s="7">
        <v>0</v>
      </c>
      <c r="R97" s="7"/>
      <c r="S97" s="34">
        <v>0</v>
      </c>
      <c r="T97" s="34"/>
      <c r="U97" s="7">
        <v>2</v>
      </c>
      <c r="V97" s="34"/>
      <c r="W97" s="7">
        <v>0</v>
      </c>
    </row>
    <row r="98" spans="1:23" ht="20" x14ac:dyDescent="0.2">
      <c r="A98" s="3" t="s">
        <v>121</v>
      </c>
      <c r="B98" s="7" t="s">
        <v>18</v>
      </c>
      <c r="E98" s="26">
        <v>0</v>
      </c>
      <c r="F98" s="26"/>
      <c r="G98" s="7">
        <v>0</v>
      </c>
      <c r="H98" s="7"/>
      <c r="I98" s="7">
        <v>1</v>
      </c>
      <c r="J98" s="13"/>
      <c r="K98" s="7"/>
      <c r="L98" s="7">
        <v>1</v>
      </c>
      <c r="M98" s="34"/>
      <c r="N98" s="7">
        <v>2</v>
      </c>
      <c r="O98" s="34"/>
      <c r="P98" s="7">
        <v>0</v>
      </c>
      <c r="R98" s="7"/>
      <c r="S98" s="34">
        <v>0</v>
      </c>
      <c r="T98" s="34"/>
      <c r="U98" s="7">
        <v>2</v>
      </c>
      <c r="V98" s="34"/>
      <c r="W98" s="7">
        <v>0</v>
      </c>
    </row>
    <row r="99" spans="1:23" ht="34" x14ac:dyDescent="0.2">
      <c r="A99" s="4" t="s">
        <v>122</v>
      </c>
      <c r="B99" s="8" t="s">
        <v>19</v>
      </c>
      <c r="C99" s="51" t="s">
        <v>106</v>
      </c>
      <c r="E99" s="27">
        <v>1</v>
      </c>
      <c r="F99" s="27"/>
      <c r="G99" s="8">
        <v>0</v>
      </c>
      <c r="H99" s="8"/>
      <c r="I99" s="8">
        <v>1</v>
      </c>
      <c r="J99" s="13"/>
      <c r="K99" s="8"/>
      <c r="L99" s="8">
        <v>1</v>
      </c>
      <c r="M99" s="35"/>
      <c r="N99" s="8">
        <v>2</v>
      </c>
      <c r="O99" s="35"/>
      <c r="P99" s="8">
        <v>0</v>
      </c>
      <c r="R99" s="8"/>
      <c r="S99" s="35">
        <v>0</v>
      </c>
      <c r="T99" s="35"/>
      <c r="U99" s="8">
        <v>0</v>
      </c>
      <c r="V99" s="35"/>
      <c r="W99" s="8">
        <v>0</v>
      </c>
    </row>
    <row r="100" spans="1:23" ht="20" x14ac:dyDescent="0.2">
      <c r="A100" s="4" t="s">
        <v>4</v>
      </c>
      <c r="B100" s="8" t="s">
        <v>19</v>
      </c>
      <c r="E100" s="27">
        <v>1</v>
      </c>
      <c r="F100" s="27"/>
      <c r="G100" s="8">
        <v>0</v>
      </c>
      <c r="H100" s="8"/>
      <c r="I100" s="8">
        <v>1</v>
      </c>
      <c r="J100" s="13"/>
      <c r="K100" s="8"/>
      <c r="L100" s="8">
        <v>1</v>
      </c>
      <c r="M100" s="35"/>
      <c r="N100" s="8">
        <v>2</v>
      </c>
      <c r="O100" s="35"/>
      <c r="P100" s="8">
        <v>0</v>
      </c>
      <c r="R100" s="8"/>
      <c r="S100" s="35">
        <v>0</v>
      </c>
      <c r="T100" s="35"/>
      <c r="U100" s="8">
        <v>0</v>
      </c>
      <c r="V100" s="35"/>
      <c r="W100" s="8">
        <v>1</v>
      </c>
    </row>
    <row r="101" spans="1:23" ht="20" x14ac:dyDescent="0.2">
      <c r="A101" s="4" t="s">
        <v>123</v>
      </c>
      <c r="B101" s="8" t="s">
        <v>19</v>
      </c>
      <c r="E101" s="27">
        <v>1</v>
      </c>
      <c r="F101" s="27"/>
      <c r="G101" s="8">
        <v>0</v>
      </c>
      <c r="H101" s="8"/>
      <c r="I101" s="8">
        <v>1</v>
      </c>
      <c r="J101" s="13"/>
      <c r="K101" s="8"/>
      <c r="L101" s="8">
        <v>1</v>
      </c>
      <c r="M101" s="35"/>
      <c r="N101" s="8">
        <v>2</v>
      </c>
      <c r="O101" s="35"/>
      <c r="P101" s="8">
        <v>0</v>
      </c>
      <c r="R101" s="8"/>
      <c r="S101" s="35">
        <v>0</v>
      </c>
      <c r="T101" s="35"/>
      <c r="U101" s="8">
        <v>0</v>
      </c>
      <c r="V101" s="35"/>
      <c r="W101" s="8">
        <v>1</v>
      </c>
    </row>
    <row r="102" spans="1:23" ht="40" x14ac:dyDescent="0.2">
      <c r="A102" s="4" t="s">
        <v>124</v>
      </c>
      <c r="B102" s="8" t="s">
        <v>19</v>
      </c>
      <c r="E102" s="27">
        <v>1</v>
      </c>
      <c r="F102" s="27"/>
      <c r="G102" s="8">
        <v>1</v>
      </c>
      <c r="H102" s="8"/>
      <c r="I102" s="8">
        <v>2</v>
      </c>
      <c r="J102" s="13"/>
      <c r="K102" s="8"/>
      <c r="L102" s="8">
        <v>1</v>
      </c>
      <c r="M102" s="35"/>
      <c r="N102" s="8">
        <v>2</v>
      </c>
      <c r="O102" s="35"/>
      <c r="P102" s="8">
        <v>1</v>
      </c>
      <c r="R102" s="8"/>
      <c r="S102" s="35">
        <v>0</v>
      </c>
      <c r="T102" s="35"/>
      <c r="U102" s="8">
        <v>0</v>
      </c>
      <c r="V102" s="35"/>
      <c r="W102" s="8">
        <v>0</v>
      </c>
    </row>
    <row r="103" spans="1:23" ht="20" x14ac:dyDescent="0.2">
      <c r="A103" s="4" t="s">
        <v>125</v>
      </c>
      <c r="B103" s="8" t="s">
        <v>19</v>
      </c>
      <c r="E103" s="27">
        <v>1</v>
      </c>
      <c r="F103" s="27"/>
      <c r="G103" s="8">
        <v>1</v>
      </c>
      <c r="H103" s="8"/>
      <c r="I103" s="8">
        <v>1</v>
      </c>
      <c r="J103" s="13"/>
      <c r="K103" s="8"/>
      <c r="L103" s="8">
        <v>1</v>
      </c>
      <c r="M103" s="35"/>
      <c r="N103" s="8">
        <v>2</v>
      </c>
      <c r="O103" s="35"/>
      <c r="P103" s="8">
        <v>0</v>
      </c>
      <c r="R103" s="8"/>
      <c r="S103" s="35">
        <v>0</v>
      </c>
      <c r="T103" s="35"/>
      <c r="U103" s="8">
        <v>0</v>
      </c>
      <c r="V103" s="35"/>
      <c r="W103" s="8">
        <v>0</v>
      </c>
    </row>
    <row r="104" spans="1:23" ht="20" x14ac:dyDescent="0.2">
      <c r="A104" s="4" t="s">
        <v>126</v>
      </c>
      <c r="B104" s="8" t="s">
        <v>19</v>
      </c>
      <c r="E104" s="27">
        <v>1</v>
      </c>
      <c r="F104" s="27"/>
      <c r="G104" s="8">
        <v>1</v>
      </c>
      <c r="H104" s="8"/>
      <c r="I104" s="8">
        <v>1</v>
      </c>
      <c r="J104" s="13"/>
      <c r="K104" s="8"/>
      <c r="L104" s="8">
        <v>1</v>
      </c>
      <c r="M104" s="35"/>
      <c r="N104" s="8">
        <v>2</v>
      </c>
      <c r="O104" s="35"/>
      <c r="P104" s="8">
        <v>0</v>
      </c>
      <c r="R104" s="8"/>
      <c r="S104" s="35">
        <v>0</v>
      </c>
      <c r="T104" s="35"/>
      <c r="U104" s="8">
        <v>0</v>
      </c>
      <c r="V104" s="35"/>
      <c r="W104" s="8">
        <v>0</v>
      </c>
    </row>
    <row r="105" spans="1:23" ht="20" x14ac:dyDescent="0.2">
      <c r="A105" s="4" t="s">
        <v>127</v>
      </c>
      <c r="B105" s="8" t="s">
        <v>19</v>
      </c>
      <c r="E105" s="27">
        <v>1</v>
      </c>
      <c r="F105" s="27"/>
      <c r="G105" s="8">
        <v>1</v>
      </c>
      <c r="H105" s="8"/>
      <c r="I105" s="8">
        <v>1</v>
      </c>
      <c r="J105" s="13"/>
      <c r="K105" s="8"/>
      <c r="L105" s="8">
        <v>1</v>
      </c>
      <c r="M105" s="35"/>
      <c r="N105" s="8">
        <v>2</v>
      </c>
      <c r="O105" s="35"/>
      <c r="P105" s="8">
        <v>2</v>
      </c>
      <c r="R105" s="8"/>
      <c r="S105" s="35">
        <v>0</v>
      </c>
      <c r="T105" s="35"/>
      <c r="U105" s="8">
        <v>2</v>
      </c>
      <c r="V105" s="35"/>
      <c r="W105" s="8">
        <v>1</v>
      </c>
    </row>
    <row r="106" spans="1:23" ht="20" x14ac:dyDescent="0.2">
      <c r="A106" s="4" t="s">
        <v>208</v>
      </c>
      <c r="B106" s="8" t="s">
        <v>19</v>
      </c>
      <c r="E106" s="27">
        <v>1</v>
      </c>
      <c r="F106" s="27"/>
      <c r="G106" s="8">
        <v>1</v>
      </c>
      <c r="H106" s="8"/>
      <c r="I106" s="8">
        <v>1</v>
      </c>
      <c r="J106" s="13"/>
      <c r="K106" s="8"/>
      <c r="L106" s="8">
        <v>1</v>
      </c>
      <c r="M106" s="35"/>
      <c r="N106" s="8">
        <v>2</v>
      </c>
      <c r="O106" s="35"/>
      <c r="P106" s="8">
        <v>0</v>
      </c>
      <c r="R106" s="8"/>
      <c r="S106" s="35">
        <v>0</v>
      </c>
      <c r="T106" s="35"/>
      <c r="U106" s="8">
        <v>0</v>
      </c>
      <c r="V106" s="35"/>
      <c r="W106" s="8">
        <v>0</v>
      </c>
    </row>
    <row r="107" spans="1:23" ht="20" x14ac:dyDescent="0.2">
      <c r="A107" s="4" t="s">
        <v>128</v>
      </c>
      <c r="B107" s="8" t="s">
        <v>19</v>
      </c>
      <c r="E107" s="27">
        <v>1</v>
      </c>
      <c r="F107" s="27"/>
      <c r="G107" s="8">
        <v>1</v>
      </c>
      <c r="H107" s="8"/>
      <c r="I107" s="8">
        <v>1</v>
      </c>
      <c r="J107" s="13"/>
      <c r="K107" s="8"/>
      <c r="L107" s="8">
        <v>1</v>
      </c>
      <c r="M107" s="35"/>
      <c r="N107" s="8">
        <v>2</v>
      </c>
      <c r="O107" s="35"/>
      <c r="P107" s="8">
        <v>2</v>
      </c>
      <c r="R107" s="8"/>
      <c r="S107" s="35">
        <v>0</v>
      </c>
      <c r="T107" s="35"/>
      <c r="U107" s="8">
        <v>2</v>
      </c>
      <c r="V107" s="35"/>
      <c r="W107" s="8">
        <v>1</v>
      </c>
    </row>
    <row r="108" spans="1:23" ht="34" x14ac:dyDescent="0.2">
      <c r="A108" s="5" t="s">
        <v>6</v>
      </c>
      <c r="B108" s="9" t="s">
        <v>20</v>
      </c>
      <c r="C108" s="51" t="s">
        <v>107</v>
      </c>
      <c r="E108" s="28">
        <v>0</v>
      </c>
      <c r="F108" s="28"/>
      <c r="G108" s="9">
        <v>0</v>
      </c>
      <c r="H108" s="9"/>
      <c r="I108" s="9">
        <v>2</v>
      </c>
      <c r="J108" s="13"/>
      <c r="K108" s="9"/>
      <c r="L108" s="9">
        <v>1</v>
      </c>
      <c r="M108" s="36"/>
      <c r="N108" s="9">
        <v>2</v>
      </c>
      <c r="O108" s="36"/>
      <c r="P108" s="9">
        <v>0</v>
      </c>
      <c r="R108" s="9"/>
      <c r="S108" s="36">
        <v>0</v>
      </c>
      <c r="T108" s="36"/>
      <c r="U108" s="9">
        <v>0</v>
      </c>
      <c r="V108" s="36"/>
      <c r="W108" s="9">
        <v>0</v>
      </c>
    </row>
    <row r="109" spans="1:23" ht="20" x14ac:dyDescent="0.2">
      <c r="A109" s="5" t="s">
        <v>5</v>
      </c>
      <c r="B109" s="9" t="s">
        <v>20</v>
      </c>
      <c r="E109" s="28">
        <v>0</v>
      </c>
      <c r="F109" s="28"/>
      <c r="G109" s="9">
        <v>0</v>
      </c>
      <c r="H109" s="9"/>
      <c r="I109" s="9">
        <v>1</v>
      </c>
      <c r="J109" s="13"/>
      <c r="K109" s="9"/>
      <c r="L109" s="9">
        <v>1</v>
      </c>
      <c r="M109" s="36"/>
      <c r="N109" s="9">
        <v>2</v>
      </c>
      <c r="O109" s="36"/>
      <c r="P109" s="9">
        <v>0</v>
      </c>
      <c r="R109" s="9"/>
      <c r="S109" s="36">
        <v>0</v>
      </c>
      <c r="T109" s="36"/>
      <c r="U109" s="9">
        <v>0</v>
      </c>
      <c r="V109" s="36"/>
      <c r="W109" s="9">
        <v>1</v>
      </c>
    </row>
    <row r="110" spans="1:23" ht="20" x14ac:dyDescent="0.2">
      <c r="A110" s="5" t="s">
        <v>129</v>
      </c>
      <c r="B110" s="9" t="s">
        <v>20</v>
      </c>
      <c r="E110" s="28">
        <v>0</v>
      </c>
      <c r="F110" s="28"/>
      <c r="G110" s="9">
        <v>0</v>
      </c>
      <c r="H110" s="9"/>
      <c r="I110" s="9">
        <v>1</v>
      </c>
      <c r="J110" s="13"/>
      <c r="K110" s="9"/>
      <c r="L110" s="9">
        <v>1</v>
      </c>
      <c r="M110" s="36"/>
      <c r="N110" s="9">
        <v>2</v>
      </c>
      <c r="O110" s="36"/>
      <c r="P110" s="9">
        <v>0</v>
      </c>
      <c r="R110" s="9"/>
      <c r="S110" s="36">
        <v>0</v>
      </c>
      <c r="T110" s="36"/>
      <c r="U110" s="9">
        <v>0</v>
      </c>
      <c r="V110" s="36"/>
      <c r="W110" s="9">
        <v>0</v>
      </c>
    </row>
    <row r="111" spans="1:23" ht="20" x14ac:dyDescent="0.2">
      <c r="A111" s="5" t="s">
        <v>7</v>
      </c>
      <c r="B111" s="9" t="s">
        <v>20</v>
      </c>
      <c r="E111" s="28">
        <v>0</v>
      </c>
      <c r="F111" s="28"/>
      <c r="G111" s="9">
        <v>0</v>
      </c>
      <c r="H111" s="9"/>
      <c r="I111" s="9">
        <v>1</v>
      </c>
      <c r="J111" s="13"/>
      <c r="K111" s="9"/>
      <c r="L111" s="9">
        <v>1</v>
      </c>
      <c r="M111" s="36"/>
      <c r="N111" s="9">
        <v>2</v>
      </c>
      <c r="O111" s="36"/>
      <c r="P111" s="9">
        <v>1</v>
      </c>
      <c r="R111" s="9"/>
      <c r="S111" s="36">
        <v>0</v>
      </c>
      <c r="T111" s="36"/>
      <c r="U111" s="9">
        <v>0</v>
      </c>
      <c r="V111" s="36"/>
      <c r="W111" s="9">
        <v>1</v>
      </c>
    </row>
    <row r="112" spans="1:23" ht="20" x14ac:dyDescent="0.2">
      <c r="A112" s="5" t="s">
        <v>130</v>
      </c>
      <c r="B112" s="9" t="s">
        <v>20</v>
      </c>
      <c r="E112" s="28">
        <v>0</v>
      </c>
      <c r="F112" s="28"/>
      <c r="G112" s="9">
        <v>0</v>
      </c>
      <c r="H112" s="9"/>
      <c r="I112" s="9">
        <v>1</v>
      </c>
      <c r="J112" s="13"/>
      <c r="K112" s="9"/>
      <c r="L112" s="9">
        <v>0</v>
      </c>
      <c r="M112" s="36"/>
      <c r="N112" s="9">
        <v>2</v>
      </c>
      <c r="O112" s="36"/>
      <c r="P112" s="9">
        <v>0</v>
      </c>
      <c r="R112" s="9"/>
      <c r="S112" s="36">
        <v>0</v>
      </c>
      <c r="T112" s="36"/>
      <c r="U112" s="9">
        <v>0</v>
      </c>
      <c r="V112" s="36"/>
      <c r="W112" s="9">
        <v>0</v>
      </c>
    </row>
    <row r="113" spans="1:23" ht="20" x14ac:dyDescent="0.2">
      <c r="A113" s="5" t="s">
        <v>131</v>
      </c>
      <c r="B113" s="9" t="s">
        <v>20</v>
      </c>
      <c r="E113" s="28">
        <v>0</v>
      </c>
      <c r="F113" s="28"/>
      <c r="G113" s="9">
        <v>0</v>
      </c>
      <c r="H113" s="9"/>
      <c r="I113" s="9">
        <v>1</v>
      </c>
      <c r="J113" s="13"/>
      <c r="K113" s="9"/>
      <c r="L113" s="9">
        <v>0</v>
      </c>
      <c r="M113" s="36"/>
      <c r="N113" s="9">
        <v>2</v>
      </c>
      <c r="O113" s="36"/>
      <c r="P113" s="9">
        <v>0</v>
      </c>
      <c r="R113" s="9"/>
      <c r="S113" s="36">
        <v>0</v>
      </c>
      <c r="T113" s="36"/>
      <c r="U113" s="9">
        <v>0</v>
      </c>
      <c r="V113" s="36"/>
      <c r="W113" s="9">
        <v>0</v>
      </c>
    </row>
    <row r="114" spans="1:23" ht="20" x14ac:dyDescent="0.2">
      <c r="A114" s="5" t="s">
        <v>132</v>
      </c>
      <c r="B114" s="9" t="s">
        <v>20</v>
      </c>
      <c r="E114" s="28">
        <v>0</v>
      </c>
      <c r="F114" s="28"/>
      <c r="G114" s="9">
        <v>0</v>
      </c>
      <c r="H114" s="9"/>
      <c r="I114" s="9">
        <v>1</v>
      </c>
      <c r="J114" s="13"/>
      <c r="K114" s="9"/>
      <c r="L114" s="9">
        <v>1</v>
      </c>
      <c r="M114" s="36"/>
      <c r="N114" s="9">
        <v>2</v>
      </c>
      <c r="O114" s="36"/>
      <c r="P114" s="9">
        <v>0</v>
      </c>
      <c r="R114" s="9"/>
      <c r="S114" s="36">
        <v>0</v>
      </c>
      <c r="T114" s="36"/>
      <c r="U114" s="9">
        <v>0</v>
      </c>
      <c r="V114" s="36"/>
      <c r="W114" s="9">
        <v>0</v>
      </c>
    </row>
    <row r="115" spans="1:23" ht="20" x14ac:dyDescent="0.2">
      <c r="A115" s="5" t="s">
        <v>133</v>
      </c>
      <c r="B115" s="9" t="s">
        <v>20</v>
      </c>
      <c r="E115" s="28">
        <v>0</v>
      </c>
      <c r="F115" s="28"/>
      <c r="G115" s="9">
        <v>0</v>
      </c>
      <c r="H115" s="9"/>
      <c r="I115" s="9">
        <v>1</v>
      </c>
      <c r="J115" s="13"/>
      <c r="K115" s="9"/>
      <c r="L115" s="9">
        <v>0</v>
      </c>
      <c r="M115" s="36"/>
      <c r="N115" s="9">
        <v>2</v>
      </c>
      <c r="O115" s="36"/>
      <c r="P115" s="9">
        <v>0</v>
      </c>
      <c r="R115" s="9"/>
      <c r="S115" s="36">
        <v>0</v>
      </c>
      <c r="T115" s="36"/>
      <c r="U115" s="9">
        <v>0</v>
      </c>
      <c r="V115" s="36"/>
      <c r="W115" s="9">
        <v>0</v>
      </c>
    </row>
    <row r="116" spans="1:23" ht="20" x14ac:dyDescent="0.2">
      <c r="A116" s="5" t="s">
        <v>134</v>
      </c>
      <c r="B116" s="9" t="s">
        <v>20</v>
      </c>
      <c r="E116" s="28">
        <v>0</v>
      </c>
      <c r="F116" s="28"/>
      <c r="G116" s="9">
        <v>0</v>
      </c>
      <c r="H116" s="9"/>
      <c r="I116" s="9">
        <v>1</v>
      </c>
      <c r="J116" s="13"/>
      <c r="K116" s="9"/>
      <c r="L116" s="9">
        <v>1</v>
      </c>
      <c r="M116" s="36"/>
      <c r="N116" s="9">
        <v>2</v>
      </c>
      <c r="O116" s="36"/>
      <c r="P116" s="9">
        <v>0</v>
      </c>
      <c r="R116" s="9"/>
      <c r="S116" s="36">
        <v>0</v>
      </c>
      <c r="T116" s="36"/>
      <c r="U116" s="9">
        <v>0</v>
      </c>
      <c r="V116" s="36"/>
      <c r="W116" s="9">
        <v>0</v>
      </c>
    </row>
    <row r="117" spans="1:23" ht="34" x14ac:dyDescent="0.2">
      <c r="A117" s="3" t="s">
        <v>135</v>
      </c>
      <c r="B117" s="3" t="s">
        <v>44</v>
      </c>
      <c r="C117" s="51" t="s">
        <v>108</v>
      </c>
      <c r="E117" s="26">
        <v>0</v>
      </c>
      <c r="F117" s="26"/>
      <c r="G117" s="7">
        <v>0</v>
      </c>
      <c r="H117" s="7"/>
      <c r="I117" s="7">
        <v>1</v>
      </c>
      <c r="J117" s="13"/>
      <c r="K117" s="7"/>
      <c r="L117" s="7">
        <v>1</v>
      </c>
      <c r="M117" s="34"/>
      <c r="N117" s="7">
        <v>2</v>
      </c>
      <c r="O117" s="34"/>
      <c r="P117" s="7">
        <v>0</v>
      </c>
      <c r="R117" s="7"/>
      <c r="S117" s="34">
        <v>0</v>
      </c>
      <c r="T117" s="34"/>
      <c r="U117" s="7">
        <v>2</v>
      </c>
      <c r="V117" s="34"/>
      <c r="W117" s="7">
        <v>1</v>
      </c>
    </row>
    <row r="118" spans="1:23" ht="20" x14ac:dyDescent="0.2">
      <c r="A118" s="3" t="s">
        <v>136</v>
      </c>
      <c r="B118" s="3" t="s">
        <v>44</v>
      </c>
      <c r="E118" s="26">
        <v>0</v>
      </c>
      <c r="F118" s="26"/>
      <c r="G118" s="7">
        <v>0</v>
      </c>
      <c r="H118" s="7"/>
      <c r="I118" s="7">
        <v>1</v>
      </c>
      <c r="J118" s="13"/>
      <c r="K118" s="7"/>
      <c r="L118" s="7">
        <v>1</v>
      </c>
      <c r="M118" s="34"/>
      <c r="N118" s="7">
        <v>2</v>
      </c>
      <c r="O118" s="34"/>
      <c r="P118" s="7">
        <v>0</v>
      </c>
      <c r="R118" s="7"/>
      <c r="S118" s="34">
        <v>0</v>
      </c>
      <c r="T118" s="34"/>
      <c r="U118" s="7">
        <v>2</v>
      </c>
      <c r="V118" s="34"/>
      <c r="W118" s="7">
        <v>1</v>
      </c>
    </row>
    <row r="119" spans="1:23" ht="40" x14ac:dyDescent="0.2">
      <c r="A119" s="3" t="s">
        <v>137</v>
      </c>
      <c r="B119" s="3" t="s">
        <v>44</v>
      </c>
      <c r="E119" s="26">
        <v>0</v>
      </c>
      <c r="F119" s="26"/>
      <c r="G119" s="7">
        <v>0</v>
      </c>
      <c r="H119" s="7"/>
      <c r="I119" s="7">
        <v>1</v>
      </c>
      <c r="J119" s="13"/>
      <c r="K119" s="7"/>
      <c r="L119" s="7">
        <v>1</v>
      </c>
      <c r="M119" s="34"/>
      <c r="N119" s="7">
        <v>2</v>
      </c>
      <c r="O119" s="34"/>
      <c r="P119" s="7">
        <v>0</v>
      </c>
      <c r="R119" s="7"/>
      <c r="S119" s="34">
        <v>0</v>
      </c>
      <c r="T119" s="34"/>
      <c r="U119" s="7">
        <v>2</v>
      </c>
      <c r="V119" s="34"/>
      <c r="W119" s="7">
        <v>1</v>
      </c>
    </row>
    <row r="120" spans="1:23" ht="20" x14ac:dyDescent="0.2">
      <c r="A120" s="3" t="s">
        <v>138</v>
      </c>
      <c r="B120" s="3" t="s">
        <v>44</v>
      </c>
      <c r="E120" s="26">
        <v>0</v>
      </c>
      <c r="F120" s="26"/>
      <c r="G120" s="7">
        <v>0</v>
      </c>
      <c r="H120" s="7"/>
      <c r="I120" s="7">
        <v>1</v>
      </c>
      <c r="J120" s="13"/>
      <c r="K120" s="7"/>
      <c r="L120" s="7">
        <v>1</v>
      </c>
      <c r="M120" s="34"/>
      <c r="N120" s="7">
        <v>2</v>
      </c>
      <c r="O120" s="34"/>
      <c r="P120" s="7">
        <v>0</v>
      </c>
      <c r="R120" s="7"/>
      <c r="S120" s="34">
        <v>0</v>
      </c>
      <c r="T120" s="34"/>
      <c r="U120" s="7">
        <v>2</v>
      </c>
      <c r="V120" s="34"/>
      <c r="W120" s="7">
        <v>0</v>
      </c>
    </row>
    <row r="121" spans="1:23" ht="40" x14ac:dyDescent="0.2">
      <c r="A121" s="3" t="s">
        <v>212</v>
      </c>
      <c r="B121" s="3" t="s">
        <v>44</v>
      </c>
      <c r="E121" s="26">
        <v>0</v>
      </c>
      <c r="F121" s="26"/>
      <c r="G121" s="7">
        <v>0</v>
      </c>
      <c r="H121" s="7"/>
      <c r="I121" s="7">
        <v>1</v>
      </c>
      <c r="J121" s="13"/>
      <c r="K121" s="7"/>
      <c r="L121" s="7">
        <v>1</v>
      </c>
      <c r="M121" s="34"/>
      <c r="N121" s="7">
        <v>2</v>
      </c>
      <c r="O121" s="34"/>
      <c r="P121" s="7">
        <v>0</v>
      </c>
      <c r="R121" s="7"/>
      <c r="S121" s="34">
        <v>0</v>
      </c>
      <c r="T121" s="34"/>
      <c r="U121" s="7">
        <v>2</v>
      </c>
      <c r="V121" s="34"/>
      <c r="W121" s="7">
        <v>1</v>
      </c>
    </row>
    <row r="122" spans="1:23" ht="20" x14ac:dyDescent="0.2">
      <c r="A122" s="3" t="s">
        <v>139</v>
      </c>
      <c r="B122" s="3" t="s">
        <v>44</v>
      </c>
      <c r="E122" s="26">
        <v>0</v>
      </c>
      <c r="F122" s="26"/>
      <c r="G122" s="7">
        <v>0</v>
      </c>
      <c r="H122" s="7"/>
      <c r="I122" s="7">
        <v>1</v>
      </c>
      <c r="J122" s="13"/>
      <c r="K122" s="7"/>
      <c r="L122" s="7">
        <v>1</v>
      </c>
      <c r="M122" s="34"/>
      <c r="N122" s="7">
        <v>2</v>
      </c>
      <c r="O122" s="34"/>
      <c r="P122" s="7">
        <v>0</v>
      </c>
      <c r="R122" s="7"/>
      <c r="S122" s="34">
        <v>0</v>
      </c>
      <c r="T122" s="34"/>
      <c r="U122" s="7">
        <v>2</v>
      </c>
      <c r="V122" s="34"/>
      <c r="W122" s="7">
        <v>1</v>
      </c>
    </row>
    <row r="123" spans="1:23" ht="20" x14ac:dyDescent="0.2">
      <c r="A123" s="3" t="s">
        <v>140</v>
      </c>
      <c r="B123" s="3" t="s">
        <v>44</v>
      </c>
      <c r="E123" s="26">
        <v>0</v>
      </c>
      <c r="F123" s="26"/>
      <c r="G123" s="7">
        <v>0</v>
      </c>
      <c r="H123" s="7"/>
      <c r="I123" s="7">
        <v>1</v>
      </c>
      <c r="J123" s="13"/>
      <c r="K123" s="7"/>
      <c r="L123" s="7">
        <v>1</v>
      </c>
      <c r="M123" s="34"/>
      <c r="N123" s="7">
        <v>2</v>
      </c>
      <c r="O123" s="34"/>
      <c r="P123" s="7">
        <v>0</v>
      </c>
      <c r="R123" s="7"/>
      <c r="S123" s="34">
        <v>0</v>
      </c>
      <c r="T123" s="34"/>
      <c r="U123" s="7">
        <v>2</v>
      </c>
      <c r="V123" s="34"/>
      <c r="W123" s="7">
        <v>1</v>
      </c>
    </row>
    <row r="124" spans="1:23" ht="20" x14ac:dyDescent="0.2">
      <c r="A124" s="3" t="s">
        <v>141</v>
      </c>
      <c r="B124" s="3" t="s">
        <v>44</v>
      </c>
      <c r="E124" s="26">
        <v>0</v>
      </c>
      <c r="F124" s="26"/>
      <c r="G124" s="7">
        <v>0</v>
      </c>
      <c r="H124" s="7"/>
      <c r="I124" s="7">
        <v>1</v>
      </c>
      <c r="J124" s="13"/>
      <c r="K124" s="7"/>
      <c r="L124" s="7">
        <v>1</v>
      </c>
      <c r="M124" s="34"/>
      <c r="N124" s="7">
        <v>2</v>
      </c>
      <c r="O124" s="34"/>
      <c r="P124" s="7">
        <v>0</v>
      </c>
      <c r="R124" s="7"/>
      <c r="S124" s="34">
        <v>0</v>
      </c>
      <c r="T124" s="34"/>
      <c r="U124" s="7">
        <v>2</v>
      </c>
      <c r="V124" s="34"/>
      <c r="W124" s="7">
        <v>1</v>
      </c>
    </row>
    <row r="125" spans="1:23" ht="20" x14ac:dyDescent="0.2">
      <c r="A125" s="3" t="s">
        <v>142</v>
      </c>
      <c r="B125" s="3" t="s">
        <v>44</v>
      </c>
      <c r="E125" s="26">
        <v>0</v>
      </c>
      <c r="F125" s="26"/>
      <c r="G125" s="7">
        <v>0</v>
      </c>
      <c r="H125" s="7"/>
      <c r="I125" s="7">
        <v>1</v>
      </c>
      <c r="J125" s="13"/>
      <c r="K125" s="7"/>
      <c r="L125" s="7">
        <v>1</v>
      </c>
      <c r="M125" s="34"/>
      <c r="N125" s="7">
        <v>2</v>
      </c>
      <c r="O125" s="34"/>
      <c r="P125" s="7">
        <v>0</v>
      </c>
      <c r="R125" s="7"/>
      <c r="S125" s="34">
        <v>0</v>
      </c>
      <c r="T125" s="34"/>
      <c r="U125" s="7">
        <v>2</v>
      </c>
      <c r="V125" s="34"/>
      <c r="W125" s="7">
        <v>1</v>
      </c>
    </row>
    <row r="126" spans="1:23" ht="40" x14ac:dyDescent="0.2">
      <c r="A126" s="4" t="s">
        <v>143</v>
      </c>
      <c r="B126" s="8" t="s">
        <v>21</v>
      </c>
      <c r="C126" s="51" t="s">
        <v>109</v>
      </c>
      <c r="E126" s="27">
        <v>1</v>
      </c>
      <c r="F126" s="27"/>
      <c r="G126" s="8">
        <v>1</v>
      </c>
      <c r="H126" s="8"/>
      <c r="I126" s="8">
        <v>1</v>
      </c>
      <c r="J126" s="13"/>
      <c r="K126" s="8"/>
      <c r="L126" s="8">
        <v>1</v>
      </c>
      <c r="M126" s="35"/>
      <c r="N126" s="8">
        <v>2</v>
      </c>
      <c r="O126" s="35"/>
      <c r="P126" s="8">
        <v>0</v>
      </c>
      <c r="R126" s="8"/>
      <c r="S126" s="35">
        <v>0</v>
      </c>
      <c r="T126" s="35"/>
      <c r="U126" s="8">
        <v>0</v>
      </c>
      <c r="V126" s="35"/>
      <c r="W126" s="8">
        <v>0</v>
      </c>
    </row>
    <row r="127" spans="1:23" ht="20" x14ac:dyDescent="0.2">
      <c r="A127" s="4" t="s">
        <v>144</v>
      </c>
      <c r="B127" s="8" t="s">
        <v>21</v>
      </c>
      <c r="E127" s="27">
        <v>1</v>
      </c>
      <c r="F127" s="27"/>
      <c r="G127" s="8">
        <v>1</v>
      </c>
      <c r="H127" s="8"/>
      <c r="I127" s="8">
        <v>1</v>
      </c>
      <c r="J127" s="13"/>
      <c r="K127" s="8"/>
      <c r="L127" s="8">
        <v>1</v>
      </c>
      <c r="M127" s="35"/>
      <c r="N127" s="8">
        <v>2</v>
      </c>
      <c r="O127" s="35"/>
      <c r="P127" s="8">
        <v>0</v>
      </c>
      <c r="R127" s="8"/>
      <c r="S127" s="35">
        <v>0</v>
      </c>
      <c r="T127" s="35"/>
      <c r="U127" s="8">
        <v>0</v>
      </c>
      <c r="V127" s="35"/>
      <c r="W127" s="8">
        <v>0</v>
      </c>
    </row>
    <row r="128" spans="1:23" ht="20" x14ac:dyDescent="0.2">
      <c r="A128" s="4" t="s">
        <v>206</v>
      </c>
      <c r="B128" s="8" t="s">
        <v>21</v>
      </c>
      <c r="E128" s="27">
        <v>1</v>
      </c>
      <c r="F128" s="27"/>
      <c r="G128" s="8">
        <v>1</v>
      </c>
      <c r="H128" s="8"/>
      <c r="I128" s="8">
        <v>1</v>
      </c>
      <c r="J128" s="13"/>
      <c r="K128" s="8"/>
      <c r="L128" s="8">
        <v>1</v>
      </c>
      <c r="M128" s="35"/>
      <c r="N128" s="8">
        <v>2</v>
      </c>
      <c r="O128" s="35"/>
      <c r="P128" s="8">
        <v>0</v>
      </c>
      <c r="R128" s="8"/>
      <c r="S128" s="35">
        <v>0</v>
      </c>
      <c r="T128" s="35"/>
      <c r="U128" s="8">
        <v>0</v>
      </c>
      <c r="V128" s="35"/>
      <c r="W128" s="8">
        <v>0</v>
      </c>
    </row>
    <row r="129" spans="1:23" ht="40" x14ac:dyDescent="0.2">
      <c r="A129" s="4" t="s">
        <v>145</v>
      </c>
      <c r="B129" s="8" t="s">
        <v>21</v>
      </c>
      <c r="E129" s="27">
        <v>1</v>
      </c>
      <c r="F129" s="27"/>
      <c r="G129" s="8">
        <v>1</v>
      </c>
      <c r="H129" s="8"/>
      <c r="I129" s="8">
        <v>1</v>
      </c>
      <c r="J129" s="13"/>
      <c r="K129" s="8"/>
      <c r="L129" s="8">
        <v>1</v>
      </c>
      <c r="M129" s="35"/>
      <c r="N129" s="8">
        <v>2</v>
      </c>
      <c r="O129" s="35"/>
      <c r="P129" s="8">
        <v>0</v>
      </c>
      <c r="R129" s="8"/>
      <c r="S129" s="35">
        <v>0</v>
      </c>
      <c r="T129" s="35"/>
      <c r="U129" s="8">
        <v>0</v>
      </c>
      <c r="V129" s="35"/>
      <c r="W129" s="8">
        <v>0</v>
      </c>
    </row>
    <row r="130" spans="1:23" ht="20" x14ac:dyDescent="0.2">
      <c r="A130" s="4" t="s">
        <v>146</v>
      </c>
      <c r="B130" s="8" t="s">
        <v>21</v>
      </c>
      <c r="E130" s="27">
        <v>1</v>
      </c>
      <c r="F130" s="27"/>
      <c r="G130" s="8">
        <v>1</v>
      </c>
      <c r="H130" s="8"/>
      <c r="I130" s="8">
        <v>1</v>
      </c>
      <c r="J130" s="13"/>
      <c r="K130" s="8"/>
      <c r="L130" s="8">
        <v>1</v>
      </c>
      <c r="M130" s="35"/>
      <c r="N130" s="8">
        <v>2</v>
      </c>
      <c r="O130" s="35"/>
      <c r="P130" s="8">
        <v>0</v>
      </c>
      <c r="R130" s="8"/>
      <c r="S130" s="35">
        <v>0</v>
      </c>
      <c r="T130" s="35"/>
      <c r="U130" s="8">
        <v>0</v>
      </c>
      <c r="V130" s="35"/>
      <c r="W130" s="8">
        <v>0</v>
      </c>
    </row>
    <row r="131" spans="1:23" ht="20" x14ac:dyDescent="0.2">
      <c r="A131" s="4" t="s">
        <v>147</v>
      </c>
      <c r="B131" s="8" t="s">
        <v>21</v>
      </c>
      <c r="E131" s="27">
        <v>1</v>
      </c>
      <c r="F131" s="27"/>
      <c r="G131" s="8">
        <v>1</v>
      </c>
      <c r="H131" s="8"/>
      <c r="I131" s="8">
        <v>1</v>
      </c>
      <c r="J131" s="13"/>
      <c r="K131" s="8"/>
      <c r="L131" s="8">
        <v>1</v>
      </c>
      <c r="M131" s="35"/>
      <c r="N131" s="8">
        <v>2</v>
      </c>
      <c r="O131" s="35"/>
      <c r="P131" s="8">
        <v>0</v>
      </c>
      <c r="R131" s="8"/>
      <c r="S131" s="35">
        <v>0</v>
      </c>
      <c r="T131" s="35"/>
      <c r="U131" s="8">
        <v>0</v>
      </c>
      <c r="V131" s="35"/>
      <c r="W131" s="8">
        <v>0</v>
      </c>
    </row>
    <row r="132" spans="1:23" ht="20" x14ac:dyDescent="0.2">
      <c r="A132" s="4" t="s">
        <v>148</v>
      </c>
      <c r="B132" s="8" t="s">
        <v>21</v>
      </c>
      <c r="E132" s="27">
        <v>1</v>
      </c>
      <c r="F132" s="27"/>
      <c r="G132" s="8">
        <v>1</v>
      </c>
      <c r="H132" s="8"/>
      <c r="I132" s="8">
        <v>1</v>
      </c>
      <c r="J132" s="13"/>
      <c r="K132" s="8"/>
      <c r="L132" s="8">
        <v>1</v>
      </c>
      <c r="M132" s="35"/>
      <c r="N132" s="8">
        <v>2</v>
      </c>
      <c r="O132" s="35"/>
      <c r="P132" s="8">
        <v>0</v>
      </c>
      <c r="R132" s="8"/>
      <c r="S132" s="35">
        <v>0</v>
      </c>
      <c r="T132" s="35"/>
      <c r="U132" s="8">
        <v>0</v>
      </c>
      <c r="V132" s="35"/>
      <c r="W132" s="8">
        <v>0</v>
      </c>
    </row>
    <row r="133" spans="1:23" ht="40" x14ac:dyDescent="0.2">
      <c r="A133" s="4" t="s">
        <v>149</v>
      </c>
      <c r="B133" s="8" t="s">
        <v>21</v>
      </c>
      <c r="E133" s="27">
        <v>1</v>
      </c>
      <c r="F133" s="27"/>
      <c r="G133" s="8">
        <v>1</v>
      </c>
      <c r="H133" s="8"/>
      <c r="I133" s="8">
        <v>1</v>
      </c>
      <c r="J133" s="13"/>
      <c r="K133" s="8"/>
      <c r="L133" s="8">
        <v>1</v>
      </c>
      <c r="M133" s="35"/>
      <c r="N133" s="8">
        <v>2</v>
      </c>
      <c r="O133" s="35"/>
      <c r="P133" s="8">
        <v>0</v>
      </c>
      <c r="R133" s="8"/>
      <c r="S133" s="35">
        <v>0</v>
      </c>
      <c r="T133" s="35"/>
      <c r="U133" s="8">
        <v>0</v>
      </c>
      <c r="V133" s="35"/>
      <c r="W133" s="8">
        <v>0</v>
      </c>
    </row>
    <row r="134" spans="1:23" ht="20" x14ac:dyDescent="0.2">
      <c r="A134" s="4" t="s">
        <v>150</v>
      </c>
      <c r="B134" s="8" t="s">
        <v>21</v>
      </c>
      <c r="E134" s="27">
        <v>1</v>
      </c>
      <c r="F134" s="27"/>
      <c r="G134" s="8">
        <v>1</v>
      </c>
      <c r="H134" s="8"/>
      <c r="I134" s="8">
        <v>1</v>
      </c>
      <c r="J134" s="13"/>
      <c r="K134" s="8"/>
      <c r="L134" s="8">
        <v>1</v>
      </c>
      <c r="M134" s="35"/>
      <c r="N134" s="8">
        <v>2</v>
      </c>
      <c r="O134" s="35"/>
      <c r="P134" s="8">
        <v>0</v>
      </c>
      <c r="R134" s="8"/>
      <c r="S134" s="35">
        <v>0</v>
      </c>
      <c r="T134" s="35"/>
      <c r="U134" s="8">
        <v>0</v>
      </c>
      <c r="V134" s="35"/>
      <c r="W134" s="8">
        <v>0</v>
      </c>
    </row>
    <row r="135" spans="1:23" ht="40" x14ac:dyDescent="0.2">
      <c r="A135" s="5" t="s">
        <v>8</v>
      </c>
      <c r="B135" s="9" t="s">
        <v>22</v>
      </c>
      <c r="C135" s="51" t="s">
        <v>110</v>
      </c>
      <c r="E135" s="28">
        <v>0</v>
      </c>
      <c r="F135" s="28"/>
      <c r="G135" s="9">
        <v>0</v>
      </c>
      <c r="H135" s="9"/>
      <c r="I135" s="9">
        <v>1</v>
      </c>
      <c r="J135" s="13"/>
      <c r="K135" s="9"/>
      <c r="L135" s="9">
        <v>1</v>
      </c>
      <c r="M135" s="36"/>
      <c r="N135" s="9">
        <v>2</v>
      </c>
      <c r="O135" s="36"/>
      <c r="P135" s="9">
        <v>0</v>
      </c>
      <c r="R135" s="9"/>
      <c r="S135" s="36">
        <v>0</v>
      </c>
      <c r="T135" s="36"/>
      <c r="U135" s="9">
        <v>0</v>
      </c>
      <c r="V135" s="36"/>
      <c r="W135" s="9">
        <v>0</v>
      </c>
    </row>
    <row r="136" spans="1:23" ht="40" x14ac:dyDescent="0.2">
      <c r="A136" s="5" t="s">
        <v>151</v>
      </c>
      <c r="B136" s="9" t="s">
        <v>22</v>
      </c>
      <c r="E136" s="28">
        <v>0</v>
      </c>
      <c r="F136" s="28"/>
      <c r="G136" s="9">
        <v>0</v>
      </c>
      <c r="H136" s="9"/>
      <c r="I136" s="9">
        <v>1</v>
      </c>
      <c r="J136" s="13"/>
      <c r="K136" s="9"/>
      <c r="L136" s="9">
        <v>1</v>
      </c>
      <c r="M136" s="36"/>
      <c r="N136" s="9">
        <v>2</v>
      </c>
      <c r="O136" s="36"/>
      <c r="P136" s="9">
        <v>0</v>
      </c>
      <c r="R136" s="9"/>
      <c r="S136" s="36">
        <v>0</v>
      </c>
      <c r="T136" s="36"/>
      <c r="U136" s="9">
        <v>0</v>
      </c>
      <c r="V136" s="36"/>
      <c r="W136" s="9">
        <v>0</v>
      </c>
    </row>
    <row r="137" spans="1:23" ht="40" x14ac:dyDescent="0.2">
      <c r="A137" s="5" t="s">
        <v>152</v>
      </c>
      <c r="B137" s="9" t="s">
        <v>22</v>
      </c>
      <c r="E137" s="28">
        <v>0</v>
      </c>
      <c r="F137" s="28"/>
      <c r="G137" s="9">
        <v>0</v>
      </c>
      <c r="H137" s="9"/>
      <c r="I137" s="9">
        <v>1</v>
      </c>
      <c r="J137" s="13"/>
      <c r="K137" s="9"/>
      <c r="L137" s="9">
        <v>1</v>
      </c>
      <c r="M137" s="36"/>
      <c r="N137" s="9">
        <v>2</v>
      </c>
      <c r="O137" s="36"/>
      <c r="P137" s="9">
        <v>0</v>
      </c>
      <c r="R137" s="9"/>
      <c r="S137" s="36">
        <v>0</v>
      </c>
      <c r="T137" s="36"/>
      <c r="U137" s="9">
        <v>0</v>
      </c>
      <c r="V137" s="36"/>
      <c r="W137" s="9">
        <v>0</v>
      </c>
    </row>
    <row r="138" spans="1:23" ht="40" x14ac:dyDescent="0.2">
      <c r="A138" s="5" t="s">
        <v>153</v>
      </c>
      <c r="B138" s="9" t="s">
        <v>22</v>
      </c>
      <c r="E138" s="28">
        <v>0</v>
      </c>
      <c r="F138" s="28"/>
      <c r="G138" s="9">
        <v>0</v>
      </c>
      <c r="H138" s="9"/>
      <c r="I138" s="9">
        <v>1</v>
      </c>
      <c r="J138" s="13"/>
      <c r="K138" s="9"/>
      <c r="L138" s="9">
        <v>1</v>
      </c>
      <c r="M138" s="36"/>
      <c r="N138" s="9">
        <v>2</v>
      </c>
      <c r="O138" s="36"/>
      <c r="P138" s="9">
        <v>0</v>
      </c>
      <c r="R138" s="9"/>
      <c r="S138" s="36">
        <v>0</v>
      </c>
      <c r="T138" s="36"/>
      <c r="U138" s="9">
        <v>0</v>
      </c>
      <c r="V138" s="36"/>
      <c r="W138" s="9">
        <v>0</v>
      </c>
    </row>
    <row r="139" spans="1:23" ht="40" x14ac:dyDescent="0.2">
      <c r="A139" s="5" t="s">
        <v>154</v>
      </c>
      <c r="B139" s="9" t="s">
        <v>22</v>
      </c>
      <c r="E139" s="28">
        <v>0</v>
      </c>
      <c r="F139" s="28"/>
      <c r="G139" s="9">
        <v>0</v>
      </c>
      <c r="H139" s="9"/>
      <c r="I139" s="9">
        <v>1</v>
      </c>
      <c r="J139" s="13"/>
      <c r="K139" s="9"/>
      <c r="L139" s="9">
        <v>0</v>
      </c>
      <c r="M139" s="36"/>
      <c r="N139" s="9">
        <v>2</v>
      </c>
      <c r="O139" s="36"/>
      <c r="P139" s="9">
        <v>0</v>
      </c>
      <c r="R139" s="9"/>
      <c r="S139" s="36">
        <v>0</v>
      </c>
      <c r="T139" s="36"/>
      <c r="U139" s="9">
        <v>0</v>
      </c>
      <c r="V139" s="36"/>
      <c r="W139" s="9">
        <v>0</v>
      </c>
    </row>
    <row r="140" spans="1:23" ht="40" x14ac:dyDescent="0.2">
      <c r="A140" s="5" t="s">
        <v>155</v>
      </c>
      <c r="B140" s="9" t="s">
        <v>22</v>
      </c>
      <c r="E140" s="28">
        <v>0</v>
      </c>
      <c r="F140" s="28"/>
      <c r="G140" s="9">
        <v>0</v>
      </c>
      <c r="H140" s="9"/>
      <c r="I140" s="9">
        <v>1</v>
      </c>
      <c r="J140" s="13"/>
      <c r="K140" s="9"/>
      <c r="L140" s="9">
        <v>1</v>
      </c>
      <c r="M140" s="36"/>
      <c r="N140" s="9">
        <v>2</v>
      </c>
      <c r="O140" s="36"/>
      <c r="P140" s="9">
        <v>0</v>
      </c>
      <c r="R140" s="9"/>
      <c r="S140" s="36">
        <v>0</v>
      </c>
      <c r="T140" s="36"/>
      <c r="U140" s="9">
        <v>0</v>
      </c>
      <c r="V140" s="36"/>
      <c r="W140" s="9">
        <v>0</v>
      </c>
    </row>
    <row r="141" spans="1:23" ht="40" x14ac:dyDescent="0.2">
      <c r="A141" s="5" t="s">
        <v>156</v>
      </c>
      <c r="B141" s="9" t="s">
        <v>22</v>
      </c>
      <c r="E141" s="28">
        <v>0</v>
      </c>
      <c r="F141" s="28"/>
      <c r="G141" s="9">
        <v>0</v>
      </c>
      <c r="H141" s="9"/>
      <c r="I141" s="9">
        <v>1</v>
      </c>
      <c r="J141" s="13"/>
      <c r="K141" s="9"/>
      <c r="L141" s="9">
        <v>1</v>
      </c>
      <c r="M141" s="36"/>
      <c r="N141" s="9">
        <v>2</v>
      </c>
      <c r="O141" s="36"/>
      <c r="P141" s="9">
        <v>0</v>
      </c>
      <c r="R141" s="9"/>
      <c r="S141" s="36">
        <v>0</v>
      </c>
      <c r="T141" s="36"/>
      <c r="U141" s="9">
        <v>0</v>
      </c>
      <c r="V141" s="36"/>
      <c r="W141" s="9">
        <v>0</v>
      </c>
    </row>
    <row r="142" spans="1:23" ht="40" x14ac:dyDescent="0.2">
      <c r="A142" s="5" t="s">
        <v>157</v>
      </c>
      <c r="B142" s="9" t="s">
        <v>22</v>
      </c>
      <c r="E142" s="28">
        <v>0</v>
      </c>
      <c r="F142" s="28"/>
      <c r="G142" s="9">
        <v>0</v>
      </c>
      <c r="H142" s="9"/>
      <c r="I142" s="9">
        <v>1</v>
      </c>
      <c r="J142" s="13"/>
      <c r="K142" s="9"/>
      <c r="L142" s="9">
        <v>1</v>
      </c>
      <c r="M142" s="36"/>
      <c r="N142" s="9">
        <v>2</v>
      </c>
      <c r="O142" s="36"/>
      <c r="P142" s="9">
        <v>0</v>
      </c>
      <c r="R142" s="9"/>
      <c r="S142" s="36">
        <v>0</v>
      </c>
      <c r="T142" s="36"/>
      <c r="U142" s="9">
        <v>0</v>
      </c>
      <c r="V142" s="36"/>
      <c r="W142" s="9">
        <v>0</v>
      </c>
    </row>
    <row r="143" spans="1:23" ht="40" x14ac:dyDescent="0.2">
      <c r="A143" s="5" t="s">
        <v>204</v>
      </c>
      <c r="B143" s="9" t="s">
        <v>22</v>
      </c>
      <c r="E143" s="28">
        <v>0</v>
      </c>
      <c r="F143" s="28"/>
      <c r="G143" s="9">
        <v>0</v>
      </c>
      <c r="H143" s="9"/>
      <c r="I143" s="9">
        <v>1</v>
      </c>
      <c r="J143" s="13"/>
      <c r="K143" s="9"/>
      <c r="L143" s="9">
        <v>1</v>
      </c>
      <c r="M143" s="36"/>
      <c r="N143" s="9">
        <v>2</v>
      </c>
      <c r="O143" s="36"/>
      <c r="P143" s="9">
        <v>0</v>
      </c>
      <c r="R143" s="9"/>
      <c r="S143" s="36">
        <v>0</v>
      </c>
      <c r="T143" s="36"/>
      <c r="U143" s="9">
        <v>0</v>
      </c>
      <c r="V143" s="36"/>
      <c r="W143" s="9">
        <v>0</v>
      </c>
    </row>
    <row r="144" spans="1:23" ht="34" x14ac:dyDescent="0.2">
      <c r="A144" s="3" t="s">
        <v>158</v>
      </c>
      <c r="B144" s="7" t="s">
        <v>23</v>
      </c>
      <c r="C144" s="51" t="s">
        <v>111</v>
      </c>
      <c r="E144" s="26">
        <v>1</v>
      </c>
      <c r="F144" s="26"/>
      <c r="G144" s="7">
        <v>1</v>
      </c>
      <c r="H144" s="7"/>
      <c r="I144" s="7">
        <v>2</v>
      </c>
      <c r="J144" s="13"/>
      <c r="K144" s="7"/>
      <c r="L144" s="7">
        <v>1</v>
      </c>
      <c r="M144" s="34"/>
      <c r="N144" s="7">
        <v>2</v>
      </c>
      <c r="O144" s="34"/>
      <c r="P144" s="7">
        <v>2</v>
      </c>
      <c r="R144" s="7"/>
      <c r="S144" s="34">
        <v>0</v>
      </c>
      <c r="T144" s="34"/>
      <c r="U144" s="7">
        <v>2</v>
      </c>
      <c r="V144" s="34"/>
      <c r="W144" s="7">
        <v>1</v>
      </c>
    </row>
    <row r="145" spans="1:23" ht="20" x14ac:dyDescent="0.2">
      <c r="A145" s="3" t="s">
        <v>159</v>
      </c>
      <c r="B145" s="7" t="s">
        <v>23</v>
      </c>
      <c r="E145" s="26">
        <v>1</v>
      </c>
      <c r="F145" s="26"/>
      <c r="G145" s="7">
        <v>1</v>
      </c>
      <c r="H145" s="7"/>
      <c r="I145" s="7">
        <v>2</v>
      </c>
      <c r="J145" s="13"/>
      <c r="K145" s="7"/>
      <c r="L145" s="7">
        <v>1</v>
      </c>
      <c r="M145" s="34"/>
      <c r="N145" s="7">
        <v>2</v>
      </c>
      <c r="O145" s="34"/>
      <c r="P145" s="7">
        <v>2</v>
      </c>
      <c r="R145" s="7"/>
      <c r="S145" s="34">
        <v>0</v>
      </c>
      <c r="T145" s="34"/>
      <c r="U145" s="7">
        <v>2</v>
      </c>
      <c r="V145" s="34"/>
      <c r="W145" s="7">
        <v>1</v>
      </c>
    </row>
    <row r="146" spans="1:23" ht="40" x14ac:dyDescent="0.2">
      <c r="A146" s="3" t="s">
        <v>160</v>
      </c>
      <c r="B146" s="7" t="s">
        <v>23</v>
      </c>
      <c r="E146" s="26">
        <v>1</v>
      </c>
      <c r="F146" s="26"/>
      <c r="G146" s="7">
        <v>1</v>
      </c>
      <c r="H146" s="7"/>
      <c r="I146" s="7">
        <v>1</v>
      </c>
      <c r="J146" s="13"/>
      <c r="K146" s="7"/>
      <c r="L146" s="7">
        <v>1</v>
      </c>
      <c r="M146" s="34"/>
      <c r="N146" s="7">
        <v>2</v>
      </c>
      <c r="O146" s="34"/>
      <c r="P146" s="7">
        <v>0</v>
      </c>
      <c r="R146" s="7"/>
      <c r="S146" s="34">
        <v>0</v>
      </c>
      <c r="T146" s="34"/>
      <c r="U146" s="7">
        <v>0</v>
      </c>
      <c r="V146" s="34"/>
      <c r="W146" s="7">
        <v>0</v>
      </c>
    </row>
    <row r="147" spans="1:23" ht="20" x14ac:dyDescent="0.2">
      <c r="A147" s="3" t="s">
        <v>161</v>
      </c>
      <c r="B147" s="7" t="s">
        <v>23</v>
      </c>
      <c r="E147" s="26">
        <v>1</v>
      </c>
      <c r="F147" s="26"/>
      <c r="G147" s="7">
        <v>1</v>
      </c>
      <c r="H147" s="7"/>
      <c r="I147" s="7">
        <v>1</v>
      </c>
      <c r="J147" s="13"/>
      <c r="K147" s="7"/>
      <c r="L147" s="7">
        <v>1</v>
      </c>
      <c r="M147" s="34"/>
      <c r="N147" s="7">
        <v>2</v>
      </c>
      <c r="O147" s="34"/>
      <c r="P147" s="7">
        <v>0</v>
      </c>
      <c r="R147" s="7"/>
      <c r="S147" s="34">
        <v>0</v>
      </c>
      <c r="T147" s="34"/>
      <c r="U147" s="7">
        <v>0</v>
      </c>
      <c r="V147" s="34"/>
      <c r="W147" s="7">
        <v>0</v>
      </c>
    </row>
    <row r="148" spans="1:23" ht="20" x14ac:dyDescent="0.2">
      <c r="A148" s="3" t="s">
        <v>213</v>
      </c>
      <c r="B148" s="7" t="s">
        <v>23</v>
      </c>
      <c r="E148" s="26">
        <v>1</v>
      </c>
      <c r="F148" s="26"/>
      <c r="G148" s="7">
        <v>1</v>
      </c>
      <c r="H148" s="7"/>
      <c r="I148" s="7">
        <v>1</v>
      </c>
      <c r="J148" s="13"/>
      <c r="K148" s="7"/>
      <c r="L148" s="7">
        <v>1</v>
      </c>
      <c r="M148" s="34"/>
      <c r="N148" s="7">
        <v>2</v>
      </c>
      <c r="O148" s="34"/>
      <c r="P148" s="7">
        <v>0</v>
      </c>
      <c r="R148" s="7"/>
      <c r="S148" s="34">
        <v>0</v>
      </c>
      <c r="T148" s="34"/>
      <c r="U148" s="7">
        <v>0</v>
      </c>
      <c r="V148" s="34"/>
      <c r="W148" s="7">
        <v>0</v>
      </c>
    </row>
    <row r="149" spans="1:23" ht="40" x14ac:dyDescent="0.2">
      <c r="A149" s="3" t="s">
        <v>162</v>
      </c>
      <c r="B149" s="7" t="s">
        <v>23</v>
      </c>
      <c r="E149" s="26">
        <v>1</v>
      </c>
      <c r="F149" s="26"/>
      <c r="G149" s="7">
        <v>1</v>
      </c>
      <c r="H149" s="7"/>
      <c r="I149" s="7">
        <v>1</v>
      </c>
      <c r="J149" s="13"/>
      <c r="K149" s="7"/>
      <c r="L149" s="7">
        <v>1</v>
      </c>
      <c r="M149" s="34"/>
      <c r="N149" s="7">
        <v>2</v>
      </c>
      <c r="O149" s="34"/>
      <c r="P149" s="7">
        <v>0</v>
      </c>
      <c r="R149" s="7"/>
      <c r="S149" s="34">
        <v>0</v>
      </c>
      <c r="T149" s="34"/>
      <c r="U149" s="7">
        <v>0</v>
      </c>
      <c r="V149" s="34"/>
      <c r="W149" s="7">
        <v>0</v>
      </c>
    </row>
    <row r="150" spans="1:23" ht="20" x14ac:dyDescent="0.2">
      <c r="A150" s="3" t="s">
        <v>163</v>
      </c>
      <c r="B150" s="7" t="s">
        <v>23</v>
      </c>
      <c r="E150" s="26">
        <v>1</v>
      </c>
      <c r="F150" s="26"/>
      <c r="G150" s="7">
        <v>1</v>
      </c>
      <c r="H150" s="7"/>
      <c r="I150" s="7">
        <v>1</v>
      </c>
      <c r="J150" s="13"/>
      <c r="K150" s="7"/>
      <c r="L150" s="7">
        <v>1</v>
      </c>
      <c r="M150" s="34"/>
      <c r="N150" s="7">
        <v>2</v>
      </c>
      <c r="O150" s="34"/>
      <c r="P150" s="7">
        <v>0</v>
      </c>
      <c r="R150" s="7"/>
      <c r="S150" s="34">
        <v>0</v>
      </c>
      <c r="T150" s="34"/>
      <c r="U150" s="7">
        <v>0</v>
      </c>
      <c r="V150" s="34"/>
      <c r="W150" s="7">
        <v>0</v>
      </c>
    </row>
    <row r="151" spans="1:23" ht="20" x14ac:dyDescent="0.2">
      <c r="A151" s="3" t="s">
        <v>164</v>
      </c>
      <c r="B151" s="7" t="s">
        <v>23</v>
      </c>
      <c r="E151" s="26">
        <v>1</v>
      </c>
      <c r="F151" s="26"/>
      <c r="G151" s="7">
        <v>1</v>
      </c>
      <c r="H151" s="7"/>
      <c r="I151" s="7">
        <v>1</v>
      </c>
      <c r="J151" s="13"/>
      <c r="K151" s="7"/>
      <c r="L151" s="7">
        <v>1</v>
      </c>
      <c r="M151" s="34"/>
      <c r="N151" s="7">
        <v>2</v>
      </c>
      <c r="O151" s="34"/>
      <c r="P151" s="7">
        <v>0</v>
      </c>
      <c r="R151" s="7"/>
      <c r="S151" s="34">
        <v>0</v>
      </c>
      <c r="T151" s="34"/>
      <c r="U151" s="7">
        <v>0</v>
      </c>
      <c r="V151" s="34"/>
      <c r="W151" s="7">
        <v>0</v>
      </c>
    </row>
    <row r="152" spans="1:23" ht="20" x14ac:dyDescent="0.2">
      <c r="A152" s="3" t="s">
        <v>165</v>
      </c>
      <c r="B152" s="7" t="s">
        <v>23</v>
      </c>
      <c r="E152" s="26">
        <v>1</v>
      </c>
      <c r="F152" s="26"/>
      <c r="G152" s="7">
        <v>1</v>
      </c>
      <c r="H152" s="7"/>
      <c r="I152" s="7">
        <v>1</v>
      </c>
      <c r="J152" s="13"/>
      <c r="K152" s="7"/>
      <c r="L152" s="7">
        <v>1</v>
      </c>
      <c r="M152" s="34"/>
      <c r="N152" s="7">
        <v>2</v>
      </c>
      <c r="O152" s="34"/>
      <c r="P152" s="7">
        <v>0</v>
      </c>
      <c r="R152" s="7"/>
      <c r="S152" s="34">
        <v>0</v>
      </c>
      <c r="T152" s="34"/>
      <c r="U152" s="7">
        <v>0</v>
      </c>
      <c r="V152" s="34"/>
      <c r="W152" s="7">
        <v>0</v>
      </c>
    </row>
    <row r="153" spans="1:23" ht="34" x14ac:dyDescent="0.2">
      <c r="A153" s="4" t="s">
        <v>166</v>
      </c>
      <c r="B153" s="8" t="s">
        <v>46</v>
      </c>
      <c r="C153" s="51" t="s">
        <v>112</v>
      </c>
      <c r="E153" s="27">
        <v>1</v>
      </c>
      <c r="F153" s="27"/>
      <c r="G153" s="8">
        <v>1</v>
      </c>
      <c r="H153" s="8"/>
      <c r="I153" s="8">
        <v>2</v>
      </c>
      <c r="J153" s="13"/>
      <c r="K153" s="8"/>
      <c r="L153" s="8">
        <v>1</v>
      </c>
      <c r="M153" s="35"/>
      <c r="N153" s="8">
        <v>2</v>
      </c>
      <c r="O153" s="35"/>
      <c r="P153" s="8">
        <v>2</v>
      </c>
      <c r="R153" s="8"/>
      <c r="S153" s="35">
        <v>0</v>
      </c>
      <c r="T153" s="35"/>
      <c r="U153" s="8">
        <v>2</v>
      </c>
      <c r="V153" s="35"/>
      <c r="W153" s="8">
        <v>1</v>
      </c>
    </row>
    <row r="154" spans="1:23" ht="20" x14ac:dyDescent="0.2">
      <c r="A154" s="4" t="s">
        <v>167</v>
      </c>
      <c r="B154" s="8" t="s">
        <v>46</v>
      </c>
      <c r="E154" s="27">
        <v>1</v>
      </c>
      <c r="F154" s="27"/>
      <c r="G154" s="8">
        <v>1</v>
      </c>
      <c r="H154" s="8"/>
      <c r="I154" s="8">
        <v>2</v>
      </c>
      <c r="J154" s="13"/>
      <c r="K154" s="8"/>
      <c r="L154" s="8">
        <v>2</v>
      </c>
      <c r="M154" s="35"/>
      <c r="N154" s="8">
        <v>2</v>
      </c>
      <c r="O154" s="35"/>
      <c r="P154" s="8">
        <v>2</v>
      </c>
      <c r="R154" s="8"/>
      <c r="S154" s="35">
        <v>0</v>
      </c>
      <c r="T154" s="35"/>
      <c r="U154" s="8">
        <v>2</v>
      </c>
      <c r="V154" s="35"/>
      <c r="W154" s="8">
        <v>2</v>
      </c>
    </row>
    <row r="155" spans="1:23" ht="20" x14ac:dyDescent="0.2">
      <c r="A155" s="4" t="s">
        <v>168</v>
      </c>
      <c r="B155" s="8" t="s">
        <v>46</v>
      </c>
      <c r="E155" s="27">
        <v>1</v>
      </c>
      <c r="F155" s="27"/>
      <c r="G155" s="8">
        <v>0</v>
      </c>
      <c r="H155" s="8"/>
      <c r="I155" s="8">
        <v>1</v>
      </c>
      <c r="J155" s="13"/>
      <c r="K155" s="8"/>
      <c r="L155" s="8">
        <v>1</v>
      </c>
      <c r="M155" s="35"/>
      <c r="N155" s="8">
        <v>2</v>
      </c>
      <c r="O155" s="35"/>
      <c r="P155" s="8">
        <v>0</v>
      </c>
      <c r="R155" s="8"/>
      <c r="S155" s="35">
        <v>0</v>
      </c>
      <c r="T155" s="35"/>
      <c r="U155" s="8">
        <v>0</v>
      </c>
      <c r="V155" s="35"/>
      <c r="W155" s="8">
        <v>0</v>
      </c>
    </row>
    <row r="156" spans="1:23" ht="20" x14ac:dyDescent="0.2">
      <c r="A156" s="4" t="s">
        <v>169</v>
      </c>
      <c r="B156" s="8" t="s">
        <v>46</v>
      </c>
      <c r="E156" s="27">
        <v>1</v>
      </c>
      <c r="F156" s="27"/>
      <c r="G156" s="8">
        <v>0</v>
      </c>
      <c r="H156" s="8"/>
      <c r="I156" s="8">
        <v>1</v>
      </c>
      <c r="J156" s="13"/>
      <c r="K156" s="8"/>
      <c r="L156" s="8">
        <v>1</v>
      </c>
      <c r="M156" s="35"/>
      <c r="N156" s="8">
        <v>2</v>
      </c>
      <c r="O156" s="35"/>
      <c r="P156" s="8">
        <v>0</v>
      </c>
      <c r="R156" s="8"/>
      <c r="S156" s="35">
        <v>0</v>
      </c>
      <c r="T156" s="35"/>
      <c r="U156" s="8">
        <v>0</v>
      </c>
      <c r="V156" s="35"/>
      <c r="W156" s="8">
        <v>0</v>
      </c>
    </row>
    <row r="157" spans="1:23" ht="20" x14ac:dyDescent="0.2">
      <c r="A157" s="4" t="s">
        <v>170</v>
      </c>
      <c r="B157" s="8" t="s">
        <v>46</v>
      </c>
      <c r="E157" s="27">
        <v>1</v>
      </c>
      <c r="F157" s="27"/>
      <c r="G157" s="8">
        <v>0</v>
      </c>
      <c r="H157" s="8"/>
      <c r="I157" s="8">
        <v>1</v>
      </c>
      <c r="J157" s="13"/>
      <c r="K157" s="8"/>
      <c r="L157" s="8">
        <v>1</v>
      </c>
      <c r="M157" s="35"/>
      <c r="N157" s="8">
        <v>2</v>
      </c>
      <c r="O157" s="35"/>
      <c r="P157" s="8">
        <v>0</v>
      </c>
      <c r="R157" s="8"/>
      <c r="S157" s="35">
        <v>0</v>
      </c>
      <c r="T157" s="35"/>
      <c r="U157" s="8">
        <v>0</v>
      </c>
      <c r="V157" s="35"/>
      <c r="W157" s="8">
        <v>0</v>
      </c>
    </row>
    <row r="158" spans="1:23" ht="20" x14ac:dyDescent="0.2">
      <c r="A158" s="4" t="s">
        <v>171</v>
      </c>
      <c r="B158" s="8" t="s">
        <v>46</v>
      </c>
      <c r="E158" s="27">
        <v>1</v>
      </c>
      <c r="F158" s="27"/>
      <c r="G158" s="8">
        <v>0</v>
      </c>
      <c r="H158" s="8"/>
      <c r="I158" s="8">
        <v>1</v>
      </c>
      <c r="J158" s="13"/>
      <c r="K158" s="8"/>
      <c r="L158" s="8">
        <v>1</v>
      </c>
      <c r="M158" s="35"/>
      <c r="N158" s="8">
        <v>2</v>
      </c>
      <c r="O158" s="35"/>
      <c r="P158" s="8">
        <v>0</v>
      </c>
      <c r="R158" s="8"/>
      <c r="S158" s="35">
        <v>0</v>
      </c>
      <c r="T158" s="35"/>
      <c r="U158" s="8">
        <v>0</v>
      </c>
      <c r="V158" s="35"/>
      <c r="W158" s="8">
        <v>0</v>
      </c>
    </row>
    <row r="159" spans="1:23" ht="20" x14ac:dyDescent="0.2">
      <c r="A159" s="4" t="s">
        <v>172</v>
      </c>
      <c r="B159" s="8" t="s">
        <v>46</v>
      </c>
      <c r="E159" s="27">
        <v>1</v>
      </c>
      <c r="F159" s="27"/>
      <c r="G159" s="8">
        <v>0</v>
      </c>
      <c r="H159" s="8"/>
      <c r="I159" s="8">
        <v>1</v>
      </c>
      <c r="J159" s="13"/>
      <c r="K159" s="8"/>
      <c r="L159" s="8">
        <v>1</v>
      </c>
      <c r="M159" s="35"/>
      <c r="N159" s="8">
        <v>2</v>
      </c>
      <c r="O159" s="35"/>
      <c r="P159" s="8">
        <v>0</v>
      </c>
      <c r="R159" s="8"/>
      <c r="S159" s="35">
        <v>0</v>
      </c>
      <c r="T159" s="35"/>
      <c r="U159" s="8">
        <v>0</v>
      </c>
      <c r="V159" s="35"/>
      <c r="W159" s="8">
        <v>0</v>
      </c>
    </row>
    <row r="160" spans="1:23" ht="20" x14ac:dyDescent="0.2">
      <c r="A160" s="4" t="s">
        <v>173</v>
      </c>
      <c r="B160" s="8" t="s">
        <v>46</v>
      </c>
      <c r="E160" s="27">
        <v>1</v>
      </c>
      <c r="F160" s="27"/>
      <c r="G160" s="8">
        <v>0</v>
      </c>
      <c r="H160" s="8"/>
      <c r="I160" s="8">
        <v>1</v>
      </c>
      <c r="J160" s="13"/>
      <c r="K160" s="8"/>
      <c r="L160" s="8">
        <v>1</v>
      </c>
      <c r="M160" s="35"/>
      <c r="N160" s="8">
        <v>2</v>
      </c>
      <c r="O160" s="35"/>
      <c r="P160" s="8">
        <v>0</v>
      </c>
      <c r="R160" s="8"/>
      <c r="S160" s="35">
        <v>0</v>
      </c>
      <c r="T160" s="35"/>
      <c r="U160" s="8">
        <v>0</v>
      </c>
      <c r="V160" s="35"/>
      <c r="W160" s="8">
        <v>0</v>
      </c>
    </row>
    <row r="161" spans="1:23" ht="20" x14ac:dyDescent="0.2">
      <c r="A161" s="4" t="s">
        <v>174</v>
      </c>
      <c r="B161" s="8" t="s">
        <v>46</v>
      </c>
      <c r="E161" s="27">
        <v>1</v>
      </c>
      <c r="F161" s="27"/>
      <c r="G161" s="8">
        <v>0</v>
      </c>
      <c r="H161" s="8"/>
      <c r="I161" s="8">
        <v>1</v>
      </c>
      <c r="J161" s="13"/>
      <c r="K161" s="8"/>
      <c r="L161" s="8">
        <v>1</v>
      </c>
      <c r="M161" s="35"/>
      <c r="N161" s="8">
        <v>2</v>
      </c>
      <c r="O161" s="35"/>
      <c r="P161" s="8">
        <v>0</v>
      </c>
      <c r="R161" s="8"/>
      <c r="S161" s="35">
        <v>0</v>
      </c>
      <c r="T161" s="35"/>
      <c r="U161" s="8">
        <v>0</v>
      </c>
      <c r="V161" s="35"/>
      <c r="W161" s="8">
        <v>0</v>
      </c>
    </row>
    <row r="162" spans="1:23" ht="34" x14ac:dyDescent="0.2">
      <c r="A162" s="5" t="s">
        <v>175</v>
      </c>
      <c r="B162" s="9" t="s">
        <v>24</v>
      </c>
      <c r="C162" s="51" t="s">
        <v>113</v>
      </c>
      <c r="E162" s="28">
        <v>1</v>
      </c>
      <c r="F162" s="28"/>
      <c r="G162" s="9">
        <v>1</v>
      </c>
      <c r="H162" s="9"/>
      <c r="I162" s="9">
        <v>1</v>
      </c>
      <c r="J162" s="13"/>
      <c r="K162" s="9"/>
      <c r="L162" s="9">
        <v>1</v>
      </c>
      <c r="M162" s="36"/>
      <c r="N162" s="9">
        <v>2</v>
      </c>
      <c r="O162" s="36"/>
      <c r="P162" s="9">
        <v>0</v>
      </c>
      <c r="R162" s="9"/>
      <c r="S162" s="36">
        <v>0</v>
      </c>
      <c r="T162" s="36"/>
      <c r="U162" s="9">
        <v>2</v>
      </c>
      <c r="V162" s="36"/>
      <c r="W162" s="9">
        <v>1</v>
      </c>
    </row>
    <row r="163" spans="1:23" ht="20" x14ac:dyDescent="0.2">
      <c r="A163" s="5" t="s">
        <v>176</v>
      </c>
      <c r="B163" s="9" t="s">
        <v>24</v>
      </c>
      <c r="E163" s="28">
        <v>1</v>
      </c>
      <c r="F163" s="28"/>
      <c r="G163" s="9">
        <v>1</v>
      </c>
      <c r="H163" s="9"/>
      <c r="I163" s="9">
        <v>1</v>
      </c>
      <c r="J163" s="13"/>
      <c r="K163" s="9"/>
      <c r="L163" s="9">
        <v>1</v>
      </c>
      <c r="M163" s="36"/>
      <c r="N163" s="9">
        <v>2</v>
      </c>
      <c r="O163" s="36"/>
      <c r="P163" s="9">
        <v>0</v>
      </c>
      <c r="R163" s="9"/>
      <c r="S163" s="36">
        <v>0</v>
      </c>
      <c r="T163" s="36"/>
      <c r="U163" s="9">
        <v>2</v>
      </c>
      <c r="V163" s="36"/>
      <c r="W163" s="9">
        <v>0</v>
      </c>
    </row>
    <row r="164" spans="1:23" ht="20" x14ac:dyDescent="0.2">
      <c r="A164" s="5" t="s">
        <v>177</v>
      </c>
      <c r="B164" s="9" t="s">
        <v>24</v>
      </c>
      <c r="E164" s="28">
        <v>1</v>
      </c>
      <c r="F164" s="28"/>
      <c r="G164" s="9">
        <v>1</v>
      </c>
      <c r="H164" s="9"/>
      <c r="I164" s="9">
        <v>1</v>
      </c>
      <c r="J164" s="13"/>
      <c r="K164" s="9"/>
      <c r="L164" s="9">
        <v>1</v>
      </c>
      <c r="M164" s="36"/>
      <c r="N164" s="9">
        <v>2</v>
      </c>
      <c r="O164" s="36"/>
      <c r="P164" s="9">
        <v>0</v>
      </c>
      <c r="R164" s="9"/>
      <c r="S164" s="36">
        <v>0</v>
      </c>
      <c r="T164" s="36"/>
      <c r="U164" s="9">
        <v>2</v>
      </c>
      <c r="V164" s="36"/>
      <c r="W164" s="9">
        <v>0</v>
      </c>
    </row>
    <row r="165" spans="1:23" ht="20" x14ac:dyDescent="0.2">
      <c r="A165" s="5" t="s">
        <v>178</v>
      </c>
      <c r="B165" s="9" t="s">
        <v>24</v>
      </c>
      <c r="E165" s="28">
        <v>1</v>
      </c>
      <c r="F165" s="28"/>
      <c r="G165" s="9">
        <v>1</v>
      </c>
      <c r="H165" s="9"/>
      <c r="I165" s="9">
        <v>1</v>
      </c>
      <c r="J165" s="13"/>
      <c r="K165" s="9"/>
      <c r="L165" s="9">
        <v>0</v>
      </c>
      <c r="M165" s="36"/>
      <c r="N165" s="9">
        <v>2</v>
      </c>
      <c r="O165" s="36"/>
      <c r="P165" s="9">
        <v>0</v>
      </c>
      <c r="R165" s="9"/>
      <c r="S165" s="36">
        <v>0</v>
      </c>
      <c r="T165" s="36"/>
      <c r="U165" s="9">
        <v>2</v>
      </c>
      <c r="V165" s="36"/>
      <c r="W165" s="9">
        <v>0</v>
      </c>
    </row>
    <row r="166" spans="1:23" ht="20" x14ac:dyDescent="0.2">
      <c r="A166" s="5" t="s">
        <v>179</v>
      </c>
      <c r="B166" s="9" t="s">
        <v>24</v>
      </c>
      <c r="E166" s="28">
        <v>1</v>
      </c>
      <c r="F166" s="28"/>
      <c r="G166" s="9">
        <v>1</v>
      </c>
      <c r="H166" s="9"/>
      <c r="I166" s="9">
        <v>1</v>
      </c>
      <c r="J166" s="13"/>
      <c r="K166" s="9"/>
      <c r="L166" s="9">
        <v>1</v>
      </c>
      <c r="M166" s="36"/>
      <c r="N166" s="9">
        <v>2</v>
      </c>
      <c r="O166" s="36"/>
      <c r="P166" s="9">
        <v>0</v>
      </c>
      <c r="R166" s="9"/>
      <c r="S166" s="36">
        <v>0</v>
      </c>
      <c r="T166" s="36"/>
      <c r="U166" s="9">
        <v>2</v>
      </c>
      <c r="V166" s="36"/>
      <c r="W166" s="9">
        <v>0</v>
      </c>
    </row>
    <row r="167" spans="1:23" ht="20" x14ac:dyDescent="0.2">
      <c r="A167" s="5" t="s">
        <v>180</v>
      </c>
      <c r="B167" s="9" t="s">
        <v>24</v>
      </c>
      <c r="E167" s="28">
        <v>1</v>
      </c>
      <c r="F167" s="28"/>
      <c r="G167" s="9">
        <v>1</v>
      </c>
      <c r="H167" s="9"/>
      <c r="I167" s="9">
        <v>1</v>
      </c>
      <c r="J167" s="13"/>
      <c r="K167" s="9"/>
      <c r="L167" s="9">
        <v>1</v>
      </c>
      <c r="M167" s="36"/>
      <c r="N167" s="9">
        <v>2</v>
      </c>
      <c r="O167" s="36"/>
      <c r="P167" s="9">
        <v>0</v>
      </c>
      <c r="R167" s="9"/>
      <c r="S167" s="36">
        <v>0</v>
      </c>
      <c r="T167" s="36"/>
      <c r="U167" s="9">
        <v>2</v>
      </c>
      <c r="V167" s="36"/>
      <c r="W167" s="9">
        <v>0</v>
      </c>
    </row>
    <row r="168" spans="1:23" ht="20" x14ac:dyDescent="0.2">
      <c r="A168" s="5" t="s">
        <v>181</v>
      </c>
      <c r="B168" s="9" t="s">
        <v>24</v>
      </c>
      <c r="E168" s="28">
        <v>1</v>
      </c>
      <c r="F168" s="28"/>
      <c r="G168" s="9">
        <v>1</v>
      </c>
      <c r="H168" s="9"/>
      <c r="I168" s="9">
        <v>1</v>
      </c>
      <c r="J168" s="13"/>
      <c r="K168" s="9"/>
      <c r="L168" s="9">
        <v>1</v>
      </c>
      <c r="M168" s="36"/>
      <c r="N168" s="9">
        <v>2</v>
      </c>
      <c r="O168" s="36"/>
      <c r="P168" s="9">
        <v>0</v>
      </c>
      <c r="R168" s="9"/>
      <c r="S168" s="36">
        <v>0</v>
      </c>
      <c r="T168" s="36"/>
      <c r="U168" s="9">
        <v>2</v>
      </c>
      <c r="V168" s="36"/>
      <c r="W168" s="9">
        <v>1</v>
      </c>
    </row>
    <row r="169" spans="1:23" ht="20" x14ac:dyDescent="0.2">
      <c r="A169" s="5" t="s">
        <v>209</v>
      </c>
      <c r="B169" s="9" t="s">
        <v>24</v>
      </c>
      <c r="E169" s="28">
        <v>1</v>
      </c>
      <c r="F169" s="28"/>
      <c r="G169" s="9">
        <v>1</v>
      </c>
      <c r="H169" s="9"/>
      <c r="I169" s="9">
        <v>1</v>
      </c>
      <c r="J169" s="13"/>
      <c r="K169" s="9"/>
      <c r="L169" s="9">
        <v>1</v>
      </c>
      <c r="M169" s="36"/>
      <c r="N169" s="9">
        <v>2</v>
      </c>
      <c r="O169" s="36"/>
      <c r="P169" s="9">
        <v>0</v>
      </c>
      <c r="R169" s="9"/>
      <c r="S169" s="36">
        <v>0</v>
      </c>
      <c r="T169" s="36"/>
      <c r="U169" s="9">
        <v>2</v>
      </c>
      <c r="V169" s="36"/>
      <c r="W169" s="9">
        <v>0</v>
      </c>
    </row>
    <row r="170" spans="1:23" ht="20" x14ac:dyDescent="0.2">
      <c r="A170" s="5" t="s">
        <v>182</v>
      </c>
      <c r="B170" s="9" t="s">
        <v>24</v>
      </c>
      <c r="E170" s="28">
        <v>1</v>
      </c>
      <c r="F170" s="28"/>
      <c r="G170" s="9">
        <v>1</v>
      </c>
      <c r="H170" s="9"/>
      <c r="I170" s="9">
        <v>1</v>
      </c>
      <c r="J170" s="13"/>
      <c r="K170" s="9"/>
      <c r="L170" s="9">
        <v>1</v>
      </c>
      <c r="M170" s="36"/>
      <c r="N170" s="9">
        <v>2</v>
      </c>
      <c r="O170" s="36"/>
      <c r="P170" s="9">
        <v>0</v>
      </c>
      <c r="R170" s="9"/>
      <c r="S170" s="36">
        <v>0</v>
      </c>
      <c r="T170" s="36"/>
      <c r="U170" s="9">
        <v>2</v>
      </c>
      <c r="V170" s="36"/>
      <c r="W170" s="9">
        <v>0</v>
      </c>
    </row>
    <row r="171" spans="1:23" ht="34" x14ac:dyDescent="0.2">
      <c r="A171" s="3" t="s">
        <v>154</v>
      </c>
      <c r="B171" s="7" t="s">
        <v>45</v>
      </c>
      <c r="C171" s="51" t="s">
        <v>114</v>
      </c>
      <c r="E171" s="26">
        <v>1</v>
      </c>
      <c r="F171" s="26"/>
      <c r="G171" s="7">
        <v>0</v>
      </c>
      <c r="H171" s="7"/>
      <c r="I171" s="7">
        <v>1</v>
      </c>
      <c r="J171" s="13"/>
      <c r="K171" s="7"/>
      <c r="L171" s="7">
        <v>0</v>
      </c>
      <c r="M171" s="34"/>
      <c r="N171" s="7">
        <v>2</v>
      </c>
      <c r="O171" s="34"/>
      <c r="P171" s="7">
        <v>0</v>
      </c>
      <c r="R171" s="7"/>
      <c r="S171" s="34">
        <v>0</v>
      </c>
      <c r="T171" s="34"/>
      <c r="U171" s="7">
        <v>0</v>
      </c>
      <c r="V171" s="34"/>
      <c r="W171" s="7">
        <v>0</v>
      </c>
    </row>
    <row r="172" spans="1:23" ht="20" x14ac:dyDescent="0.2">
      <c r="A172" s="3" t="s">
        <v>183</v>
      </c>
      <c r="B172" s="7" t="s">
        <v>45</v>
      </c>
      <c r="E172" s="26">
        <v>1</v>
      </c>
      <c r="F172" s="26"/>
      <c r="G172" s="7">
        <v>0</v>
      </c>
      <c r="H172" s="7"/>
      <c r="I172" s="7">
        <v>2</v>
      </c>
      <c r="J172" s="13"/>
      <c r="K172" s="7"/>
      <c r="L172" s="7">
        <v>1</v>
      </c>
      <c r="M172" s="34"/>
      <c r="N172" s="7">
        <v>2</v>
      </c>
      <c r="O172" s="34"/>
      <c r="P172" s="7">
        <v>2</v>
      </c>
      <c r="R172" s="7"/>
      <c r="S172" s="34">
        <v>0</v>
      </c>
      <c r="T172" s="34"/>
      <c r="U172" s="7">
        <v>0</v>
      </c>
      <c r="V172" s="34"/>
      <c r="W172" s="7">
        <v>0</v>
      </c>
    </row>
    <row r="173" spans="1:23" ht="20" x14ac:dyDescent="0.2">
      <c r="A173" s="3" t="s">
        <v>184</v>
      </c>
      <c r="B173" s="7" t="s">
        <v>45</v>
      </c>
      <c r="E173" s="26">
        <v>1</v>
      </c>
      <c r="F173" s="26"/>
      <c r="G173" s="7">
        <v>0</v>
      </c>
      <c r="H173" s="7"/>
      <c r="I173" s="7">
        <v>1</v>
      </c>
      <c r="J173" s="13"/>
      <c r="K173" s="7"/>
      <c r="L173" s="7">
        <v>1</v>
      </c>
      <c r="M173" s="34"/>
      <c r="N173" s="7">
        <v>2</v>
      </c>
      <c r="O173" s="34"/>
      <c r="P173" s="7">
        <v>2</v>
      </c>
      <c r="R173" s="7"/>
      <c r="S173" s="34">
        <v>0</v>
      </c>
      <c r="T173" s="34"/>
      <c r="U173" s="7">
        <v>0</v>
      </c>
      <c r="V173" s="34"/>
      <c r="W173" s="7">
        <v>0</v>
      </c>
    </row>
    <row r="174" spans="1:23" ht="20" x14ac:dyDescent="0.2">
      <c r="A174" s="3" t="s">
        <v>185</v>
      </c>
      <c r="B174" s="7" t="s">
        <v>45</v>
      </c>
      <c r="E174" s="26">
        <v>1</v>
      </c>
      <c r="F174" s="26"/>
      <c r="G174" s="7">
        <v>0</v>
      </c>
      <c r="H174" s="7"/>
      <c r="I174" s="7">
        <v>1</v>
      </c>
      <c r="J174" s="13"/>
      <c r="K174" s="7"/>
      <c r="L174" s="7">
        <v>1</v>
      </c>
      <c r="M174" s="34"/>
      <c r="N174" s="7">
        <v>2</v>
      </c>
      <c r="O174" s="34"/>
      <c r="P174" s="7">
        <v>0</v>
      </c>
      <c r="R174" s="7"/>
      <c r="S174" s="34">
        <v>0</v>
      </c>
      <c r="T174" s="34"/>
      <c r="U174" s="7">
        <v>0</v>
      </c>
      <c r="V174" s="34"/>
      <c r="W174" s="7">
        <v>0</v>
      </c>
    </row>
    <row r="175" spans="1:23" ht="20" x14ac:dyDescent="0.2">
      <c r="A175" s="3" t="s">
        <v>186</v>
      </c>
      <c r="B175" s="7" t="s">
        <v>45</v>
      </c>
      <c r="E175" s="26">
        <v>1</v>
      </c>
      <c r="F175" s="26"/>
      <c r="G175" s="7">
        <v>0</v>
      </c>
      <c r="H175" s="7"/>
      <c r="I175" s="7">
        <v>1</v>
      </c>
      <c r="J175" s="13"/>
      <c r="K175" s="7"/>
      <c r="L175" s="7">
        <v>1</v>
      </c>
      <c r="M175" s="34"/>
      <c r="N175" s="7">
        <v>2</v>
      </c>
      <c r="O175" s="34"/>
      <c r="P175" s="7">
        <v>0</v>
      </c>
      <c r="R175" s="7"/>
      <c r="S175" s="34">
        <v>0</v>
      </c>
      <c r="T175" s="34"/>
      <c r="U175" s="7">
        <v>0</v>
      </c>
      <c r="V175" s="34"/>
      <c r="W175" s="7">
        <v>0</v>
      </c>
    </row>
    <row r="176" spans="1:23" ht="20" x14ac:dyDescent="0.2">
      <c r="A176" s="3" t="s">
        <v>187</v>
      </c>
      <c r="B176" s="7" t="s">
        <v>45</v>
      </c>
      <c r="E176" s="26">
        <v>1</v>
      </c>
      <c r="F176" s="26"/>
      <c r="G176" s="7">
        <v>0</v>
      </c>
      <c r="H176" s="7"/>
      <c r="I176" s="7">
        <v>1</v>
      </c>
      <c r="J176" s="13"/>
      <c r="K176" s="7"/>
      <c r="L176" s="7">
        <v>1</v>
      </c>
      <c r="M176" s="34"/>
      <c r="N176" s="7">
        <v>2</v>
      </c>
      <c r="O176" s="34"/>
      <c r="P176" s="7">
        <v>0</v>
      </c>
      <c r="R176" s="7"/>
      <c r="S176" s="34">
        <v>0</v>
      </c>
      <c r="T176" s="34"/>
      <c r="U176" s="7">
        <v>0</v>
      </c>
      <c r="V176" s="34"/>
      <c r="W176" s="7">
        <v>0</v>
      </c>
    </row>
    <row r="177" spans="1:23" ht="20" x14ac:dyDescent="0.2">
      <c r="A177" s="3" t="s">
        <v>188</v>
      </c>
      <c r="B177" s="7" t="s">
        <v>45</v>
      </c>
      <c r="E177" s="26">
        <v>1</v>
      </c>
      <c r="F177" s="26"/>
      <c r="G177" s="7">
        <v>0</v>
      </c>
      <c r="H177" s="7"/>
      <c r="I177" s="7">
        <v>1</v>
      </c>
      <c r="J177" s="13"/>
      <c r="K177" s="7"/>
      <c r="L177" s="7">
        <v>1</v>
      </c>
      <c r="M177" s="34"/>
      <c r="N177" s="7">
        <v>2</v>
      </c>
      <c r="O177" s="34"/>
      <c r="P177" s="7">
        <v>0</v>
      </c>
      <c r="R177" s="7"/>
      <c r="S177" s="34">
        <v>0</v>
      </c>
      <c r="T177" s="34"/>
      <c r="U177" s="7">
        <v>0</v>
      </c>
      <c r="V177" s="34"/>
      <c r="W177" s="7">
        <v>0</v>
      </c>
    </row>
    <row r="178" spans="1:23" ht="40" x14ac:dyDescent="0.2">
      <c r="A178" s="3" t="s">
        <v>207</v>
      </c>
      <c r="B178" s="7" t="s">
        <v>45</v>
      </c>
      <c r="E178" s="26">
        <v>1</v>
      </c>
      <c r="F178" s="26"/>
      <c r="G178" s="7">
        <v>0</v>
      </c>
      <c r="H178" s="7"/>
      <c r="I178" s="7">
        <v>1</v>
      </c>
      <c r="J178" s="13"/>
      <c r="K178" s="7"/>
      <c r="L178" s="7">
        <v>1</v>
      </c>
      <c r="M178" s="34"/>
      <c r="N178" s="7">
        <v>2</v>
      </c>
      <c r="O178" s="34"/>
      <c r="P178" s="7">
        <v>0</v>
      </c>
      <c r="R178" s="7"/>
      <c r="S178" s="34">
        <v>0</v>
      </c>
      <c r="T178" s="34"/>
      <c r="U178" s="7">
        <v>0</v>
      </c>
      <c r="V178" s="34"/>
      <c r="W178" s="7">
        <v>0</v>
      </c>
    </row>
    <row r="179" spans="1:23" ht="20" x14ac:dyDescent="0.2">
      <c r="A179" s="3" t="s">
        <v>189</v>
      </c>
      <c r="B179" s="7" t="s">
        <v>45</v>
      </c>
      <c r="E179" s="26">
        <v>1</v>
      </c>
      <c r="F179" s="26"/>
      <c r="G179" s="7">
        <v>0</v>
      </c>
      <c r="H179" s="7"/>
      <c r="I179" s="7">
        <v>1</v>
      </c>
      <c r="J179" s="13"/>
      <c r="K179" s="7"/>
      <c r="L179" s="7">
        <v>1</v>
      </c>
      <c r="M179" s="34"/>
      <c r="N179" s="7">
        <v>2</v>
      </c>
      <c r="O179" s="34"/>
      <c r="P179" s="7">
        <v>0</v>
      </c>
      <c r="R179" s="7"/>
      <c r="S179" s="34">
        <v>0</v>
      </c>
      <c r="T179" s="34"/>
      <c r="U179" s="7">
        <v>0</v>
      </c>
      <c r="V179" s="34"/>
      <c r="W179" s="7">
        <v>0</v>
      </c>
    </row>
    <row r="180" spans="1:23" ht="51" x14ac:dyDescent="0.2">
      <c r="A180" s="4" t="s">
        <v>190</v>
      </c>
      <c r="B180" s="8" t="s">
        <v>25</v>
      </c>
      <c r="C180" s="51" t="s">
        <v>191</v>
      </c>
      <c r="E180" s="27">
        <v>2</v>
      </c>
      <c r="F180" s="27"/>
      <c r="G180" s="8">
        <v>2</v>
      </c>
      <c r="H180" s="8"/>
      <c r="I180" s="8">
        <v>1</v>
      </c>
      <c r="J180" s="13"/>
      <c r="K180" s="8"/>
      <c r="L180" s="8">
        <v>1</v>
      </c>
      <c r="M180" s="35"/>
      <c r="N180" s="8">
        <v>2</v>
      </c>
      <c r="O180" s="35"/>
      <c r="P180" s="8">
        <v>0</v>
      </c>
      <c r="R180" s="8"/>
      <c r="S180" s="35">
        <v>0</v>
      </c>
      <c r="T180" s="35"/>
      <c r="U180" s="8">
        <v>0</v>
      </c>
      <c r="V180" s="35"/>
      <c r="W180" s="8">
        <v>1</v>
      </c>
    </row>
    <row r="181" spans="1:23" ht="20" x14ac:dyDescent="0.2">
      <c r="A181" s="4" t="s">
        <v>9</v>
      </c>
      <c r="B181" s="8" t="s">
        <v>25</v>
      </c>
      <c r="C181" s="51" t="s">
        <v>192</v>
      </c>
      <c r="E181" s="27">
        <v>1</v>
      </c>
      <c r="F181" s="27"/>
      <c r="G181" s="8">
        <v>0</v>
      </c>
      <c r="H181" s="8"/>
      <c r="I181" s="8">
        <v>2</v>
      </c>
      <c r="J181" s="13"/>
      <c r="K181" s="8"/>
      <c r="L181" s="8">
        <v>2</v>
      </c>
      <c r="M181" s="35"/>
      <c r="N181" s="8">
        <v>2</v>
      </c>
      <c r="O181" s="35"/>
      <c r="P181" s="8">
        <v>0</v>
      </c>
      <c r="R181" s="8"/>
      <c r="S181" s="35">
        <v>2</v>
      </c>
      <c r="T181" s="35"/>
      <c r="U181" s="8">
        <v>2</v>
      </c>
      <c r="V181" s="35"/>
      <c r="W181" s="8">
        <v>2</v>
      </c>
    </row>
    <row r="182" spans="1:23" ht="34" x14ac:dyDescent="0.2">
      <c r="A182" s="4" t="s">
        <v>10</v>
      </c>
      <c r="B182" s="8" t="s">
        <v>25</v>
      </c>
      <c r="C182" s="51" t="s">
        <v>193</v>
      </c>
      <c r="E182" s="27">
        <v>1</v>
      </c>
      <c r="F182" s="27"/>
      <c r="G182" s="8">
        <v>0</v>
      </c>
      <c r="H182" s="8"/>
      <c r="I182" s="8">
        <v>1</v>
      </c>
      <c r="J182" s="13"/>
      <c r="K182" s="8"/>
      <c r="L182" s="8">
        <v>1</v>
      </c>
      <c r="M182" s="35"/>
      <c r="N182" s="8">
        <v>1</v>
      </c>
      <c r="O182" s="35"/>
      <c r="P182" s="8">
        <v>2</v>
      </c>
      <c r="R182" s="8"/>
      <c r="S182" s="35">
        <v>0</v>
      </c>
      <c r="T182" s="35"/>
      <c r="U182" s="8">
        <v>2</v>
      </c>
      <c r="V182" s="35"/>
      <c r="W182" s="8">
        <v>0</v>
      </c>
    </row>
    <row r="183" spans="1:23" ht="34" x14ac:dyDescent="0.2">
      <c r="A183" s="4" t="s">
        <v>11</v>
      </c>
      <c r="B183" s="8" t="s">
        <v>25</v>
      </c>
      <c r="C183" s="51" t="s">
        <v>194</v>
      </c>
      <c r="E183" s="27">
        <v>1</v>
      </c>
      <c r="F183" s="27"/>
      <c r="G183" s="8">
        <v>2</v>
      </c>
      <c r="H183" s="8"/>
      <c r="I183" s="8">
        <v>2</v>
      </c>
      <c r="J183" s="13"/>
      <c r="K183" s="8"/>
      <c r="L183" s="8">
        <v>1</v>
      </c>
      <c r="M183" s="35"/>
      <c r="N183" s="8">
        <v>1</v>
      </c>
      <c r="O183" s="35"/>
      <c r="P183" s="8">
        <v>0</v>
      </c>
      <c r="R183" s="8"/>
      <c r="S183" s="35">
        <v>0</v>
      </c>
      <c r="T183" s="35"/>
      <c r="U183" s="8">
        <v>0</v>
      </c>
      <c r="V183" s="35"/>
      <c r="W183" s="8">
        <v>0</v>
      </c>
    </row>
    <row r="184" spans="1:23" ht="34" x14ac:dyDescent="0.2">
      <c r="A184" s="4" t="s">
        <v>17</v>
      </c>
      <c r="B184" s="8" t="s">
        <v>25</v>
      </c>
      <c r="C184" s="51" t="s">
        <v>195</v>
      </c>
      <c r="E184" s="27">
        <v>1</v>
      </c>
      <c r="F184" s="27"/>
      <c r="G184" s="8">
        <v>2</v>
      </c>
      <c r="H184" s="8"/>
      <c r="I184" s="8">
        <v>2</v>
      </c>
      <c r="J184" s="13"/>
      <c r="K184" s="8"/>
      <c r="L184" s="8">
        <v>1</v>
      </c>
      <c r="M184" s="35"/>
      <c r="N184" s="8">
        <v>1</v>
      </c>
      <c r="O184" s="35"/>
      <c r="P184" s="8">
        <v>2</v>
      </c>
      <c r="R184" s="8"/>
      <c r="S184" s="35">
        <v>0</v>
      </c>
      <c r="T184" s="35"/>
      <c r="U184" s="8">
        <v>0</v>
      </c>
      <c r="V184" s="35"/>
      <c r="W184" s="8">
        <v>1</v>
      </c>
    </row>
    <row r="185" spans="1:23" ht="34" x14ac:dyDescent="0.2">
      <c r="A185" s="4" t="s">
        <v>15</v>
      </c>
      <c r="B185" s="8" t="s">
        <v>25</v>
      </c>
      <c r="C185" s="51" t="s">
        <v>196</v>
      </c>
      <c r="E185" s="27">
        <v>2</v>
      </c>
      <c r="F185" s="27"/>
      <c r="G185" s="8">
        <v>1</v>
      </c>
      <c r="H185" s="8"/>
      <c r="I185" s="8">
        <v>1</v>
      </c>
      <c r="J185" s="13"/>
      <c r="K185" s="8"/>
      <c r="L185" s="8">
        <v>1</v>
      </c>
      <c r="M185" s="35"/>
      <c r="N185" s="8">
        <v>2</v>
      </c>
      <c r="O185" s="35"/>
      <c r="P185" s="8">
        <v>0</v>
      </c>
      <c r="R185" s="8"/>
      <c r="S185" s="35">
        <v>0</v>
      </c>
      <c r="T185" s="35"/>
      <c r="U185" s="8">
        <v>0</v>
      </c>
      <c r="V185" s="35"/>
      <c r="W185" s="8">
        <v>0</v>
      </c>
    </row>
    <row r="186" spans="1:23" ht="51" x14ac:dyDescent="0.2">
      <c r="A186" s="4" t="s">
        <v>16</v>
      </c>
      <c r="B186" s="8" t="s">
        <v>25</v>
      </c>
      <c r="C186" s="51" t="s">
        <v>197</v>
      </c>
      <c r="E186" s="27">
        <v>2</v>
      </c>
      <c r="F186" s="27"/>
      <c r="G186" s="8">
        <v>2</v>
      </c>
      <c r="H186" s="8"/>
      <c r="I186" s="8">
        <v>1</v>
      </c>
      <c r="J186" s="13"/>
      <c r="K186" s="8"/>
      <c r="L186" s="8">
        <v>1</v>
      </c>
      <c r="M186" s="35"/>
      <c r="N186" s="8">
        <v>2</v>
      </c>
      <c r="O186" s="35"/>
      <c r="P186" s="8">
        <v>0</v>
      </c>
      <c r="R186" s="8"/>
      <c r="S186" s="35">
        <v>0</v>
      </c>
      <c r="T186" s="35"/>
      <c r="U186" s="8">
        <v>0</v>
      </c>
      <c r="V186" s="35"/>
      <c r="W186" s="8">
        <v>1</v>
      </c>
    </row>
    <row r="187" spans="1:23" ht="34" x14ac:dyDescent="0.2">
      <c r="A187" s="4" t="s">
        <v>12</v>
      </c>
      <c r="B187" s="8" t="s">
        <v>25</v>
      </c>
      <c r="C187" s="51" t="s">
        <v>198</v>
      </c>
      <c r="E187" s="27">
        <v>1</v>
      </c>
      <c r="F187" s="27"/>
      <c r="G187" s="8">
        <v>2</v>
      </c>
      <c r="H187" s="8"/>
      <c r="I187" s="8">
        <v>1</v>
      </c>
      <c r="J187" s="13"/>
      <c r="K187" s="8"/>
      <c r="L187" s="8">
        <v>1</v>
      </c>
      <c r="M187" s="35"/>
      <c r="N187" s="8">
        <v>2</v>
      </c>
      <c r="O187" s="35"/>
      <c r="P187" s="8">
        <v>2</v>
      </c>
      <c r="R187" s="8"/>
      <c r="S187" s="35">
        <v>0</v>
      </c>
      <c r="T187" s="35"/>
      <c r="U187" s="8">
        <v>0</v>
      </c>
      <c r="V187" s="35"/>
      <c r="W187" s="8">
        <v>2</v>
      </c>
    </row>
    <row r="188" spans="1:23" ht="34" x14ac:dyDescent="0.2">
      <c r="A188" s="4" t="s">
        <v>13</v>
      </c>
      <c r="B188" s="8" t="s">
        <v>25</v>
      </c>
      <c r="C188" s="51" t="s">
        <v>199</v>
      </c>
      <c r="E188" s="27">
        <v>2</v>
      </c>
      <c r="F188" s="27"/>
      <c r="G188" s="8">
        <v>1</v>
      </c>
      <c r="H188" s="8"/>
      <c r="I188" s="8">
        <v>1</v>
      </c>
      <c r="J188" s="13"/>
      <c r="K188" s="8"/>
      <c r="L188" s="8">
        <v>1</v>
      </c>
      <c r="M188" s="35"/>
      <c r="N188" s="8">
        <v>2</v>
      </c>
      <c r="O188" s="35"/>
      <c r="P188" s="8">
        <v>1</v>
      </c>
      <c r="R188" s="8"/>
      <c r="S188" s="35">
        <v>0</v>
      </c>
      <c r="T188" s="35"/>
      <c r="U188" s="8">
        <v>0</v>
      </c>
      <c r="V188" s="35"/>
      <c r="W188" s="8">
        <v>2</v>
      </c>
    </row>
    <row r="189" spans="1:23" ht="34" x14ac:dyDescent="0.2">
      <c r="A189" s="4" t="s">
        <v>14</v>
      </c>
      <c r="B189" s="8" t="s">
        <v>25</v>
      </c>
      <c r="C189" s="51" t="s">
        <v>200</v>
      </c>
      <c r="E189" s="27">
        <v>1</v>
      </c>
      <c r="F189" s="27"/>
      <c r="G189" s="8">
        <v>2</v>
      </c>
      <c r="H189" s="8"/>
      <c r="I189" s="8">
        <v>1</v>
      </c>
      <c r="J189" s="13"/>
      <c r="K189" s="8"/>
      <c r="L189" s="8">
        <v>1</v>
      </c>
      <c r="M189" s="35"/>
      <c r="N189" s="8">
        <v>2</v>
      </c>
      <c r="O189" s="35"/>
      <c r="P189" s="8">
        <v>2</v>
      </c>
      <c r="R189" s="8"/>
      <c r="S189" s="35">
        <v>0</v>
      </c>
      <c r="T189" s="35"/>
      <c r="U189" s="8">
        <v>0</v>
      </c>
      <c r="V189" s="35"/>
      <c r="W189" s="8">
        <v>1</v>
      </c>
    </row>
  </sheetData>
  <mergeCells count="14">
    <mergeCell ref="G30:L30"/>
    <mergeCell ref="G34:L34"/>
    <mergeCell ref="A39:C39"/>
    <mergeCell ref="G6:L6"/>
    <mergeCell ref="G10:L10"/>
    <mergeCell ref="G14:L14"/>
    <mergeCell ref="G18:L18"/>
    <mergeCell ref="G22:L22"/>
    <mergeCell ref="G26:L26"/>
    <mergeCell ref="AF1:AH1"/>
    <mergeCell ref="G1:L1"/>
    <mergeCell ref="T1:V1"/>
    <mergeCell ref="X1:Z1"/>
    <mergeCell ref="AB1:AD1"/>
  </mergeCells>
  <hyperlinks>
    <hyperlink ref="C90" r:id="rId1" xr:uid="{5EDA38AC-1039-5241-8C57-9BA2C84CDC88}"/>
    <hyperlink ref="C99" r:id="rId2" xr:uid="{BA7D9420-04D6-0243-9F45-B1DB3C139B3D}"/>
    <hyperlink ref="C108" r:id="rId3" xr:uid="{C071243C-FFB6-F446-B541-E9E7E1439276}"/>
    <hyperlink ref="C117" r:id="rId4" xr:uid="{3C261B22-AC4C-C740-AE35-889A40E1B375}"/>
    <hyperlink ref="C126" r:id="rId5" xr:uid="{97325B60-B493-5E44-9FAC-0B1D4FE46CEA}"/>
    <hyperlink ref="C135" r:id="rId6" xr:uid="{32C04B3C-DCFD-224A-A401-0ED468284728}"/>
    <hyperlink ref="C144" r:id="rId7" xr:uid="{50B0058A-A0D6-EC4F-BF4D-D9B30E539813}"/>
    <hyperlink ref="C153" r:id="rId8" xr:uid="{03751892-9B14-DB41-8AB7-7E9128C04568}"/>
    <hyperlink ref="C162" r:id="rId9" xr:uid="{CF0878DA-30A3-454F-82DF-40B4ED0232DE}"/>
    <hyperlink ref="C171" r:id="rId10" xr:uid="{F257B3FC-3CB9-FB4B-8C26-097800BD0EAF}"/>
    <hyperlink ref="C180" r:id="rId11" xr:uid="{9947E6E8-C9A4-8043-828E-99D161DD4EFE}"/>
    <hyperlink ref="C181" r:id="rId12" xr:uid="{9AAA38C0-6F3A-0B4A-A1E9-BB4E51A50656}"/>
    <hyperlink ref="C182" r:id="rId13" xr:uid="{AC59DC9C-2C5F-E348-9E8A-A2028C17C6DD}"/>
    <hyperlink ref="C183" r:id="rId14" xr:uid="{5E647794-E86F-3143-AA14-2019BE84C3E7}"/>
    <hyperlink ref="C184" r:id="rId15" xr:uid="{5D501B6D-ABDB-2A4A-B562-28D5533F5851}"/>
    <hyperlink ref="C185" r:id="rId16" xr:uid="{55AD4492-0DBB-3B49-8974-317B1D59DB7C}"/>
    <hyperlink ref="C186" r:id="rId17" xr:uid="{906C26C8-D7EE-6E49-8EE3-036B828DB3DF}"/>
    <hyperlink ref="C187" r:id="rId18" xr:uid="{45629E11-0E31-2C43-9289-42EDA3FAB8B3}"/>
    <hyperlink ref="C188" r:id="rId19" xr:uid="{51772C7A-DC57-E645-86EF-443ACAEE86BA}"/>
    <hyperlink ref="C189" r:id="rId20" xr:uid="{D6CD735A-9679-7A4E-ACC4-F4FC94DFE5A8}"/>
  </hyperlinks>
  <pageMargins left="0.7" right="0.7" top="0.75" bottom="0.75" header="0.3" footer="0.3"/>
  <drawing r:id="rId21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1st-1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2024-08-16T07:13:12Z</dcterms:modified>
</cp:coreProperties>
</file>