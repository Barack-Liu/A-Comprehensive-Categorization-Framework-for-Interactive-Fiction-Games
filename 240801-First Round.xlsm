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 codeName="{873B2839-AC87-7CC4-5C0F-16DCB98317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wnetid-my.sharepoint.com/personal/hongyang_uw_edu/Documents/230925-Capstone-CSS -595-700/231006-Research-Progress- Excel/"/>
    </mc:Choice>
  </mc:AlternateContent>
  <xr:revisionPtr revIDLastSave="1565" documentId="8_{2E567EC8-8EDB-5847-A50D-74DD9F2937A4}" xr6:coauthVersionLast="47" xr6:coauthVersionMax="47" xr10:uidLastSave="{9A295C33-5EA2-A44E-8987-0D96A3C1F5E4}"/>
  <bookViews>
    <workbookView xWindow="-23360" yWindow="560" windowWidth="23360" windowHeight="14540" xr2:uid="{18342DF9-798A-DA42-BBC4-C755067F6B3B}"/>
  </bookViews>
  <sheets>
    <sheet name="1st-1" sheetId="9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87" i="9" l="1"/>
  <c r="U87" i="9"/>
  <c r="S87" i="9"/>
  <c r="P87" i="9"/>
  <c r="N87" i="9"/>
  <c r="L87" i="9"/>
  <c r="I87" i="9"/>
  <c r="G87" i="9"/>
  <c r="E87" i="9"/>
  <c r="W86" i="9"/>
  <c r="W78" i="9"/>
  <c r="W80" i="9"/>
  <c r="W85" i="9"/>
  <c r="W84" i="9"/>
  <c r="W76" i="9"/>
  <c r="W77" i="9"/>
  <c r="W83" i="9"/>
  <c r="W81" i="9"/>
  <c r="W79" i="9"/>
  <c r="W82" i="9"/>
  <c r="W75" i="9"/>
  <c r="W67" i="9"/>
  <c r="W69" i="9"/>
  <c r="W74" i="9"/>
  <c r="W73" i="9"/>
  <c r="W65" i="9"/>
  <c r="W66" i="9"/>
  <c r="W72" i="9"/>
  <c r="W70" i="9"/>
  <c r="W68" i="9"/>
  <c r="W71" i="9"/>
  <c r="W64" i="9"/>
  <c r="W56" i="9"/>
  <c r="W58" i="9"/>
  <c r="W63" i="9"/>
  <c r="W62" i="9"/>
  <c r="W54" i="9"/>
  <c r="W55" i="9"/>
  <c r="W61" i="9"/>
  <c r="W59" i="9"/>
  <c r="W57" i="9"/>
  <c r="W60" i="9"/>
  <c r="U86" i="9"/>
  <c r="U78" i="9"/>
  <c r="U80" i="9"/>
  <c r="U85" i="9"/>
  <c r="U84" i="9"/>
  <c r="U76" i="9"/>
  <c r="U77" i="9"/>
  <c r="U83" i="9"/>
  <c r="U81" i="9"/>
  <c r="U79" i="9"/>
  <c r="U82" i="9"/>
  <c r="U75" i="9"/>
  <c r="U67" i="9"/>
  <c r="U69" i="9"/>
  <c r="U74" i="9"/>
  <c r="U73" i="9"/>
  <c r="U65" i="9"/>
  <c r="U66" i="9"/>
  <c r="U72" i="9"/>
  <c r="U70" i="9"/>
  <c r="U68" i="9"/>
  <c r="U71" i="9"/>
  <c r="U64" i="9"/>
  <c r="U56" i="9"/>
  <c r="U58" i="9"/>
  <c r="U63" i="9"/>
  <c r="U62" i="9"/>
  <c r="U54" i="9"/>
  <c r="U55" i="9"/>
  <c r="U61" i="9"/>
  <c r="U59" i="9"/>
  <c r="U57" i="9"/>
  <c r="U60" i="9"/>
  <c r="S86" i="9"/>
  <c r="S78" i="9"/>
  <c r="S80" i="9"/>
  <c r="S85" i="9"/>
  <c r="S84" i="9"/>
  <c r="S76" i="9"/>
  <c r="S77" i="9"/>
  <c r="S83" i="9"/>
  <c r="S81" i="9"/>
  <c r="S79" i="9"/>
  <c r="S82" i="9"/>
  <c r="S75" i="9"/>
  <c r="S67" i="9"/>
  <c r="S69" i="9"/>
  <c r="S74" i="9"/>
  <c r="S73" i="9"/>
  <c r="S65" i="9"/>
  <c r="S66" i="9"/>
  <c r="S72" i="9"/>
  <c r="S70" i="9"/>
  <c r="S68" i="9"/>
  <c r="S71" i="9"/>
  <c r="S64" i="9"/>
  <c r="S56" i="9"/>
  <c r="S58" i="9"/>
  <c r="S63" i="9"/>
  <c r="S62" i="9"/>
  <c r="S54" i="9"/>
  <c r="S55" i="9"/>
  <c r="S61" i="9"/>
  <c r="S59" i="9"/>
  <c r="S57" i="9"/>
  <c r="S60" i="9"/>
  <c r="P86" i="9"/>
  <c r="P78" i="9"/>
  <c r="P80" i="9"/>
  <c r="P85" i="9"/>
  <c r="P84" i="9"/>
  <c r="P76" i="9"/>
  <c r="P77" i="9"/>
  <c r="P83" i="9"/>
  <c r="P81" i="9"/>
  <c r="P79" i="9"/>
  <c r="P82" i="9"/>
  <c r="P75" i="9"/>
  <c r="P67" i="9"/>
  <c r="P69" i="9"/>
  <c r="P74" i="9"/>
  <c r="P73" i="9"/>
  <c r="P65" i="9"/>
  <c r="P66" i="9"/>
  <c r="P72" i="9"/>
  <c r="P70" i="9"/>
  <c r="P68" i="9"/>
  <c r="P71" i="9"/>
  <c r="P64" i="9"/>
  <c r="P56" i="9"/>
  <c r="P58" i="9"/>
  <c r="P63" i="9"/>
  <c r="P62" i="9"/>
  <c r="P54" i="9"/>
  <c r="P55" i="9"/>
  <c r="P61" i="9"/>
  <c r="P59" i="9"/>
  <c r="P57" i="9"/>
  <c r="P60" i="9"/>
  <c r="N86" i="9"/>
  <c r="N78" i="9"/>
  <c r="N80" i="9"/>
  <c r="N85" i="9"/>
  <c r="N84" i="9"/>
  <c r="N76" i="9"/>
  <c r="N77" i="9"/>
  <c r="N83" i="9"/>
  <c r="N81" i="9"/>
  <c r="N79" i="9"/>
  <c r="N82" i="9"/>
  <c r="N75" i="9"/>
  <c r="N67" i="9"/>
  <c r="N69" i="9"/>
  <c r="N74" i="9"/>
  <c r="N73" i="9"/>
  <c r="N65" i="9"/>
  <c r="N66" i="9"/>
  <c r="N72" i="9"/>
  <c r="N70" i="9"/>
  <c r="N68" i="9"/>
  <c r="N71" i="9"/>
  <c r="N64" i="9"/>
  <c r="N56" i="9"/>
  <c r="N58" i="9"/>
  <c r="N63" i="9"/>
  <c r="N62" i="9"/>
  <c r="N54" i="9"/>
  <c r="N55" i="9"/>
  <c r="N61" i="9"/>
  <c r="N59" i="9"/>
  <c r="N57" i="9"/>
  <c r="N60" i="9"/>
  <c r="L86" i="9"/>
  <c r="L78" i="9"/>
  <c r="L80" i="9"/>
  <c r="L85" i="9"/>
  <c r="L84" i="9"/>
  <c r="L76" i="9"/>
  <c r="L77" i="9"/>
  <c r="L83" i="9"/>
  <c r="L81" i="9"/>
  <c r="L79" i="9"/>
  <c r="L82" i="9"/>
  <c r="L75" i="9"/>
  <c r="L67" i="9"/>
  <c r="L69" i="9"/>
  <c r="L74" i="9"/>
  <c r="L73" i="9"/>
  <c r="L65" i="9"/>
  <c r="L66" i="9"/>
  <c r="L72" i="9"/>
  <c r="L70" i="9"/>
  <c r="L68" i="9"/>
  <c r="L71" i="9"/>
  <c r="L64" i="9"/>
  <c r="L56" i="9"/>
  <c r="L58" i="9"/>
  <c r="L63" i="9"/>
  <c r="L62" i="9"/>
  <c r="L54" i="9"/>
  <c r="L55" i="9"/>
  <c r="L61" i="9"/>
  <c r="L59" i="9"/>
  <c r="L57" i="9"/>
  <c r="L60" i="9"/>
  <c r="I86" i="9"/>
  <c r="I78" i="9"/>
  <c r="I80" i="9"/>
  <c r="I85" i="9"/>
  <c r="I84" i="9"/>
  <c r="I76" i="9"/>
  <c r="I77" i="9"/>
  <c r="I83" i="9"/>
  <c r="I81" i="9"/>
  <c r="I79" i="9"/>
  <c r="I82" i="9"/>
  <c r="I75" i="9"/>
  <c r="I67" i="9"/>
  <c r="I69" i="9"/>
  <c r="I74" i="9"/>
  <c r="I73" i="9"/>
  <c r="I65" i="9"/>
  <c r="I66" i="9"/>
  <c r="I72" i="9"/>
  <c r="I70" i="9"/>
  <c r="I68" i="9"/>
  <c r="I71" i="9"/>
  <c r="I64" i="9"/>
  <c r="I56" i="9"/>
  <c r="I58" i="9"/>
  <c r="I63" i="9"/>
  <c r="I62" i="9"/>
  <c r="I54" i="9"/>
  <c r="I55" i="9"/>
  <c r="I61" i="9"/>
  <c r="I59" i="9"/>
  <c r="I57" i="9"/>
  <c r="I60" i="9"/>
  <c r="G86" i="9"/>
  <c r="G78" i="9"/>
  <c r="G80" i="9"/>
  <c r="G85" i="9"/>
  <c r="G84" i="9"/>
  <c r="G76" i="9"/>
  <c r="G77" i="9"/>
  <c r="G83" i="9"/>
  <c r="G81" i="9"/>
  <c r="G79" i="9"/>
  <c r="G82" i="9"/>
  <c r="G75" i="9"/>
  <c r="G67" i="9"/>
  <c r="G69" i="9"/>
  <c r="G74" i="9"/>
  <c r="G73" i="9"/>
  <c r="G65" i="9"/>
  <c r="G66" i="9"/>
  <c r="G72" i="9"/>
  <c r="G70" i="9"/>
  <c r="G68" i="9"/>
  <c r="G71" i="9"/>
  <c r="G64" i="9"/>
  <c r="G56" i="9"/>
  <c r="G58" i="9"/>
  <c r="G63" i="9"/>
  <c r="G62" i="9"/>
  <c r="G54" i="9"/>
  <c r="G55" i="9"/>
  <c r="G61" i="9"/>
  <c r="G59" i="9"/>
  <c r="G57" i="9"/>
  <c r="G60" i="9"/>
  <c r="E56" i="9"/>
  <c r="E78" i="9" l="1"/>
  <c r="E67" i="9"/>
  <c r="E83" i="9"/>
  <c r="E72" i="9"/>
  <c r="E61" i="9"/>
  <c r="E86" i="9" l="1"/>
  <c r="E80" i="9"/>
  <c r="E85" i="9"/>
  <c r="E84" i="9"/>
  <c r="E76" i="9"/>
  <c r="E77" i="9"/>
  <c r="E81" i="9"/>
  <c r="E79" i="9"/>
  <c r="E82" i="9"/>
  <c r="E75" i="9"/>
  <c r="E69" i="9"/>
  <c r="E74" i="9"/>
  <c r="E73" i="9"/>
  <c r="E65" i="9"/>
  <c r="E66" i="9"/>
  <c r="E70" i="9"/>
  <c r="E68" i="9"/>
  <c r="E71" i="9"/>
  <c r="E64" i="9"/>
  <c r="E58" i="9"/>
  <c r="E63" i="9"/>
  <c r="E62" i="9"/>
  <c r="E54" i="9"/>
  <c r="E55" i="9"/>
  <c r="E59" i="9"/>
  <c r="E57" i="9"/>
  <c r="E60" i="9"/>
</calcChain>
</file>

<file path=xl/sharedStrings.xml><?xml version="1.0" encoding="utf-8"?>
<sst xmlns="http://schemas.openxmlformats.org/spreadsheetml/2006/main" count="350" uniqueCount="215">
  <si>
    <t>Game name</t>
  </si>
  <si>
    <t>x</t>
  </si>
  <si>
    <t>y</t>
  </si>
  <si>
    <t>Name</t>
  </si>
  <si>
    <t>Y</t>
  </si>
  <si>
    <t>Analogue: A Hate Story</t>
  </si>
  <si>
    <t>Anchorhead</t>
  </si>
  <si>
    <t>Counterfeit Monkey</t>
  </si>
  <si>
    <t>Hadean Lands</t>
  </si>
  <si>
    <t>Worlds Apart</t>
  </si>
  <si>
    <t>AI Dungeon</t>
  </si>
  <si>
    <t>A Dark Room</t>
  </si>
  <si>
    <t>Façade</t>
  </si>
  <si>
    <t>皇帝成长计划</t>
  </si>
  <si>
    <t>明月依旧</t>
  </si>
  <si>
    <t>中国式家长</t>
  </si>
  <si>
    <t>潜伏之赤途</t>
  </si>
  <si>
    <t>隐形守护者</t>
  </si>
  <si>
    <t>太吾绘卷</t>
  </si>
  <si>
    <t>Twine</t>
  </si>
  <si>
    <t>Ren'Py</t>
  </si>
  <si>
    <t>Inform 7</t>
  </si>
  <si>
    <t>Quest</t>
  </si>
  <si>
    <t>Text Adventure Development System</t>
  </si>
  <si>
    <t>inklewriter</t>
  </si>
  <si>
    <t>Storynexus</t>
  </si>
  <si>
    <t>Unity</t>
  </si>
  <si>
    <t>Others</t>
  </si>
  <si>
    <t>Story Ending</t>
  </si>
  <si>
    <t>Sum</t>
  </si>
  <si>
    <t>Y: Game Engine</t>
  </si>
  <si>
    <t>Game Engine</t>
  </si>
  <si>
    <t>Instance</t>
  </si>
  <si>
    <t>C1 X</t>
  </si>
  <si>
    <t>C2 X</t>
  </si>
  <si>
    <t>C3 X</t>
  </si>
  <si>
    <t>C4 X</t>
  </si>
  <si>
    <t>C5 X</t>
  </si>
  <si>
    <t>C6 X</t>
  </si>
  <si>
    <t>C9: Monetization Model</t>
  </si>
  <si>
    <t>C7 X</t>
  </si>
  <si>
    <t>C8 X</t>
  </si>
  <si>
    <t>C9 X</t>
  </si>
  <si>
    <t>Platform Compatibility</t>
  </si>
  <si>
    <t xml:space="preserve">Player Count </t>
  </si>
  <si>
    <t xml:space="preserve">Monetization Model </t>
  </si>
  <si>
    <t>ChoiceScript</t>
  </si>
  <si>
    <t>Adrift</t>
  </si>
  <si>
    <t>StoryNexus</t>
  </si>
  <si>
    <t>TADS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</si>
  <si>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</si>
  <si>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</si>
  <si>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</si>
  <si>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</si>
  <si>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</si>
  <si>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</si>
  <si>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</si>
  <si>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</si>
  <si>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</si>
  <si>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Text</t>
  </si>
  <si>
    <t>Picture</t>
  </si>
  <si>
    <t>Video</t>
  </si>
  <si>
    <t>Linear limited</t>
  </si>
  <si>
    <t>Non-linear open</t>
  </si>
  <si>
    <t>Non-linear limited</t>
  </si>
  <si>
    <t>Limited</t>
  </si>
  <si>
    <t>Mix</t>
  </si>
  <si>
    <t>Unlimited</t>
  </si>
  <si>
    <t>Single defined</t>
  </si>
  <si>
    <t>Multiple defined</t>
  </si>
  <si>
    <t>No defined</t>
  </si>
  <si>
    <t>No stats &amp; no resource</t>
  </si>
  <si>
    <t>Stats &amp; no resource</t>
  </si>
  <si>
    <t>Stats &amp; resource</t>
  </si>
  <si>
    <t>Single</t>
  </si>
  <si>
    <t>Single PC/Phone</t>
  </si>
  <si>
    <t>Single Console</t>
  </si>
  <si>
    <t>Multiple</t>
  </si>
  <si>
    <t>Two</t>
  </si>
  <si>
    <t>Three or more</t>
  </si>
  <si>
    <t>Free</t>
  </si>
  <si>
    <t>Purchase before playing</t>
  </si>
  <si>
    <t>In-game ad/purchase</t>
  </si>
  <si>
    <t>Mouse only</t>
  </si>
  <si>
    <t>X axis</t>
  </si>
  <si>
    <t>y axis</t>
  </si>
  <si>
    <t>Category</t>
  </si>
  <si>
    <t xml:space="preserve">Story Ending </t>
  </si>
  <si>
    <t>User Input</t>
  </si>
  <si>
    <t>Visual Output</t>
  </si>
  <si>
    <t>Story Option</t>
  </si>
  <si>
    <t>Action Time</t>
  </si>
  <si>
    <t>Stats System &amp; Resource Management</t>
  </si>
  <si>
    <t>Stats &amp; Resource</t>
  </si>
  <si>
    <t>C1: User input</t>
  </si>
  <si>
    <t>C2: Visual Output</t>
  </si>
  <si>
    <t xml:space="preserve">C3: Story option		</t>
  </si>
  <si>
    <t>C4:Story Ending</t>
  </si>
  <si>
    <t>C5: Action Time</t>
  </si>
  <si>
    <t>C6: Stats &amp; Resource</t>
  </si>
  <si>
    <t>C7: Player Count</t>
  </si>
  <si>
    <t>C8: Platform Compatibility</t>
  </si>
  <si>
    <t>Keyboard only</t>
  </si>
  <si>
    <t>RenPy</t>
  </si>
  <si>
    <t xml:space="preserve">Inform </t>
  </si>
  <si>
    <t>Inkle</t>
  </si>
  <si>
    <t>Nexus</t>
  </si>
  <si>
    <t>https://ifdb.org/search?searchfor=system:Twine</t>
  </si>
  <si>
    <t>https://ifdb.org/search?searchfor=system:Ren%27Py</t>
  </si>
  <si>
    <t>https://ifdb.org/search?searchfor=system:Inform+7</t>
  </si>
  <si>
    <t>https://ifdb.org/search?searchfor=system:ChoiceScript</t>
  </si>
  <si>
    <t>https://ifdb.org/search?searchfor=system:Quest</t>
  </si>
  <si>
    <t>https://ifdb.org/search?searchfor=system:TADS</t>
  </si>
  <si>
    <t>https://ifdb.org/search?searchfor=system:Inklewriter</t>
  </si>
  <si>
    <t>https://ifdb.org/search?searchfor=system:Storynexus</t>
  </si>
  <si>
    <t>https://ifdb.org/search?searchfor=system:Unity</t>
  </si>
  <si>
    <t>https://ifdb.org/search?searchfor=system:ADRIFT</t>
  </si>
  <si>
    <t>Open Sorcery</t>
  </si>
  <si>
    <t>Will Not Let Me Go</t>
  </si>
  <si>
    <t>Birdland</t>
  </si>
  <si>
    <t>A Long Way to the Nearest Star</t>
  </si>
  <si>
    <t>Known Unknowns</t>
  </si>
  <si>
    <t xml:space="preserve">	With Those We Love Alive</t>
  </si>
  <si>
    <t>SPY INTRIGUE</t>
  </si>
  <si>
    <t xml:space="preserve">	Bogeyman</t>
  </si>
  <si>
    <t>Erstwhile</t>
  </si>
  <si>
    <t>Digital: A Love Story</t>
  </si>
  <si>
    <t>Hate Plus</t>
  </si>
  <si>
    <t>Our Life: Beginnings &amp; Always</t>
  </si>
  <si>
    <t>Save the Date</t>
  </si>
  <si>
    <t>Doki Doki Literature Club</t>
  </si>
  <si>
    <t>Long Live the Queen</t>
  </si>
  <si>
    <t xml:space="preserve">	God is in the Radio</t>
  </si>
  <si>
    <t>Black Closet</t>
  </si>
  <si>
    <t>Superluminal Vagrant Twin</t>
  </si>
  <si>
    <t>The Wizard Sniffer</t>
  </si>
  <si>
    <t>Toby's Nose</t>
  </si>
  <si>
    <t>Eat Me</t>
  </si>
  <si>
    <t>Violet</t>
  </si>
  <si>
    <t>Coloratura</t>
  </si>
  <si>
    <t>Turandot</t>
  </si>
  <si>
    <t>Choice of Robots</t>
  </si>
  <si>
    <t>A Study in Steampunk: Choice by Gaslight</t>
  </si>
  <si>
    <t>Creatures Such As We</t>
  </si>
  <si>
    <t xml:space="preserve">	Wayhaven Chronicles: Book One</t>
  </si>
  <si>
    <t>Fallen Hero: Rebirth</t>
  </si>
  <si>
    <t>Tally Ho</t>
  </si>
  <si>
    <t>Jolly Good: Cakes and Ale</t>
  </si>
  <si>
    <t>Heart of the House</t>
  </si>
  <si>
    <t>Whitefield Academy of Witchcraft</t>
  </si>
  <si>
    <t>Jacqueline, Jungle Queen!</t>
  </si>
  <si>
    <t xml:space="preserve">	The Zen Garden</t>
  </si>
  <si>
    <t>The House on Highfield Lane</t>
  </si>
  <si>
    <t>Basilica de Sangre</t>
  </si>
  <si>
    <t>Poppet</t>
  </si>
  <si>
    <t>Night House</t>
  </si>
  <si>
    <t>Guttersnipe: Carnival of Regrets</t>
  </si>
  <si>
    <t>First Times</t>
  </si>
  <si>
    <t>Babel</t>
  </si>
  <si>
    <t>According to Cain</t>
  </si>
  <si>
    <t>Gun Mute</t>
  </si>
  <si>
    <t>To Hell in a Hamper</t>
  </si>
  <si>
    <t>How Prince Quisborne the Feckless Shook His Title</t>
  </si>
  <si>
    <t>First Things First</t>
  </si>
  <si>
    <t>Blighted Isle</t>
  </si>
  <si>
    <t xml:space="preserve">	Return to Ditch Day</t>
  </si>
  <si>
    <t>80 DAYS</t>
  </si>
  <si>
    <t>Sorcery! 2</t>
  </si>
  <si>
    <t>Abgesang: Der Tag der Toten</t>
  </si>
  <si>
    <t>A Face Like Mine</t>
  </si>
  <si>
    <t xml:space="preserve">	Tainted</t>
  </si>
  <si>
    <t>Düstere Dickichte 1: Schurken-Alarm!</t>
  </si>
  <si>
    <t>Virtue</t>
  </si>
  <si>
    <t>Snake's Game</t>
  </si>
  <si>
    <t>The Man Who Killed Time</t>
  </si>
  <si>
    <t>Sunless Sea</t>
  </si>
  <si>
    <t>Fallen London</t>
  </si>
  <si>
    <t>The Frequently Deceased</t>
  </si>
  <si>
    <t>Cricket, Anyone?</t>
  </si>
  <si>
    <t>Final Girl</t>
  </si>
  <si>
    <t>Por Una Cabeza</t>
  </si>
  <si>
    <t>The Bloody Wallpaper</t>
  </si>
  <si>
    <t>Lost in Reflections</t>
  </si>
  <si>
    <t>Caveat Emptor</t>
  </si>
  <si>
    <t>Silicon and Cells</t>
  </si>
  <si>
    <t>Tragic</t>
  </si>
  <si>
    <t>Secret Little Haven</t>
  </si>
  <si>
    <t>The House Abandon</t>
  </si>
  <si>
    <t>Ulterior Spirits</t>
  </si>
  <si>
    <t>Paris Aires</t>
  </si>
  <si>
    <t>Heaven Will Be Mine</t>
  </si>
  <si>
    <t xml:space="preserve">	Unearthed Stories</t>
  </si>
  <si>
    <t>Language Arts</t>
  </si>
  <si>
    <t>Skybreak!</t>
  </si>
  <si>
    <t>Pirate's Plunder!</t>
  </si>
  <si>
    <t>A Fine Day for Reaping</t>
  </si>
  <si>
    <t>Renegade Brainwave</t>
  </si>
  <si>
    <t>Goldilocks is a FOX!</t>
  </si>
  <si>
    <t>Six Silver Bullets</t>
  </si>
  <si>
    <t xml:space="preserve">	The Axe of Kolt [2014 ADRIFT version]</t>
  </si>
  <si>
    <t>Unauthorized Termination</t>
  </si>
  <si>
    <t>Nancy Drew®: Mystery of the Seven Keys™</t>
  </si>
  <si>
    <t>https://store.steampowered.com/app/1926590/Nancy_Drew_Mystery_of_the_Seven_Keys/</t>
  </si>
  <si>
    <t>https://aidungeon.com/</t>
  </si>
  <si>
    <t>https://adarkroom.doublespeakgames.com/</t>
  </si>
  <si>
    <t>https://www.playablstudios.com/façade</t>
  </si>
  <si>
    <t>https://store.steampowered.com/app/838350/_The_Scroll_Of_Taiwu/</t>
  </si>
  <si>
    <t>https://ssz66666.github.io/qfzct-66rpg/</t>
  </si>
  <si>
    <t>https://store.steampowered.com/app/998940/_The_Invisible_Guardian/?l=tchinese&amp;cc=cn</t>
  </si>
  <si>
    <t>https://www.4399.com/flash/198637.htm</t>
  </si>
  <si>
    <t>https://www.66rpg.com/game/155748?new=1</t>
  </si>
  <si>
    <t>https://store.steampowered.com/app/736190/_/?l=schinese</t>
  </si>
  <si>
    <t>Time to Respond</t>
  </si>
  <si>
    <t>Number of Players</t>
  </si>
  <si>
    <t>Choice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</si>
</sst>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sz val="15"/>
      <color theme="1"/>
      <name val="Times New Roman"/>
      <family val="1"/>
    </font>
    <font>
      <b/>
      <sz val="15"/>
      <color theme="1"/>
      <name val="Times New Roman"/>
      <family val="1"/>
    </font>
    <font>
      <b/>
      <sz val="15"/>
      <color rgb="FFFF0000"/>
      <name val="Times New Roman"/>
      <family val="1"/>
    </font>
    <font>
      <sz val="15"/>
      <name val="Times New Roman"/>
      <family val="1"/>
    </font>
    <font>
      <b/>
      <i/>
      <sz val="15"/>
      <color theme="1"/>
      <name val="Times New Roman"/>
      <family val="1"/>
    </font>
    <font>
      <u/>
      <sz val="12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69">
    <xf numFmtId="0" fontId="0" fillId="0" borderId="0" xfId="0"/>
    <xf numFmtId="0" fontId="1" fillId="0" borderId="0" xfId="0" applyFont="1" applyAlignment="1">
      <alignment wrapText="1"/>
    </xf>
    <xf numFmtId="0" fontId="2" fillId="4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wrapText="1"/>
    </xf>
    <xf numFmtId="0" fontId="1" fillId="2" borderId="1" xfId="0" applyFont="1" applyFill="1" applyBorder="1" applyAlignment="1">
      <alignment wrapText="1"/>
    </xf>
    <xf numFmtId="0" fontId="1" fillId="3" borderId="1" xfId="0" applyFont="1" applyFill="1" applyBorder="1" applyAlignment="1">
      <alignment wrapText="1"/>
    </xf>
    <xf numFmtId="0" fontId="2" fillId="3" borderId="1" xfId="0" applyFont="1" applyFill="1" applyBorder="1" applyAlignment="1">
      <alignment horizontal="center" vertical="center" wrapText="1"/>
    </xf>
    <xf numFmtId="1" fontId="1" fillId="4" borderId="1" xfId="0" applyNumberFormat="1" applyFont="1" applyFill="1" applyBorder="1" applyAlignment="1">
      <alignment wrapText="1"/>
    </xf>
    <xf numFmtId="1" fontId="1" fillId="2" borderId="1" xfId="0" applyNumberFormat="1" applyFont="1" applyFill="1" applyBorder="1" applyAlignment="1">
      <alignment wrapText="1"/>
    </xf>
    <xf numFmtId="1" fontId="1" fillId="3" borderId="1" xfId="0" applyNumberFormat="1" applyFont="1" applyFill="1" applyBorder="1" applyAlignment="1">
      <alignment wrapText="1"/>
    </xf>
    <xf numFmtId="0" fontId="3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wrapText="1"/>
    </xf>
    <xf numFmtId="0" fontId="2" fillId="0" borderId="1" xfId="0" applyFont="1" applyBorder="1" applyAlignment="1">
      <alignment horizontal="center" vertical="center" wrapText="1"/>
    </xf>
    <xf numFmtId="1" fontId="1" fillId="0" borderId="1" xfId="0" applyNumberFormat="1" applyFont="1" applyBorder="1" applyAlignment="1">
      <alignment wrapText="1"/>
    </xf>
    <xf numFmtId="0" fontId="4" fillId="4" borderId="1" xfId="0" applyFont="1" applyFill="1" applyBorder="1" applyAlignment="1">
      <alignment wrapText="1"/>
    </xf>
    <xf numFmtId="0" fontId="1" fillId="0" borderId="0" xfId="0" applyFont="1" applyAlignment="1">
      <alignment horizontal="left" wrapText="1"/>
    </xf>
    <xf numFmtId="0" fontId="1" fillId="0" borderId="1" xfId="0" applyFont="1" applyBorder="1" applyAlignment="1">
      <alignment wrapText="1"/>
    </xf>
    <xf numFmtId="0" fontId="4" fillId="0" borderId="1" xfId="0" applyFont="1" applyBorder="1" applyAlignment="1">
      <alignment wrapText="1"/>
    </xf>
    <xf numFmtId="0" fontId="1" fillId="4" borderId="0" xfId="0" applyFont="1" applyFill="1" applyAlignment="1">
      <alignment wrapText="1"/>
    </xf>
    <xf numFmtId="0" fontId="2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wrapText="1"/>
    </xf>
    <xf numFmtId="0" fontId="1" fillId="3" borderId="2" xfId="0" applyFont="1" applyFill="1" applyBorder="1" applyAlignment="1">
      <alignment wrapText="1"/>
    </xf>
    <xf numFmtId="0" fontId="1" fillId="4" borderId="2" xfId="0" applyFont="1" applyFill="1" applyBorder="1" applyAlignment="1">
      <alignment wrapText="1"/>
    </xf>
    <xf numFmtId="0" fontId="2" fillId="3" borderId="2" xfId="0" applyFont="1" applyFill="1" applyBorder="1" applyAlignment="1">
      <alignment horizontal="center" vertical="center" wrapText="1"/>
    </xf>
    <xf numFmtId="1" fontId="1" fillId="4" borderId="2" xfId="0" applyNumberFormat="1" applyFont="1" applyFill="1" applyBorder="1" applyAlignment="1">
      <alignment wrapText="1"/>
    </xf>
    <xf numFmtId="1" fontId="1" fillId="2" borderId="2" xfId="0" applyNumberFormat="1" applyFont="1" applyFill="1" applyBorder="1" applyAlignment="1">
      <alignment wrapText="1"/>
    </xf>
    <xf numFmtId="1" fontId="1" fillId="3" borderId="2" xfId="0" applyNumberFormat="1" applyFont="1" applyFill="1" applyBorder="1" applyAlignment="1">
      <alignment wrapText="1"/>
    </xf>
    <xf numFmtId="0" fontId="2" fillId="4" borderId="3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wrapText="1"/>
    </xf>
    <xf numFmtId="0" fontId="1" fillId="3" borderId="3" xfId="0" applyFont="1" applyFill="1" applyBorder="1" applyAlignment="1">
      <alignment wrapText="1"/>
    </xf>
    <xf numFmtId="0" fontId="1" fillId="4" borderId="3" xfId="0" applyFont="1" applyFill="1" applyBorder="1" applyAlignment="1">
      <alignment wrapText="1"/>
    </xf>
    <xf numFmtId="0" fontId="2" fillId="3" borderId="3" xfId="0" applyFont="1" applyFill="1" applyBorder="1" applyAlignment="1">
      <alignment horizontal="center" vertical="center" wrapText="1"/>
    </xf>
    <xf numFmtId="1" fontId="1" fillId="4" borderId="3" xfId="0" applyNumberFormat="1" applyFont="1" applyFill="1" applyBorder="1" applyAlignment="1">
      <alignment wrapText="1"/>
    </xf>
    <xf numFmtId="1" fontId="1" fillId="2" borderId="3" xfId="0" applyNumberFormat="1" applyFont="1" applyFill="1" applyBorder="1" applyAlignment="1">
      <alignment wrapText="1"/>
    </xf>
    <xf numFmtId="1" fontId="1" fillId="3" borderId="3" xfId="0" applyNumberFormat="1" applyFont="1" applyFill="1" applyBorder="1" applyAlignment="1">
      <alignment wrapText="1"/>
    </xf>
    <xf numFmtId="0" fontId="1" fillId="2" borderId="0" xfId="0" applyFont="1" applyFill="1" applyAlignment="1">
      <alignment wrapText="1"/>
    </xf>
    <xf numFmtId="0" fontId="2" fillId="2" borderId="0" xfId="0" applyFont="1" applyFill="1" applyAlignment="1">
      <alignment horizontal="center" wrapText="1"/>
    </xf>
    <xf numFmtId="0" fontId="2" fillId="2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1" fillId="3" borderId="0" xfId="0" applyFont="1" applyFill="1" applyAlignment="1">
      <alignment wrapText="1"/>
    </xf>
    <xf numFmtId="0" fontId="2" fillId="4" borderId="0" xfId="0" applyFont="1" applyFill="1" applyAlignment="1">
      <alignment horizontal="center" wrapText="1"/>
    </xf>
    <xf numFmtId="0" fontId="2" fillId="3" borderId="0" xfId="0" applyFont="1" applyFill="1" applyAlignment="1">
      <alignment horizontal="center" vertical="center" wrapText="1"/>
    </xf>
    <xf numFmtId="0" fontId="2" fillId="4" borderId="0" xfId="0" applyFont="1" applyFill="1" applyAlignment="1">
      <alignment horizontal="center" vertical="center" wrapText="1"/>
    </xf>
    <xf numFmtId="0" fontId="1" fillId="3" borderId="1" xfId="0" quotePrefix="1" applyFont="1" applyFill="1" applyBorder="1" applyAlignment="1">
      <alignment wrapText="1"/>
    </xf>
    <xf numFmtId="0" fontId="1" fillId="4" borderId="1" xfId="0" quotePrefix="1" applyFont="1" applyFill="1" applyBorder="1" applyAlignment="1">
      <alignment wrapText="1"/>
    </xf>
    <xf numFmtId="0" fontId="1" fillId="2" borderId="1" xfId="0" quotePrefix="1" applyFont="1" applyFill="1" applyBorder="1" applyAlignment="1">
      <alignment wrapText="1"/>
    </xf>
    <xf numFmtId="0" fontId="2" fillId="0" borderId="4" xfId="0" applyFont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1" fillId="0" borderId="3" xfId="0" applyFont="1" applyBorder="1" applyAlignment="1">
      <alignment wrapText="1"/>
    </xf>
    <xf numFmtId="0" fontId="6" fillId="0" borderId="0" xfId="1" applyAlignment="1">
      <alignment wrapText="1"/>
    </xf>
    <xf numFmtId="0" fontId="2" fillId="4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4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wrapText="1"/>
    </xf>
    <xf numFmtId="0" fontId="2" fillId="2" borderId="4" xfId="0" applyFont="1" applyFill="1" applyBorder="1" applyAlignment="1">
      <alignment horizontal="center" wrapText="1"/>
    </xf>
    <xf numFmtId="0" fontId="2" fillId="2" borderId="3" xfId="0" applyFont="1" applyFill="1" applyBorder="1" applyAlignment="1">
      <alignment horizontal="center" wrapText="1"/>
    </xf>
    <xf numFmtId="0" fontId="2" fillId="4" borderId="2" xfId="0" applyFont="1" applyFill="1" applyBorder="1" applyAlignment="1">
      <alignment horizontal="center" wrapText="1"/>
    </xf>
    <xf numFmtId="0" fontId="2" fillId="4" borderId="4" xfId="0" applyFont="1" applyFill="1" applyBorder="1" applyAlignment="1">
      <alignment horizontal="center" wrapText="1"/>
    </xf>
    <xf numFmtId="0" fontId="2" fillId="4" borderId="3" xfId="0" applyFont="1" applyFill="1" applyBorder="1" applyAlignment="1">
      <alignment horizont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Catogories - Game</a:t>
            </a:r>
            <a:r>
              <a:rPr lang="zh-CN" b="1"/>
              <a:t> </a:t>
            </a:r>
            <a:r>
              <a:rPr lang="en-US" b="1"/>
              <a:t>Engine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8882572479894293E-2"/>
          <c:y val="0.12620593218904078"/>
          <c:w val="0.88222768556946263"/>
          <c:h val="0.7398016585838697"/>
        </c:manualLayout>
      </c:layout>
      <c:scatterChart>
        <c:scatterStyle val="lineMarker"/>
        <c:varyColors val="0"/>
        <c:ser>
          <c:idx val="1"/>
          <c:order val="0"/>
          <c:tx>
            <c:strRef>
              <c:f>'1st-1'!$A$39</c:f>
              <c:strCache>
                <c:ptCount val="1"/>
                <c:pt idx="0">
                  <c:v>Y: Game Engine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64E79F9-3A0F-0D4F-A9EB-7D0A214C0A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C13-034A-9481-1F7401B48A3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96BDDE4-53F3-D942-986B-4850255135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C13-034A-9481-1F7401B48A3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5D441E5-BAFE-E14B-8DAE-02DFB59B1A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C13-034A-9481-1F7401B48A3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8736D72-8713-7A42-A134-5115E14916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C13-034A-9481-1F7401B48A3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B841AD6-50B1-8341-8CB1-AB2D72AFDC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C13-034A-9481-1F7401B48A3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D3C5B12-221F-4D4F-A622-C38B5A2F60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layout>
                    <c:manualLayout>
                      <c:w val="9.8711074237165033E-2"/>
                      <c:h val="0.10152696024769589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C13-034A-9481-1F7401B48A3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E481580-BEE8-EC47-8092-5D12A60FDC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C13-034A-9481-1F7401B48A3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311DDE7-C3EF-6C44-9A6A-435043C510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C13-034A-9481-1F7401B48A3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B7392E8-9D71-2D4F-B0F8-0D18131BBA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C13-034A-9481-1F7401B48A3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BC58290-D358-D54C-B72A-DC8D4992E3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C13-034A-9481-1F7401B48A3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F1D221D-C4E9-4D42-A0C1-38A41418E4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C13-034A-9481-1F7401B48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'1st-1'!$B$41:$B$51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xVal>
          <c:yVal>
            <c:numRef>
              <c:f>'1st-1'!$C$41:$C$51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'1st-1'!$A$41:$A$51</c15:f>
                <c15:dlblRangeCache>
                  <c:ptCount val="11"/>
                  <c:pt idx="0">
                    <c:v>TADS</c:v>
                  </c:pt>
                  <c:pt idx="1">
                    <c:v>Quest</c:v>
                  </c:pt>
                  <c:pt idx="2">
                    <c:v>Adrift</c:v>
                  </c:pt>
                  <c:pt idx="3">
                    <c:v>Ren'Py</c:v>
                  </c:pt>
                  <c:pt idx="4">
                    <c:v>Unity</c:v>
                  </c:pt>
                  <c:pt idx="5">
                    <c:v>Inform 7</c:v>
                  </c:pt>
                  <c:pt idx="6">
                    <c:v>Twine</c:v>
                  </c:pt>
                  <c:pt idx="7">
                    <c:v>ChoiceScript</c:v>
                  </c:pt>
                  <c:pt idx="8">
                    <c:v>inklewriter</c:v>
                  </c:pt>
                  <c:pt idx="9">
                    <c:v>StoryNexus</c:v>
                  </c:pt>
                  <c:pt idx="10">
                    <c:v>Others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5C13-034A-9481-1F7401B48A35}"/>
            </c:ext>
          </c:extLst>
        </c:ser>
        <c:ser>
          <c:idx val="0"/>
          <c:order val="1"/>
          <c:tx>
            <c:strRef>
              <c:f>'1st-1'!$E$53</c:f>
              <c:strCache>
                <c:ptCount val="1"/>
                <c:pt idx="0">
                  <c:v>C1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A-5C13-034A-9481-1F7401B48A35}"/>
              </c:ext>
            </c:extLst>
          </c:dPt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B-5C13-034A-9481-1F7401B48A35}"/>
              </c:ext>
            </c:extLst>
          </c:dPt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C-5C13-034A-9481-1F7401B48A35}"/>
              </c:ext>
            </c:extLst>
          </c:dPt>
          <c:dPt>
            <c:idx val="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D-5C13-034A-9481-1F7401B48A35}"/>
              </c:ext>
            </c:extLst>
          </c:dPt>
          <c:dPt>
            <c:idx val="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E-5C13-034A-9481-1F7401B48A35}"/>
              </c:ext>
            </c:extLst>
          </c:dPt>
          <c:dPt>
            <c:idx val="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F-5C13-034A-9481-1F7401B48A35}"/>
              </c:ext>
            </c:extLst>
          </c:dPt>
          <c:dPt>
            <c:idx val="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1-5C13-034A-9481-1F7401B48A35}"/>
              </c:ext>
            </c:extLst>
          </c:dPt>
          <c:dPt>
            <c:idx val="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2-5C13-034A-9481-1F7401B48A35}"/>
              </c:ext>
            </c:extLst>
          </c:dPt>
          <c:dPt>
            <c:idx val="1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4-5C13-034A-9481-1F7401B48A35}"/>
              </c:ext>
            </c:extLst>
          </c:dPt>
          <c:dPt>
            <c:idx val="1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5-5C13-034A-9481-1F7401B48A35}"/>
              </c:ext>
            </c:extLst>
          </c:dPt>
          <c:dPt>
            <c:idx val="1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6-5C13-034A-9481-1F7401B48A35}"/>
              </c:ext>
            </c:extLst>
          </c:dPt>
          <c:dPt>
            <c:idx val="1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7-5C13-034A-9481-1F7401B48A35}"/>
              </c:ext>
            </c:extLst>
          </c:dPt>
          <c:dPt>
            <c:idx val="1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8-5C13-034A-9481-1F7401B48A35}"/>
              </c:ext>
            </c:extLst>
          </c:dPt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9-5C13-034A-9481-1F7401B48A35}"/>
              </c:ext>
            </c:extLst>
          </c:dPt>
          <c:dPt>
            <c:idx val="1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A-5C13-034A-9481-1F7401B48A35}"/>
              </c:ext>
            </c:extLst>
          </c:dPt>
          <c:dPt>
            <c:idx val="1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C-5C13-034A-9481-1F7401B48A35}"/>
              </c:ext>
            </c:extLst>
          </c:dPt>
          <c:dPt>
            <c:idx val="1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D-5C13-034A-9481-1F7401B48A35}"/>
              </c:ext>
            </c:extLst>
          </c:dPt>
          <c:dPt>
            <c:idx val="2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F-5C13-034A-9481-1F7401B48A35}"/>
              </c:ext>
            </c:extLst>
          </c:dPt>
          <c:dPt>
            <c:idx val="2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0-5C13-034A-9481-1F7401B48A35}"/>
              </c:ext>
            </c:extLst>
          </c:dPt>
          <c:dPt>
            <c:idx val="2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1-5C13-034A-9481-1F7401B48A35}"/>
              </c:ext>
            </c:extLst>
          </c:dPt>
          <c:dPt>
            <c:idx val="2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2-5C13-034A-9481-1F7401B48A35}"/>
              </c:ext>
            </c:extLst>
          </c:dPt>
          <c:dPt>
            <c:idx val="2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3-5C13-034A-9481-1F7401B48A35}"/>
              </c:ext>
            </c:extLst>
          </c:dPt>
          <c:dPt>
            <c:idx val="2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4-5C13-034A-9481-1F7401B48A35}"/>
              </c:ext>
            </c:extLst>
          </c:dPt>
          <c:dPt>
            <c:idx val="2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12C-5C13-034A-9481-1F7401B48A3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5F660ED4-99B8-904E-B269-0C15A5F05C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C13-034A-9481-1F7401B48A3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93E3E0B-3A21-F54D-AE64-6454D4E6A4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C13-034A-9481-1F7401B48A3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2A4FEB-77C3-054C-926E-8D23CF372D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C13-034A-9481-1F7401B48A3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324EC04-5A9C-3E48-8973-543600A7B6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C13-034A-9481-1F7401B48A3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8FCC8CA-BE92-5646-95F6-78A1A7928B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C13-034A-9481-1F7401B48A3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EECD5AD-9265-8847-97C9-C852C668BBE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C13-034A-9481-1F7401B48A3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995FF9B-6AE8-334B-B83C-37A7803D76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C13-034A-9481-1F7401B48A3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A5988D4-D524-D24D-8CFA-3D37367787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C13-034A-9481-1F7401B48A3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2FC07E4-2C48-2D45-9932-70E8A169E4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C13-034A-9481-1F7401B48A3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B228525-B559-1242-BCAD-64F1253BE15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C13-034A-9481-1F7401B48A3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3456979-8BE8-3140-B43B-323765E6AB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C13-034A-9481-1F7401B48A3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3F162F7-A49B-A74B-BDD4-AA6D72B918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C13-034A-9481-1F7401B48A3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57B8339-4EF6-444C-8986-A38CD4075C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C13-034A-9481-1F7401B48A3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D74DA4E-B491-E54A-99C2-E7CE70730D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C13-034A-9481-1F7401B48A3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66FFEC2-E292-8449-90BC-1DB54F2715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C13-034A-9481-1F7401B48A3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D6342AB-668F-FD4E-A04C-F089D20507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C13-034A-9481-1F7401B48A3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32AA597-442B-EC47-A3FB-9CF25C1C91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C13-034A-9481-1F7401B48A3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CC186D2-48E0-7441-9A69-5920051578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C13-034A-9481-1F7401B48A3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82AD0AC-921F-4E40-9674-93436E1F0E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C13-034A-9481-1F7401B48A3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A067ECB-726F-8746-A9F3-EAA8F312495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C13-034A-9481-1F7401B48A3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2B9E11D-9F2A-4B40-8061-66C1940188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C13-034A-9481-1F7401B48A3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5F6BA77-B782-334B-9833-3CE0E3F956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C13-034A-9481-1F7401B48A3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6E81E74-6845-4042-856B-5DD757E1FF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C13-034A-9481-1F7401B48A3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7C58142-863B-094A-8D80-9D158453E8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C13-034A-9481-1F7401B48A3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DC7FC3B-6F0F-A54F-BA82-8180C5E6618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C13-034A-9481-1F7401B48A3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8D1269A-2F23-B245-99FA-0ABC051FFF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C13-034A-9481-1F7401B48A3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456A993-39F2-6A45-9A34-8BDF375C61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C13-034A-9481-1F7401B48A3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5DCAEA1-BF0D-E14B-ACBF-3E6E715287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C-5C13-034A-9481-1F7401B48A3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72F0EE2-CE47-0744-8832-C13B8FE022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D-5C13-034A-9481-1F7401B48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'1st-1'!$D$58:$D$86</c:f>
              <c:numCache>
                <c:formatCode>General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</c:numCache>
            </c:numRef>
          </c:xVal>
          <c:yVal>
            <c:numRef>
              <c:f>'1st-1'!$B$58:$B$86</c:f>
              <c:numCache>
                <c:formatCode>General</c:formatCode>
                <c:ptCount val="29"/>
                <c:pt idx="0">
                  <c:v>8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6</c:v>
                </c:pt>
                <c:pt idx="5">
                  <c:v>7</c:v>
                </c:pt>
                <c:pt idx="6">
                  <c:v>10</c:v>
                </c:pt>
                <c:pt idx="7">
                  <c:v>5</c:v>
                </c:pt>
                <c:pt idx="8">
                  <c:v>4</c:v>
                </c:pt>
                <c:pt idx="9">
                  <c:v>9</c:v>
                </c:pt>
                <c:pt idx="10">
                  <c:v>1</c:v>
                </c:pt>
                <c:pt idx="11">
                  <c:v>8</c:v>
                </c:pt>
                <c:pt idx="12">
                  <c:v>2</c:v>
                </c:pt>
                <c:pt idx="13">
                  <c:v>0</c:v>
                </c:pt>
                <c:pt idx="14">
                  <c:v>3</c:v>
                </c:pt>
                <c:pt idx="15">
                  <c:v>6</c:v>
                </c:pt>
                <c:pt idx="16">
                  <c:v>7</c:v>
                </c:pt>
                <c:pt idx="17">
                  <c:v>10</c:v>
                </c:pt>
                <c:pt idx="18">
                  <c:v>5</c:v>
                </c:pt>
                <c:pt idx="19">
                  <c:v>4</c:v>
                </c:pt>
                <c:pt idx="20">
                  <c:v>9</c:v>
                </c:pt>
                <c:pt idx="21">
                  <c:v>1</c:v>
                </c:pt>
                <c:pt idx="22">
                  <c:v>8</c:v>
                </c:pt>
                <c:pt idx="23">
                  <c:v>2</c:v>
                </c:pt>
                <c:pt idx="24">
                  <c:v>0</c:v>
                </c:pt>
                <c:pt idx="25">
                  <c:v>3</c:v>
                </c:pt>
                <c:pt idx="26">
                  <c:v>6</c:v>
                </c:pt>
                <c:pt idx="27">
                  <c:v>7</c:v>
                </c:pt>
                <c:pt idx="28">
                  <c:v>10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'1st-1'!$E$58:$E$86</c15:f>
                <c15:dlblRangeCache>
                  <c:ptCount val="29"/>
                  <c:pt idx="0">
                    <c:v>0</c:v>
                  </c:pt>
                  <c:pt idx="1">
                    <c:v>9</c:v>
                  </c:pt>
                  <c:pt idx="2">
                    <c:v>9</c:v>
                  </c:pt>
                  <c:pt idx="3">
                    <c:v>9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9</c:v>
                  </c:pt>
                  <c:pt idx="9">
                    <c:v>9</c:v>
                  </c:pt>
                  <c:pt idx="10">
                    <c:v>9</c:v>
                  </c:pt>
                  <c:pt idx="11">
                    <c:v>9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9</c:v>
                  </c:pt>
                  <c:pt idx="16">
                    <c:v>9</c:v>
                  </c:pt>
                  <c:pt idx="17">
                    <c:v>6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5-5C13-034A-9481-1F7401B48A35}"/>
            </c:ext>
          </c:extLst>
        </c:ser>
        <c:ser>
          <c:idx val="2"/>
          <c:order val="2"/>
          <c:tx>
            <c:strRef>
              <c:f>'1st-1'!$G$1</c:f>
              <c:strCache>
                <c:ptCount val="1"/>
                <c:pt idx="0">
                  <c:v>C1: User input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D9C49B4-C82E-604D-AF5D-C83F31ADA8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layout>
                    <c:manualLayout>
                      <c:w val="0.10168421836902047"/>
                      <c:h val="4.3353677749892933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6-5C13-034A-9481-1F7401B48A35}"/>
                </c:ext>
              </c:extLst>
            </c:dLbl>
            <c:dLbl>
              <c:idx val="1"/>
              <c:layout>
                <c:manualLayout>
                  <c:x val="-4.3791380595247439E-2"/>
                  <c:y val="6.8011494896900879E-2"/>
                </c:manualLayout>
              </c:layout>
              <c:tx>
                <c:rich>
                  <a:bodyPr/>
                  <a:lstStyle/>
                  <a:p>
                    <a:fld id="{DA826C3B-F186-6944-9D49-A550993D35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layout>
                    <c:manualLayout>
                      <c:w val="7.6662774601414019E-2"/>
                      <c:h val="4.8923441863960963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7-5C13-034A-9481-1F7401B48A35}"/>
                </c:ext>
              </c:extLst>
            </c:dLbl>
            <c:dLbl>
              <c:idx val="2"/>
              <c:layout>
                <c:manualLayout>
                  <c:x val="-5.0338720754429696E-2"/>
                  <c:y val="9.0524189400269225E-2"/>
                </c:manualLayout>
              </c:layout>
              <c:tx>
                <c:rich>
                  <a:bodyPr/>
                  <a:lstStyle/>
                  <a:p>
                    <a:fld id="{743C63D6-4BB8-CA4F-A396-D31EDADF93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layout>
                    <c:manualLayout>
                      <c:w val="8.9757540077595024E-2"/>
                      <c:h val="5.1220809534055174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8-5C13-034A-9481-1F7401B48A35}"/>
                </c:ext>
              </c:extLst>
            </c:dLbl>
            <c:spPr>
              <a:noFill/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'1st-1'!$I$3:$I$5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'1st-1'!$L$3:$L$5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'1st-1'!$G$3:$G$9</c15:f>
                <c15:dlblRangeCache>
                  <c:ptCount val="7"/>
                  <c:pt idx="0">
                    <c:v>Keyboard only</c:v>
                  </c:pt>
                  <c:pt idx="1">
                    <c:v>Mix</c:v>
                  </c:pt>
                  <c:pt idx="2">
                    <c:v>Mouse only</c:v>
                  </c:pt>
                  <c:pt idx="3">
                    <c:v>C2: Visual Output</c:v>
                  </c:pt>
                  <c:pt idx="4">
                    <c:v>Text</c:v>
                  </c:pt>
                  <c:pt idx="5">
                    <c:v>Picture</c:v>
                  </c:pt>
                  <c:pt idx="6">
                    <c:v>Video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9-5C13-034A-9481-1F7401B48A35}"/>
            </c:ext>
          </c:extLst>
        </c:ser>
        <c:ser>
          <c:idx val="3"/>
          <c:order val="3"/>
          <c:tx>
            <c:strRef>
              <c:f>'1st-1'!$G$6:$L$6</c:f>
              <c:strCache>
                <c:ptCount val="1"/>
                <c:pt idx="0">
                  <c:v>C2: Visual Output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1BFEF0E-F21A-854B-957C-B04DFC9949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2576703066906898E-2"/>
                      <c:h val="7.0598525604519888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A-5C13-034A-9481-1F7401B48A35}"/>
                </c:ext>
              </c:extLst>
            </c:dLbl>
            <c:dLbl>
              <c:idx val="1"/>
              <c:layout>
                <c:manualLayout>
                  <c:x val="-5.3507021813419604E-2"/>
                  <c:y val="6.9589403452480478E-2"/>
                </c:manualLayout>
              </c:layout>
              <c:tx>
                <c:rich>
                  <a:bodyPr/>
                  <a:lstStyle/>
                  <a:p>
                    <a:fld id="{6E3E71D0-20F6-1F47-A07D-B38DFF614E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205051205519282"/>
                      <c:h val="5.2079379979161372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B-5C13-034A-9481-1F7401B48A35}"/>
                </c:ext>
              </c:extLst>
            </c:dLbl>
            <c:dLbl>
              <c:idx val="2"/>
              <c:layout>
                <c:manualLayout>
                  <c:x val="-4.7288334508182282E-2"/>
                  <c:y val="0.10001137429572211"/>
                </c:manualLayout>
              </c:layout>
              <c:tx>
                <c:rich>
                  <a:bodyPr/>
                  <a:lstStyle/>
                  <a:p>
                    <a:fld id="{0B73F24F-867B-2D41-BA2F-48B01CD76B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1598516557331894E-2"/>
                      <c:h val="6.6908613662709435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C-5C13-034A-9481-1F7401B48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'1st-1'!$I$7:$I$9</c:f>
              <c:numCache>
                <c:formatCode>General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xVal>
          <c:yVal>
            <c:numRef>
              <c:f>'1st-1'!$L$7:$L$9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'1st-1'!$G$7:$G$9</c15:f>
                <c15:dlblRangeCache>
                  <c:ptCount val="3"/>
                  <c:pt idx="0">
                    <c:v>Text</c:v>
                  </c:pt>
                  <c:pt idx="1">
                    <c:v>Picture</c:v>
                  </c:pt>
                  <c:pt idx="2">
                    <c:v>Video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D-5C13-034A-9481-1F7401B48A35}"/>
            </c:ext>
          </c:extLst>
        </c:ser>
        <c:ser>
          <c:idx val="4"/>
          <c:order val="4"/>
          <c:tx>
            <c:strRef>
              <c:f>'1st-1'!$G$53</c:f>
              <c:strCache>
                <c:ptCount val="1"/>
                <c:pt idx="0">
                  <c:v>C2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E-5C13-034A-9481-1F7401B48A35}"/>
              </c:ext>
            </c:extLst>
          </c:dPt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F-5C13-034A-9481-1F7401B48A35}"/>
              </c:ext>
            </c:extLst>
          </c:dPt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0-5C13-034A-9481-1F7401B48A35}"/>
              </c:ext>
            </c:extLst>
          </c:dPt>
          <c:dPt>
            <c:idx val="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1-5C13-034A-9481-1F7401B48A35}"/>
              </c:ext>
            </c:extLst>
          </c:dPt>
          <c:dPt>
            <c:idx val="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2-5C13-034A-9481-1F7401B48A35}"/>
              </c:ext>
            </c:extLst>
          </c:dPt>
          <c:dPt>
            <c:idx val="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3-5C13-034A-9481-1F7401B48A35}"/>
              </c:ext>
            </c:extLst>
          </c:dPt>
          <c:dPt>
            <c:idx val="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5-5C13-034A-9481-1F7401B48A35}"/>
              </c:ext>
            </c:extLst>
          </c:dPt>
          <c:dPt>
            <c:idx val="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6-5C13-034A-9481-1F7401B48A35}"/>
              </c:ext>
            </c:extLst>
          </c:dPt>
          <c:dPt>
            <c:idx val="1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8-5C13-034A-9481-1F7401B48A35}"/>
              </c:ext>
            </c:extLst>
          </c:dPt>
          <c:dPt>
            <c:idx val="1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9-5C13-034A-9481-1F7401B48A35}"/>
              </c:ext>
            </c:extLst>
          </c:dPt>
          <c:dPt>
            <c:idx val="1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A-5C13-034A-9481-1F7401B48A35}"/>
              </c:ext>
            </c:extLst>
          </c:dPt>
          <c:dPt>
            <c:idx val="1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B-5C13-034A-9481-1F7401B48A35}"/>
              </c:ext>
            </c:extLst>
          </c:dPt>
          <c:dPt>
            <c:idx val="1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C-5C13-034A-9481-1F7401B48A35}"/>
              </c:ext>
            </c:extLst>
          </c:dPt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D-5C13-034A-9481-1F7401B48A35}"/>
              </c:ext>
            </c:extLst>
          </c:dPt>
          <c:dPt>
            <c:idx val="1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E-5C13-034A-9481-1F7401B48A35}"/>
              </c:ext>
            </c:extLst>
          </c:dPt>
          <c:dPt>
            <c:idx val="1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40-5C13-034A-9481-1F7401B48A35}"/>
              </c:ext>
            </c:extLst>
          </c:dPt>
          <c:dPt>
            <c:idx val="1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41-5C13-034A-9481-1F7401B48A35}"/>
              </c:ext>
            </c:extLst>
          </c:dPt>
          <c:dPt>
            <c:idx val="2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43-5C13-034A-9481-1F7401B48A35}"/>
              </c:ext>
            </c:extLst>
          </c:dPt>
          <c:dPt>
            <c:idx val="2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44-5C13-034A-9481-1F7401B48A35}"/>
              </c:ext>
            </c:extLst>
          </c:dPt>
          <c:dPt>
            <c:idx val="2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45-5C13-034A-9481-1F7401B48A35}"/>
              </c:ext>
            </c:extLst>
          </c:dPt>
          <c:dPt>
            <c:idx val="2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46-5C13-034A-9481-1F7401B48A35}"/>
              </c:ext>
            </c:extLst>
          </c:dPt>
          <c:dPt>
            <c:idx val="2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47-5C13-034A-9481-1F7401B48A35}"/>
              </c:ext>
            </c:extLst>
          </c:dPt>
          <c:dPt>
            <c:idx val="2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48-5C13-034A-9481-1F7401B48A35}"/>
              </c:ext>
            </c:extLst>
          </c:dPt>
          <c:dPt>
            <c:idx val="2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130-5C13-034A-9481-1F7401B48A3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7BB440FE-98F0-DD4B-B3EC-EA88A6E9D2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C13-034A-9481-1F7401B48A3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AB699FF-6241-F149-9DB6-A0D457905A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C13-034A-9481-1F7401B48A3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A7C9D03-7721-5A44-8D12-1CD47E9D87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C13-034A-9481-1F7401B48A3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7527EC4-0500-2546-A46B-695B9E5A1F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C13-034A-9481-1F7401B48A3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82215A-62AD-4540-84E5-84707F2316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C13-034A-9481-1F7401B48A3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F3E07F3-2345-C345-836C-49542A4E4B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C13-034A-9481-1F7401B48A3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D713281-8A25-6742-A420-215776D440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C13-034A-9481-1F7401B48A3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F6F3004-C397-8949-B917-DA10F2C454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C13-034A-9481-1F7401B48A3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CB5BEC0-523F-3A46-94D8-0B21B5F900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C13-034A-9481-1F7401B48A3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827D943-51A1-EB42-920C-E3457C5C71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C13-034A-9481-1F7401B48A3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20AE699-BD01-7247-BD65-9BB02CD087D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C13-034A-9481-1F7401B48A3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070357D-0CAF-8D4B-85DA-1C000B161A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C13-034A-9481-1F7401B48A3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96CC6E5-8042-5049-B50C-295FF4E249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C13-034A-9481-1F7401B48A3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12C164D-47E9-714B-8D92-5217D9D902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C13-034A-9481-1F7401B48A3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318C644-46D8-B643-AE89-B9FA7BFFD24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C13-034A-9481-1F7401B48A3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4751715-00B5-A443-9FC8-F2270F5250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C13-034A-9481-1F7401B48A3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B90A1B8-C83C-0B48-AE65-317713F17D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C13-034A-9481-1F7401B48A3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6512B61-8B1E-E94D-B8A9-D97D7857E1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C13-034A-9481-1F7401B48A3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F360AE1-6CE5-8747-8BFB-02FB80497F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C13-034A-9481-1F7401B48A3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680ECFD-83AD-E043-ABC5-66D6E1228B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C13-034A-9481-1F7401B48A3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E1C634E-8528-C74F-8052-23EBE63A1F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C13-034A-9481-1F7401B48A3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A3F4584-5236-3A4D-AC0D-A5AE531730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C13-034A-9481-1F7401B48A3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DE40470-3B4E-3341-8108-C0EC8A3A9A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C13-034A-9481-1F7401B48A3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E31C258-EC68-E942-BE3C-451EC06A56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C13-034A-9481-1F7401B48A3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038FCC6-3B27-7D45-8841-04FCC1F9ED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C13-034A-9481-1F7401B48A3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DA8E6D4-08EE-8C4C-B04F-65EEAB703C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C13-034A-9481-1F7401B48A3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6227602-3413-7340-8325-27C5EDF929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C13-034A-9481-1F7401B48A3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C548FCF-8E9C-184B-B1DE-1DD971C6AF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0-5C13-034A-9481-1F7401B48A3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8344005-015E-3A48-B0BE-2B06021436D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1-5C13-034A-9481-1F7401B48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'1st-1'!$F$58:$F$86</c:f>
              <c:numCache>
                <c:formatCode>General</c:formatCode>
                <c:ptCount val="29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</c:numCache>
            </c:numRef>
          </c:xVal>
          <c:yVal>
            <c:numRef>
              <c:f>'1st-1'!$B$58:$B$86</c:f>
              <c:numCache>
                <c:formatCode>General</c:formatCode>
                <c:ptCount val="29"/>
                <c:pt idx="0">
                  <c:v>8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6</c:v>
                </c:pt>
                <c:pt idx="5">
                  <c:v>7</c:v>
                </c:pt>
                <c:pt idx="6">
                  <c:v>10</c:v>
                </c:pt>
                <c:pt idx="7">
                  <c:v>5</c:v>
                </c:pt>
                <c:pt idx="8">
                  <c:v>4</c:v>
                </c:pt>
                <c:pt idx="9">
                  <c:v>9</c:v>
                </c:pt>
                <c:pt idx="10">
                  <c:v>1</c:v>
                </c:pt>
                <c:pt idx="11">
                  <c:v>8</c:v>
                </c:pt>
                <c:pt idx="12">
                  <c:v>2</c:v>
                </c:pt>
                <c:pt idx="13">
                  <c:v>0</c:v>
                </c:pt>
                <c:pt idx="14">
                  <c:v>3</c:v>
                </c:pt>
                <c:pt idx="15">
                  <c:v>6</c:v>
                </c:pt>
                <c:pt idx="16">
                  <c:v>7</c:v>
                </c:pt>
                <c:pt idx="17">
                  <c:v>10</c:v>
                </c:pt>
                <c:pt idx="18">
                  <c:v>5</c:v>
                </c:pt>
                <c:pt idx="19">
                  <c:v>4</c:v>
                </c:pt>
                <c:pt idx="20">
                  <c:v>9</c:v>
                </c:pt>
                <c:pt idx="21">
                  <c:v>1</c:v>
                </c:pt>
                <c:pt idx="22">
                  <c:v>8</c:v>
                </c:pt>
                <c:pt idx="23">
                  <c:v>2</c:v>
                </c:pt>
                <c:pt idx="24">
                  <c:v>0</c:v>
                </c:pt>
                <c:pt idx="25">
                  <c:v>3</c:v>
                </c:pt>
                <c:pt idx="26">
                  <c:v>6</c:v>
                </c:pt>
                <c:pt idx="27">
                  <c:v>7</c:v>
                </c:pt>
                <c:pt idx="28">
                  <c:v>10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'1st-1'!$G$58:$G$86</c15:f>
                <c15:dlblRangeCache>
                  <c:ptCount val="29"/>
                  <c:pt idx="0">
                    <c:v>0</c:v>
                  </c:pt>
                  <c:pt idx="1">
                    <c:v>9</c:v>
                  </c:pt>
                  <c:pt idx="2">
                    <c:v>9</c:v>
                  </c:pt>
                  <c:pt idx="3">
                    <c:v>9</c:v>
                  </c:pt>
                  <c:pt idx="4">
                    <c:v>0</c:v>
                  </c:pt>
                  <c:pt idx="5">
                    <c:v>7</c:v>
                  </c:pt>
                  <c:pt idx="6">
                    <c:v>2</c:v>
                  </c:pt>
                  <c:pt idx="7">
                    <c:v>0</c:v>
                  </c:pt>
                  <c:pt idx="8">
                    <c:v>9</c:v>
                  </c:pt>
                  <c:pt idx="9">
                    <c:v>0</c:v>
                  </c:pt>
                  <c:pt idx="10">
                    <c:v>6</c:v>
                  </c:pt>
                  <c:pt idx="11">
                    <c:v>9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9</c:v>
                  </c:pt>
                  <c:pt idx="16">
                    <c:v>2</c:v>
                  </c:pt>
                  <c:pt idx="17">
                    <c:v>2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9-5C13-034A-9481-1F7401B48A35}"/>
            </c:ext>
          </c:extLst>
        </c:ser>
        <c:ser>
          <c:idx val="5"/>
          <c:order val="5"/>
          <c:tx>
            <c:strRef>
              <c:f>'1st-1'!$G$10:$L$10</c:f>
              <c:strCache>
                <c:ptCount val="1"/>
                <c:pt idx="0">
                  <c:v>C3: Story option		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9136330472267393E-2"/>
                  <c:y val="4.1618793907984265E-2"/>
                </c:manualLayout>
              </c:layout>
              <c:tx>
                <c:rich>
                  <a:bodyPr/>
                  <a:lstStyle/>
                  <a:p>
                    <a:fld id="{32A60A9F-105D-7141-8464-9B9BA48638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A-5C13-034A-9481-1F7401B48A35}"/>
                </c:ext>
              </c:extLst>
            </c:dLbl>
            <c:dLbl>
              <c:idx val="1"/>
              <c:layout>
                <c:manualLayout>
                  <c:x val="-6.6961465423562322E-2"/>
                  <c:y val="7.2843111971077457E-2"/>
                </c:manualLayout>
              </c:layout>
              <c:tx>
                <c:rich>
                  <a:bodyPr/>
                  <a:lstStyle/>
                  <a:p>
                    <a:fld id="{3D4F80C9-BEE7-B446-ABFB-6982717394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B-5C13-034A-9481-1F7401B48A35}"/>
                </c:ext>
              </c:extLst>
            </c:dLbl>
            <c:dLbl>
              <c:idx val="2"/>
              <c:layout>
                <c:manualLayout>
                  <c:x val="-8.7260088106635991E-2"/>
                  <c:y val="0.11228435584024807"/>
                </c:manualLayout>
              </c:layout>
              <c:tx>
                <c:rich>
                  <a:bodyPr/>
                  <a:lstStyle/>
                  <a:p>
                    <a:fld id="{89C20A1E-CE31-AA4F-92A3-94BC4DFD8C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C-5C13-034A-9481-1F7401B48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accent5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'1st-1'!$I$11:$I$13</c:f>
              <c:numCache>
                <c:formatCode>General</c:formatCode>
                <c:ptCount val="3"/>
                <c:pt idx="0">
                  <c:v>8</c:v>
                </c:pt>
                <c:pt idx="1">
                  <c:v>9</c:v>
                </c:pt>
                <c:pt idx="2">
                  <c:v>10</c:v>
                </c:pt>
              </c:numCache>
            </c:numRef>
          </c:xVal>
          <c:yVal>
            <c:numRef>
              <c:f>'1st-1'!$L$11:$L$13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'1st-1'!$G$11:$G$13</c15:f>
                <c15:dlblRangeCache>
                  <c:ptCount val="3"/>
                  <c:pt idx="0">
                    <c:v>Linear limited</c:v>
                  </c:pt>
                  <c:pt idx="1">
                    <c:v>Non-linear limited</c:v>
                  </c:pt>
                  <c:pt idx="2">
                    <c:v>Non-linear open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D-5C13-034A-9481-1F7401B48A35}"/>
            </c:ext>
          </c:extLst>
        </c:ser>
        <c:ser>
          <c:idx val="6"/>
          <c:order val="6"/>
          <c:tx>
            <c:strRef>
              <c:f>'1st-1'!$G$14:$L$14</c:f>
              <c:strCache>
                <c:ptCount val="1"/>
                <c:pt idx="0">
                  <c:v>C4:Story Ending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8F05851-5CA8-D24C-A615-23E9984EC7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C13-034A-9481-1F7401B48A35}"/>
                </c:ext>
              </c:extLst>
            </c:dLbl>
            <c:dLbl>
              <c:idx val="1"/>
              <c:layout>
                <c:manualLayout>
                  <c:x val="-5.5059417027915128E-2"/>
                  <c:y val="6.116291368824673E-2"/>
                </c:manualLayout>
              </c:layout>
              <c:tx>
                <c:rich>
                  <a:bodyPr/>
                  <a:lstStyle/>
                  <a:p>
                    <a:fld id="{20EB65D9-87D9-3B44-BED9-AF44962B2A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18442232446233"/>
                      <c:h val="8.1241247557782115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F-5C13-034A-9481-1F7401B48A35}"/>
                </c:ext>
              </c:extLst>
            </c:dLbl>
            <c:dLbl>
              <c:idx val="2"/>
              <c:layout>
                <c:manualLayout>
                  <c:x val="-2.9295167235800078E-2"/>
                  <c:y val="0.10571081519538632"/>
                </c:manualLayout>
              </c:layout>
              <c:tx>
                <c:rich>
                  <a:bodyPr/>
                  <a:lstStyle/>
                  <a:p>
                    <a:fld id="{B5171D42-54FE-F144-B508-8CBBB2172F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0-5C13-034A-9481-1F7401B48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accent5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'1st-1'!$I$15:$I$17</c:f>
              <c:numCache>
                <c:formatCode>General</c:formatCode>
                <c:ptCount val="3"/>
                <c:pt idx="0">
                  <c:v>12</c:v>
                </c:pt>
                <c:pt idx="1">
                  <c:v>13</c:v>
                </c:pt>
                <c:pt idx="2">
                  <c:v>14</c:v>
                </c:pt>
              </c:numCache>
            </c:numRef>
          </c:xVal>
          <c:yVal>
            <c:numRef>
              <c:f>'1st-1'!$L$15:$L$17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'1st-1'!$G$15:$G$17</c15:f>
                <c15:dlblRangeCache>
                  <c:ptCount val="3"/>
                  <c:pt idx="0">
                    <c:v>Single defined</c:v>
                  </c:pt>
                  <c:pt idx="1">
                    <c:v>Multiple defined</c:v>
                  </c:pt>
                  <c:pt idx="2">
                    <c:v>No defined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51-5C13-034A-9481-1F7401B48A35}"/>
            </c:ext>
          </c:extLst>
        </c:ser>
        <c:ser>
          <c:idx val="7"/>
          <c:order val="7"/>
          <c:tx>
            <c:strRef>
              <c:f>'1st-1'!$G$18:$L$18</c:f>
              <c:strCache>
                <c:ptCount val="1"/>
                <c:pt idx="0">
                  <c:v>C5: Action Time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3EBAD82-5BEE-F84F-BAC6-160B1EEF10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C13-034A-9481-1F7401B48A35}"/>
                </c:ext>
              </c:extLst>
            </c:dLbl>
            <c:dLbl>
              <c:idx val="1"/>
              <c:layout>
                <c:manualLayout>
                  <c:x val="-4.8645781401179727E-2"/>
                  <c:y val="6.4626186165000266E-2"/>
                </c:manualLayout>
              </c:layout>
              <c:tx>
                <c:rich>
                  <a:bodyPr/>
                  <a:lstStyle/>
                  <a:p>
                    <a:fld id="{6C388BAE-E913-7C42-AE17-44FE57483D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3-5C13-034A-9481-1F7401B48A35}"/>
                </c:ext>
              </c:extLst>
            </c:dLbl>
            <c:dLbl>
              <c:idx val="2"/>
              <c:layout>
                <c:manualLayout>
                  <c:x val="-3.5219204301307247E-2"/>
                  <c:y val="0.10078065971173988"/>
                </c:manualLayout>
              </c:layout>
              <c:tx>
                <c:rich>
                  <a:bodyPr/>
                  <a:lstStyle/>
                  <a:p>
                    <a:fld id="{DADF976F-79BC-6148-B3F9-DB7D6F01E9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4-5C13-034A-9481-1F7401B48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'1st-1'!$I$19:$I$21</c:f>
              <c:numCache>
                <c:formatCode>General</c:formatCode>
                <c:ptCount val="3"/>
                <c:pt idx="0">
                  <c:v>16</c:v>
                </c:pt>
                <c:pt idx="1">
                  <c:v>17</c:v>
                </c:pt>
                <c:pt idx="2">
                  <c:v>18</c:v>
                </c:pt>
              </c:numCache>
            </c:numRef>
          </c:xVal>
          <c:yVal>
            <c:numRef>
              <c:f>'1st-1'!$L$19:$L$21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'1st-1'!$G$19:$G$21</c15:f>
                <c15:dlblRangeCache>
                  <c:ptCount val="3"/>
                  <c:pt idx="0">
                    <c:v>Limited</c:v>
                  </c:pt>
                  <c:pt idx="1">
                    <c:v>Mix</c:v>
                  </c:pt>
                  <c:pt idx="2">
                    <c:v>Unlimited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55-5C13-034A-9481-1F7401B48A35}"/>
            </c:ext>
          </c:extLst>
        </c:ser>
        <c:ser>
          <c:idx val="8"/>
          <c:order val="8"/>
          <c:tx>
            <c:strRef>
              <c:f>'1st-1'!$G$22:$L$22</c:f>
              <c:strCache>
                <c:ptCount val="1"/>
                <c:pt idx="0">
                  <c:v>C6: Stats &amp; Resource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8E36867-A7C7-4041-AE69-3A4AA94ACE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C13-034A-9481-1F7401B48A3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C17B14C-BB14-8349-BBEA-808D95C12D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927584985200955"/>
                      <c:h val="0.1047901953650411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7-5C13-034A-9481-1F7401B48A35}"/>
                </c:ext>
              </c:extLst>
            </c:dLbl>
            <c:dLbl>
              <c:idx val="2"/>
              <c:layout>
                <c:manualLayout>
                  <c:x val="-7.2127126941686132E-2"/>
                  <c:y val="0.11343673115939788"/>
                </c:manualLayout>
              </c:layout>
              <c:tx>
                <c:rich>
                  <a:bodyPr/>
                  <a:lstStyle/>
                  <a:p>
                    <a:fld id="{E25E7A0C-CB7B-4A42-B61B-861FDF79D4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929065387730638"/>
                      <c:h val="3.7884039378614065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8-5C13-034A-9481-1F7401B48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'1st-1'!$I$23:$I$25</c:f>
              <c:numCache>
                <c:formatCode>General</c:formatCode>
                <c:ptCount val="3"/>
                <c:pt idx="0">
                  <c:v>20</c:v>
                </c:pt>
                <c:pt idx="1">
                  <c:v>21</c:v>
                </c:pt>
                <c:pt idx="2">
                  <c:v>22</c:v>
                </c:pt>
              </c:numCache>
            </c:numRef>
          </c:xVal>
          <c:yVal>
            <c:numRef>
              <c:f>'1st-1'!$L$23:$L$25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'1st-1'!$G$23:$G$25</c15:f>
                <c15:dlblRangeCache>
                  <c:ptCount val="3"/>
                  <c:pt idx="0">
                    <c:v>No stats &amp; no resource</c:v>
                  </c:pt>
                  <c:pt idx="1">
                    <c:v>Stats &amp; no resource</c:v>
                  </c:pt>
                  <c:pt idx="2">
                    <c:v>Stats &amp; resource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59-5C13-034A-9481-1F7401B48A35}"/>
            </c:ext>
          </c:extLst>
        </c:ser>
        <c:ser>
          <c:idx val="9"/>
          <c:order val="9"/>
          <c:tx>
            <c:strRef>
              <c:f>'1st-1'!$G$26:$L$26</c:f>
              <c:strCache>
                <c:ptCount val="1"/>
                <c:pt idx="0">
                  <c:v>C7: Player Count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2E9E1BB-71FB-4743-A8ED-FF1E65D39B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C13-034A-9481-1F7401B48A35}"/>
                </c:ext>
              </c:extLst>
            </c:dLbl>
            <c:dLbl>
              <c:idx val="1"/>
              <c:layout>
                <c:manualLayout>
                  <c:x val="-3.2486801123164974E-2"/>
                  <c:y val="7.4486497132292898E-2"/>
                </c:manualLayout>
              </c:layout>
              <c:tx>
                <c:rich>
                  <a:bodyPr/>
                  <a:lstStyle/>
                  <a:p>
                    <a:fld id="{3C3F40EF-DD74-9E40-BCF4-4034EBA92F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B-5C13-034A-9481-1F7401B48A35}"/>
                </c:ext>
              </c:extLst>
            </c:dLbl>
            <c:dLbl>
              <c:idx val="2"/>
              <c:layout>
                <c:manualLayout>
                  <c:x val="-3.7785424587907859E-2"/>
                  <c:y val="0.10734885161768901"/>
                </c:manualLayout>
              </c:layout>
              <c:tx>
                <c:rich>
                  <a:bodyPr/>
                  <a:lstStyle/>
                  <a:p>
                    <a:fld id="{1116DF4B-6A23-9F4D-BC43-4ABD483A6E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C-5C13-034A-9481-1F7401B48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'1st-1'!$I$27:$I$29</c:f>
              <c:numCache>
                <c:formatCode>General</c:formatCode>
                <c:ptCount val="3"/>
                <c:pt idx="0">
                  <c:v>24</c:v>
                </c:pt>
                <c:pt idx="1">
                  <c:v>25</c:v>
                </c:pt>
                <c:pt idx="2">
                  <c:v>26</c:v>
                </c:pt>
              </c:numCache>
            </c:numRef>
          </c:xVal>
          <c:yVal>
            <c:numRef>
              <c:f>'1st-1'!$L$27:$L$29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'1st-1'!$G$27:$G$29</c15:f>
                <c15:dlblRangeCache>
                  <c:ptCount val="3"/>
                  <c:pt idx="0">
                    <c:v>Single</c:v>
                  </c:pt>
                  <c:pt idx="1">
                    <c:v>Two</c:v>
                  </c:pt>
                  <c:pt idx="2">
                    <c:v>Three or more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5D-5C13-034A-9481-1F7401B48A35}"/>
            </c:ext>
          </c:extLst>
        </c:ser>
        <c:ser>
          <c:idx val="10"/>
          <c:order val="10"/>
          <c:tx>
            <c:strRef>
              <c:f>'1st-1'!$G$30:$L$30</c:f>
              <c:strCache>
                <c:ptCount val="1"/>
                <c:pt idx="0">
                  <c:v>C8: Platform Compatibility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85EBE54-61CD-AB41-9687-38E3D062B4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C13-034A-9481-1F7401B48A35}"/>
                </c:ext>
              </c:extLst>
            </c:dLbl>
            <c:dLbl>
              <c:idx val="1"/>
              <c:layout>
                <c:manualLayout>
                  <c:x val="-6.0012425415070306E-2"/>
                  <c:y val="6.9459040942415839E-2"/>
                </c:manualLayout>
              </c:layout>
              <c:tx>
                <c:rich>
                  <a:bodyPr rot="0" spcFirstLastPara="1" vertOverflow="clip" horzOverflow="clip" vert="horz" wrap="square" lIns="36576" tIns="18288" rIns="36576" bIns="18288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accent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20C44615-A8B6-CD46-8B8B-D47A5CEB1FA1}" type="CELLRANGE">
                      <a:rPr lang="en-US">
                        <a:solidFill>
                          <a:schemeClr val="accent2"/>
                        </a:solidFill>
                      </a:rPr>
                      <a:pPr>
                        <a:defRPr sz="1200">
                          <a:solidFill>
                            <a:schemeClr val="accent2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F-5C13-034A-9481-1F7401B48A35}"/>
                </c:ext>
              </c:extLst>
            </c:dLbl>
            <c:dLbl>
              <c:idx val="2"/>
              <c:layout>
                <c:manualLayout>
                  <c:x val="-6.8981611542566504E-2"/>
                  <c:y val="0.11721451132389427"/>
                </c:manualLayout>
              </c:layout>
              <c:tx>
                <c:rich>
                  <a:bodyPr/>
                  <a:lstStyle/>
                  <a:p>
                    <a:fld id="{007CEC17-4EE4-7240-B589-08C571927F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0-5C13-034A-9481-1F7401B48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'1st-1'!$I$31:$I$33</c:f>
              <c:numCache>
                <c:formatCode>General</c:formatCode>
                <c:ptCount val="3"/>
                <c:pt idx="0">
                  <c:v>28</c:v>
                </c:pt>
                <c:pt idx="1">
                  <c:v>29</c:v>
                </c:pt>
                <c:pt idx="2">
                  <c:v>30</c:v>
                </c:pt>
              </c:numCache>
            </c:numRef>
          </c:xVal>
          <c:yVal>
            <c:numRef>
              <c:f>'1st-1'!$L$31:$L$33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'1st-1'!$G$31:$G$33</c15:f>
                <c15:dlblRangeCache>
                  <c:ptCount val="3"/>
                  <c:pt idx="0">
                    <c:v>Single PC/Phone</c:v>
                  </c:pt>
                  <c:pt idx="1">
                    <c:v>Single Console</c:v>
                  </c:pt>
                  <c:pt idx="2">
                    <c:v>Multiple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61-5C13-034A-9481-1F7401B48A35}"/>
            </c:ext>
          </c:extLst>
        </c:ser>
        <c:ser>
          <c:idx val="11"/>
          <c:order val="11"/>
          <c:tx>
            <c:strRef>
              <c:f>'1st-1'!$G$34:$L$34</c:f>
              <c:strCache>
                <c:ptCount val="1"/>
                <c:pt idx="0">
                  <c:v>C9: Monetization Model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8AE6D52-AD8D-224F-B65B-2A23583E41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C13-034A-9481-1F7401B48A35}"/>
                </c:ext>
              </c:extLst>
            </c:dLbl>
            <c:dLbl>
              <c:idx val="1"/>
              <c:layout>
                <c:manualLayout>
                  <c:x val="0"/>
                  <c:y val="6.4626186165000266E-2"/>
                </c:manualLayout>
              </c:layout>
              <c:tx>
                <c:rich>
                  <a:bodyPr/>
                  <a:lstStyle/>
                  <a:p>
                    <a:fld id="{04854994-FA9E-3A48-8DC8-01A65F0563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3-5C13-034A-9481-1F7401B48A35}"/>
                </c:ext>
              </c:extLst>
            </c:dLbl>
            <c:dLbl>
              <c:idx val="2"/>
              <c:layout>
                <c:manualLayout>
                  <c:x val="-1.4559725155938779E-16"/>
                  <c:y val="0.10406743003417077"/>
                </c:manualLayout>
              </c:layout>
              <c:tx>
                <c:rich>
                  <a:bodyPr/>
                  <a:lstStyle/>
                  <a:p>
                    <a:fld id="{8B5AF72A-351D-744F-8F8F-B21B3220E8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4-5C13-034A-9481-1F7401B48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'1st-1'!$I$35:$I$37</c:f>
              <c:numCache>
                <c:formatCode>General</c:formatCode>
                <c:ptCount val="3"/>
                <c:pt idx="0">
                  <c:v>32</c:v>
                </c:pt>
                <c:pt idx="1">
                  <c:v>33</c:v>
                </c:pt>
                <c:pt idx="2">
                  <c:v>34</c:v>
                </c:pt>
              </c:numCache>
            </c:numRef>
          </c:xVal>
          <c:yVal>
            <c:numRef>
              <c:f>'1st-1'!$L$35:$L$37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'1st-1'!$G$35:$G$37</c15:f>
                <c15:dlblRangeCache>
                  <c:ptCount val="3"/>
                  <c:pt idx="0">
                    <c:v>Free</c:v>
                  </c:pt>
                  <c:pt idx="1">
                    <c:v>Purchase before playing</c:v>
                  </c:pt>
                  <c:pt idx="2">
                    <c:v>In-game ad/purchase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65-5C13-034A-9481-1F7401B48A35}"/>
            </c:ext>
          </c:extLst>
        </c:ser>
        <c:ser>
          <c:idx val="12"/>
          <c:order val="12"/>
          <c:tx>
            <c:strRef>
              <c:f>'1st-1'!$I$53</c:f>
              <c:strCache>
                <c:ptCount val="1"/>
                <c:pt idx="0">
                  <c:v>C3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D890AC1-3F32-6441-9018-CA2AACE453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C13-034A-9481-1F7401B48A3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3F71189-3295-704F-ABF1-D56F4D8B20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C13-034A-9481-1F7401B48A3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E937662-0297-5847-AD7F-705B1CD925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C13-034A-9481-1F7401B48A3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479DD2A-0DEB-F943-BADD-B4C438FC0C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C13-034A-9481-1F7401B48A3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09C0ACD-4061-4D46-AF60-6D2E3FFC58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C13-034A-9481-1F7401B48A3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6F42A50-E729-4840-A633-8948A9DECC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C13-034A-9481-1F7401B48A3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E5B2E0F-31A5-4A40-AD6D-636D0306DE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C13-034A-9481-1F7401B48A3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C1B654C-9BC5-AD49-ADAF-5C61938CF2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C13-034A-9481-1F7401B48A3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0E1D38C-3AF7-DD4F-BCEF-5FA50140864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C13-034A-9481-1F7401B48A3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057A013-C4C1-234F-86D7-156D42377D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C13-034A-9481-1F7401B48A3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4379E97-2988-0A4B-99B3-A1C1D431D9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C13-034A-9481-1F7401B48A3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ED85F12-CFE0-B843-AD89-260C6196A3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C13-034A-9481-1F7401B48A3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C44D0B9-D596-994A-86AE-633B4E7A55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C13-034A-9481-1F7401B48A3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09D3AE8-15FC-6741-88B3-41C246C23C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C13-034A-9481-1F7401B48A3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90C070F-958A-BB4A-9FF2-F55233FFF1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C13-034A-9481-1F7401B48A3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3CEEF59-1741-E44F-986E-A08076047C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C13-034A-9481-1F7401B48A3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D9DD452-D735-8645-93F9-E8DF1F83E7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C13-034A-9481-1F7401B48A3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EBECC38-3692-CC41-B612-8B7ED580E3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C13-034A-9481-1F7401B48A3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FF063F1-64F2-9F4B-AFDD-6B162D40EC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C13-034A-9481-1F7401B48A3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ADB4BC0-7C84-3C43-8CE2-62D7E1BDA7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C13-034A-9481-1F7401B48A3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38A920D-C4FC-2344-BB5E-A2920827A4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C13-034A-9481-1F7401B48A3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0653B7B-308E-2546-BAC4-E3C58484E0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C13-034A-9481-1F7401B48A3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0F074B3-EF69-A541-BAC9-898F1045B9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C13-034A-9481-1F7401B48A3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53885DC-0C29-6645-864B-1282784B95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C13-034A-9481-1F7401B48A3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D6E16D5-68C9-5C45-885D-DA14F08ABB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C13-034A-9481-1F7401B48A3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C88AD13-5572-534E-8DE8-B0C1699D9A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C13-034A-9481-1F7401B48A3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8347B64-A52F-6948-A997-157600C118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C13-034A-9481-1F7401B48A3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29F92DB-8AAB-BC43-B3E3-70098AACF9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4-5C13-034A-9481-1F7401B48A3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D266C75-62F7-C843-9AA7-8E99CF798B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5-5C13-034A-9481-1F7401B48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accent5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'1st-1'!$H$58:$H$86</c:f>
              <c:numCache>
                <c:formatCode>General</c:formatCode>
                <c:ptCount val="29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</c:numCache>
            </c:numRef>
          </c:xVal>
          <c:yVal>
            <c:numRef>
              <c:f>'1st-1'!$B$58:$B$86</c:f>
              <c:numCache>
                <c:formatCode>General</c:formatCode>
                <c:ptCount val="29"/>
                <c:pt idx="0">
                  <c:v>8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6</c:v>
                </c:pt>
                <c:pt idx="5">
                  <c:v>7</c:v>
                </c:pt>
                <c:pt idx="6">
                  <c:v>10</c:v>
                </c:pt>
                <c:pt idx="7">
                  <c:v>5</c:v>
                </c:pt>
                <c:pt idx="8">
                  <c:v>4</c:v>
                </c:pt>
                <c:pt idx="9">
                  <c:v>9</c:v>
                </c:pt>
                <c:pt idx="10">
                  <c:v>1</c:v>
                </c:pt>
                <c:pt idx="11">
                  <c:v>8</c:v>
                </c:pt>
                <c:pt idx="12">
                  <c:v>2</c:v>
                </c:pt>
                <c:pt idx="13">
                  <c:v>0</c:v>
                </c:pt>
                <c:pt idx="14">
                  <c:v>3</c:v>
                </c:pt>
                <c:pt idx="15">
                  <c:v>6</c:v>
                </c:pt>
                <c:pt idx="16">
                  <c:v>7</c:v>
                </c:pt>
                <c:pt idx="17">
                  <c:v>10</c:v>
                </c:pt>
                <c:pt idx="18">
                  <c:v>5</c:v>
                </c:pt>
                <c:pt idx="19">
                  <c:v>4</c:v>
                </c:pt>
                <c:pt idx="20">
                  <c:v>9</c:v>
                </c:pt>
                <c:pt idx="21">
                  <c:v>1</c:v>
                </c:pt>
                <c:pt idx="22">
                  <c:v>8</c:v>
                </c:pt>
                <c:pt idx="23">
                  <c:v>2</c:v>
                </c:pt>
                <c:pt idx="24">
                  <c:v>0</c:v>
                </c:pt>
                <c:pt idx="25">
                  <c:v>3</c:v>
                </c:pt>
                <c:pt idx="26">
                  <c:v>6</c:v>
                </c:pt>
                <c:pt idx="27">
                  <c:v>7</c:v>
                </c:pt>
                <c:pt idx="28">
                  <c:v>10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'1st-1'!$I$58:$I$86</c15:f>
                <c15:dlblRangeCache>
                  <c:ptCount val="2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9</c:v>
                  </c:pt>
                  <c:pt idx="8">
                    <c:v>9</c:v>
                  </c:pt>
                  <c:pt idx="9">
                    <c:v>8</c:v>
                  </c:pt>
                  <c:pt idx="10">
                    <c:v>8</c:v>
                  </c:pt>
                  <c:pt idx="11">
                    <c:v>9</c:v>
                  </c:pt>
                  <c:pt idx="12">
                    <c:v>8</c:v>
                  </c:pt>
                  <c:pt idx="13">
                    <c:v>9</c:v>
                  </c:pt>
                  <c:pt idx="14">
                    <c:v>9</c:v>
                  </c:pt>
                  <c:pt idx="15">
                    <c:v>7</c:v>
                  </c:pt>
                  <c:pt idx="16">
                    <c:v>7</c:v>
                  </c:pt>
                  <c:pt idx="17">
                    <c:v>7</c:v>
                  </c:pt>
                  <c:pt idx="18">
                    <c:v>0</c:v>
                  </c:pt>
                  <c:pt idx="19">
                    <c:v>0</c:v>
                  </c:pt>
                  <c:pt idx="20">
                    <c:v>1</c:v>
                  </c:pt>
                  <c:pt idx="21">
                    <c:v>1</c:v>
                  </c:pt>
                  <c:pt idx="22">
                    <c:v>0</c:v>
                  </c:pt>
                  <c:pt idx="23">
                    <c:v>1</c:v>
                  </c:pt>
                  <c:pt idx="24">
                    <c:v>0</c:v>
                  </c:pt>
                  <c:pt idx="25">
                    <c:v>0</c:v>
                  </c:pt>
                  <c:pt idx="26">
                    <c:v>2</c:v>
                  </c:pt>
                  <c:pt idx="27">
                    <c:v>2</c:v>
                  </c:pt>
                  <c:pt idx="28">
                    <c:v>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81-5C13-034A-9481-1F7401B48A35}"/>
            </c:ext>
          </c:extLst>
        </c:ser>
        <c:ser>
          <c:idx val="13"/>
          <c:order val="13"/>
          <c:tx>
            <c:strRef>
              <c:f>'1st-1'!$L$53</c:f>
              <c:strCache>
                <c:ptCount val="1"/>
                <c:pt idx="0">
                  <c:v>C4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740C549-FA3C-EA47-A690-EF74B00BD9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C13-034A-9481-1F7401B48A3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6ADFBD9-776A-1649-9734-CDB5DFF5E1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C13-034A-9481-1F7401B48A3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E38208E-F67B-0C4F-B2AE-45E5E10CD5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C13-034A-9481-1F7401B48A3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FAD0870-A8F7-E443-96AA-7890BAE9AA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C13-034A-9481-1F7401B48A3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0B042D2-FAD8-384C-B6A6-9AEA09B344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C13-034A-9481-1F7401B48A3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5017491-A8F1-D64C-8FA7-31D70C94C9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C13-034A-9481-1F7401B48A3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18224F3-8937-DE4C-B441-52C374953D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C13-034A-9481-1F7401B48A3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1669DB4-B9B9-894D-9380-87783CF9A0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C13-034A-9481-1F7401B48A3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6DEE090-627F-6A43-A514-B1A86DF98E5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C13-034A-9481-1F7401B48A3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3038422-817D-0F41-9343-1BD3171B88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C13-034A-9481-1F7401B48A3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ECA747C-FCDA-FE41-8E7E-BA6C4B6C914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C13-034A-9481-1F7401B48A3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84BB0B9-6DD6-2F4A-A540-88833D029D8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C13-034A-9481-1F7401B48A3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F7156C9-C6C0-8940-96E8-3154062FE04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C13-034A-9481-1F7401B48A3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A891DB5-733D-3B49-8C59-3F2028272C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C13-034A-9481-1F7401B48A3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8807D5B-A03B-184F-874B-8DF27C861A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C13-034A-9481-1F7401B48A3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696FBF4-D0D2-8E46-A177-58B8C1A560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C13-034A-9481-1F7401B48A3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6D4975D-E1C1-F04F-B293-52029F5B11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C13-034A-9481-1F7401B48A3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0B8A7F7-5619-1C46-AC58-826591C2DC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C13-034A-9481-1F7401B48A3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418457B-6C77-2841-BB3D-B30D187EDB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C13-034A-9481-1F7401B48A3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C0CE3DB-DFAD-7C44-B123-94CAF68A39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C13-034A-9481-1F7401B48A3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A03A50A-69C1-A348-BDD1-94EADDE180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C13-034A-9481-1F7401B48A3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595C32A-4694-784A-9272-A09AED4638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C13-034A-9481-1F7401B48A3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83471B4-94ED-DE44-9919-F90CCE0262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C13-034A-9481-1F7401B48A3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97D32D4-5B14-934E-B4C0-9CF6E4A59F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C13-034A-9481-1F7401B48A3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49B341F-456F-FF47-AB74-A1E6572996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C13-034A-9481-1F7401B48A3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E425BCA-1F0D-344C-8031-3E0D95899B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C13-034A-9481-1F7401B48A3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6D8E52B-4747-4046-8E5A-932BAA22B7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C13-034A-9481-1F7401B48A3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DDB20D6-7197-1343-8EEC-2BFD706E1F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8-5C13-034A-9481-1F7401B48A3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3129DE8-E6E3-2D4D-B96E-0BF0DAE1DA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9-5C13-034A-9481-1F7401B48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accent5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'1st-1'!$K$58:$K$86</c:f>
              <c:numCache>
                <c:formatCode>General</c:formatCode>
                <c:ptCount val="29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13</c:v>
                </c:pt>
                <c:pt idx="8">
                  <c:v>13</c:v>
                </c:pt>
                <c:pt idx="9">
                  <c:v>13</c:v>
                </c:pt>
                <c:pt idx="10">
                  <c:v>13</c:v>
                </c:pt>
                <c:pt idx="11">
                  <c:v>13</c:v>
                </c:pt>
                <c:pt idx="12">
                  <c:v>13</c:v>
                </c:pt>
                <c:pt idx="13">
                  <c:v>13</c:v>
                </c:pt>
                <c:pt idx="14">
                  <c:v>13</c:v>
                </c:pt>
                <c:pt idx="15">
                  <c:v>13</c:v>
                </c:pt>
                <c:pt idx="16">
                  <c:v>13</c:v>
                </c:pt>
                <c:pt idx="17">
                  <c:v>13</c:v>
                </c:pt>
                <c:pt idx="18">
                  <c:v>14</c:v>
                </c:pt>
                <c:pt idx="19">
                  <c:v>14</c:v>
                </c:pt>
                <c:pt idx="20">
                  <c:v>14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14</c:v>
                </c:pt>
                <c:pt idx="25">
                  <c:v>14</c:v>
                </c:pt>
                <c:pt idx="26">
                  <c:v>14</c:v>
                </c:pt>
                <c:pt idx="27">
                  <c:v>14</c:v>
                </c:pt>
                <c:pt idx="28">
                  <c:v>14</c:v>
                </c:pt>
              </c:numCache>
            </c:numRef>
          </c:xVal>
          <c:yVal>
            <c:numRef>
              <c:f>'1st-1'!$B$58:$B$86</c:f>
              <c:numCache>
                <c:formatCode>General</c:formatCode>
                <c:ptCount val="29"/>
                <c:pt idx="0">
                  <c:v>8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6</c:v>
                </c:pt>
                <c:pt idx="5">
                  <c:v>7</c:v>
                </c:pt>
                <c:pt idx="6">
                  <c:v>10</c:v>
                </c:pt>
                <c:pt idx="7">
                  <c:v>5</c:v>
                </c:pt>
                <c:pt idx="8">
                  <c:v>4</c:v>
                </c:pt>
                <c:pt idx="9">
                  <c:v>9</c:v>
                </c:pt>
                <c:pt idx="10">
                  <c:v>1</c:v>
                </c:pt>
                <c:pt idx="11">
                  <c:v>8</c:v>
                </c:pt>
                <c:pt idx="12">
                  <c:v>2</c:v>
                </c:pt>
                <c:pt idx="13">
                  <c:v>0</c:v>
                </c:pt>
                <c:pt idx="14">
                  <c:v>3</c:v>
                </c:pt>
                <c:pt idx="15">
                  <c:v>6</c:v>
                </c:pt>
                <c:pt idx="16">
                  <c:v>7</c:v>
                </c:pt>
                <c:pt idx="17">
                  <c:v>10</c:v>
                </c:pt>
                <c:pt idx="18">
                  <c:v>5</c:v>
                </c:pt>
                <c:pt idx="19">
                  <c:v>4</c:v>
                </c:pt>
                <c:pt idx="20">
                  <c:v>9</c:v>
                </c:pt>
                <c:pt idx="21">
                  <c:v>1</c:v>
                </c:pt>
                <c:pt idx="22">
                  <c:v>8</c:v>
                </c:pt>
                <c:pt idx="23">
                  <c:v>2</c:v>
                </c:pt>
                <c:pt idx="24">
                  <c:v>0</c:v>
                </c:pt>
                <c:pt idx="25">
                  <c:v>3</c:v>
                </c:pt>
                <c:pt idx="26">
                  <c:v>6</c:v>
                </c:pt>
                <c:pt idx="27">
                  <c:v>7</c:v>
                </c:pt>
                <c:pt idx="28">
                  <c:v>10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'1st-1'!$L$58:$L$86</c15:f>
                <c15:dlblRangeCache>
                  <c:ptCount val="29"/>
                  <c:pt idx="0">
                    <c:v>1</c:v>
                  </c:pt>
                  <c:pt idx="1">
                    <c:v>3</c:v>
                  </c:pt>
                  <c:pt idx="2">
                    <c:v>1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8</c:v>
                  </c:pt>
                  <c:pt idx="8">
                    <c:v>9</c:v>
                  </c:pt>
                  <c:pt idx="9">
                    <c:v>8</c:v>
                  </c:pt>
                  <c:pt idx="10">
                    <c:v>9</c:v>
                  </c:pt>
                  <c:pt idx="11">
                    <c:v>8</c:v>
                  </c:pt>
                  <c:pt idx="12">
                    <c:v>6</c:v>
                  </c:pt>
                  <c:pt idx="13">
                    <c:v>8</c:v>
                  </c:pt>
                  <c:pt idx="14">
                    <c:v>9</c:v>
                  </c:pt>
                  <c:pt idx="15">
                    <c:v>9</c:v>
                  </c:pt>
                  <c:pt idx="16">
                    <c:v>8</c:v>
                  </c:pt>
                  <c:pt idx="17">
                    <c:v>9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1</c:v>
                  </c:pt>
                  <c:pt idx="28">
                    <c:v>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9D-5C13-034A-9481-1F7401B48A35}"/>
            </c:ext>
          </c:extLst>
        </c:ser>
        <c:ser>
          <c:idx val="14"/>
          <c:order val="14"/>
          <c:tx>
            <c:strRef>
              <c:f>'1st-1'!$N$53</c:f>
              <c:strCache>
                <c:ptCount val="1"/>
                <c:pt idx="0">
                  <c:v>C5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541A90B-EF22-4C4A-B00D-E6084B7996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C13-034A-9481-1F7401B48A3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B78CC64-7A82-7641-9169-918AA6CB2C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C13-034A-9481-1F7401B48A3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8F97484-8BC0-E240-9AAD-B992A7BB04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C13-034A-9481-1F7401B48A3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2F4308E-A92C-604A-8797-636D0F04FD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C13-034A-9481-1F7401B48A3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DC659EB-55B0-BA4D-B230-03B7CC9D1F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C13-034A-9481-1F7401B48A3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43D56AB-263D-F74D-ACA6-71D6847BEF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C13-034A-9481-1F7401B48A3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4AEB9E1-AA38-7A42-9245-A84964D425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C13-034A-9481-1F7401B48A3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4261B24-602B-1E4E-AB32-510AA4AAB3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C13-034A-9481-1F7401B48A3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7E9B8DB-6008-3640-B7AB-049A42FAEF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C13-034A-9481-1F7401B48A3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C77EF31-A625-1441-BABC-5D03B2647B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C13-034A-9481-1F7401B48A3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08FCAE3-BAD5-1D42-822E-E02327DB0F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C13-034A-9481-1F7401B48A3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D99C8F3-F67B-924B-B5E3-DE2595DF90D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C13-034A-9481-1F7401B48A3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85C9E19-7003-3344-8EEA-7B874E80D7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C13-034A-9481-1F7401B48A3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11F5B9B-6CB8-1A4E-B985-7F6A5B0A09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C13-034A-9481-1F7401B48A3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AAABB86-3BFB-1747-BD64-B5790B8283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C13-034A-9481-1F7401B48A3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D5BB26D-312A-5D4C-A11A-F372757ACD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C13-034A-9481-1F7401B48A3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9850C08-B057-F840-9F47-E1606BC404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C13-034A-9481-1F7401B48A3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5C8F860-91EB-504E-983E-00899BA1BE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C13-034A-9481-1F7401B48A3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9D50901-FA1E-B949-B4E9-F3BA4917A0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C13-034A-9481-1F7401B48A3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96FD8EF-ED90-214A-B1EB-515616A318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C13-034A-9481-1F7401B48A3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210A26B-5999-2A4A-BE74-EB81C93475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C13-034A-9481-1F7401B48A3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D25B955-C5DA-5C47-A05A-5758C2035A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C13-034A-9481-1F7401B48A3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3EDD6F8-ACDB-334E-8761-52089DD893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C13-034A-9481-1F7401B48A3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22091B7-1D92-CB44-BBC2-5A461A8255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C13-034A-9481-1F7401B48A3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F2DC2DA-D364-F447-9B01-2EFFE1E236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C13-034A-9481-1F7401B48A3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2E0984A-CE74-6C43-BC20-5853415793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C13-034A-9481-1F7401B48A3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C17DD46-5E35-5341-8CF7-DB9D9E9A49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C13-034A-9481-1F7401B48A3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B864207-99F0-6645-99FC-96B2AB2C99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C-5C13-034A-9481-1F7401B48A3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F7FAE0E-2CE2-444B-865F-67DCAF66F4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D-5C13-034A-9481-1F7401B48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'1st-1'!$M$58:$M$86</c:f>
              <c:numCache>
                <c:formatCode>General</c:formatCode>
                <c:ptCount val="29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16</c:v>
                </c:pt>
                <c:pt idx="6">
                  <c:v>16</c:v>
                </c:pt>
                <c:pt idx="7">
                  <c:v>17</c:v>
                </c:pt>
                <c:pt idx="8">
                  <c:v>17</c:v>
                </c:pt>
                <c:pt idx="9">
                  <c:v>17</c:v>
                </c:pt>
                <c:pt idx="10">
                  <c:v>17</c:v>
                </c:pt>
                <c:pt idx="11">
                  <c:v>17</c:v>
                </c:pt>
                <c:pt idx="12">
                  <c:v>17</c:v>
                </c:pt>
                <c:pt idx="13">
                  <c:v>17</c:v>
                </c:pt>
                <c:pt idx="14">
                  <c:v>17</c:v>
                </c:pt>
                <c:pt idx="15">
                  <c:v>17</c:v>
                </c:pt>
                <c:pt idx="16">
                  <c:v>17</c:v>
                </c:pt>
                <c:pt idx="17">
                  <c:v>17</c:v>
                </c:pt>
                <c:pt idx="18">
                  <c:v>18</c:v>
                </c:pt>
                <c:pt idx="19">
                  <c:v>18</c:v>
                </c:pt>
                <c:pt idx="20">
                  <c:v>18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18</c:v>
                </c:pt>
                <c:pt idx="25">
                  <c:v>18</c:v>
                </c:pt>
                <c:pt idx="26">
                  <c:v>18</c:v>
                </c:pt>
                <c:pt idx="27">
                  <c:v>18</c:v>
                </c:pt>
                <c:pt idx="28">
                  <c:v>18</c:v>
                </c:pt>
              </c:numCache>
            </c:numRef>
          </c:xVal>
          <c:yVal>
            <c:numRef>
              <c:f>'1st-1'!$B$58:$B$86</c:f>
              <c:numCache>
                <c:formatCode>General</c:formatCode>
                <c:ptCount val="29"/>
                <c:pt idx="0">
                  <c:v>8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6</c:v>
                </c:pt>
                <c:pt idx="5">
                  <c:v>7</c:v>
                </c:pt>
                <c:pt idx="6">
                  <c:v>10</c:v>
                </c:pt>
                <c:pt idx="7">
                  <c:v>5</c:v>
                </c:pt>
                <c:pt idx="8">
                  <c:v>4</c:v>
                </c:pt>
                <c:pt idx="9">
                  <c:v>9</c:v>
                </c:pt>
                <c:pt idx="10">
                  <c:v>1</c:v>
                </c:pt>
                <c:pt idx="11">
                  <c:v>8</c:v>
                </c:pt>
                <c:pt idx="12">
                  <c:v>2</c:v>
                </c:pt>
                <c:pt idx="13">
                  <c:v>0</c:v>
                </c:pt>
                <c:pt idx="14">
                  <c:v>3</c:v>
                </c:pt>
                <c:pt idx="15">
                  <c:v>6</c:v>
                </c:pt>
                <c:pt idx="16">
                  <c:v>7</c:v>
                </c:pt>
                <c:pt idx="17">
                  <c:v>10</c:v>
                </c:pt>
                <c:pt idx="18">
                  <c:v>5</c:v>
                </c:pt>
                <c:pt idx="19">
                  <c:v>4</c:v>
                </c:pt>
                <c:pt idx="20">
                  <c:v>9</c:v>
                </c:pt>
                <c:pt idx="21">
                  <c:v>1</c:v>
                </c:pt>
                <c:pt idx="22">
                  <c:v>8</c:v>
                </c:pt>
                <c:pt idx="23">
                  <c:v>2</c:v>
                </c:pt>
                <c:pt idx="24">
                  <c:v>0</c:v>
                </c:pt>
                <c:pt idx="25">
                  <c:v>3</c:v>
                </c:pt>
                <c:pt idx="26">
                  <c:v>6</c:v>
                </c:pt>
                <c:pt idx="27">
                  <c:v>7</c:v>
                </c:pt>
                <c:pt idx="28">
                  <c:v>10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'1st-1'!$N$58:$N$86</c15:f>
                <c15:dlblRangeCache>
                  <c:ptCount val="2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3</c:v>
                  </c:pt>
                  <c:pt idx="18">
                    <c:v>9</c:v>
                  </c:pt>
                  <c:pt idx="19">
                    <c:v>9</c:v>
                  </c:pt>
                  <c:pt idx="20">
                    <c:v>9</c:v>
                  </c:pt>
                  <c:pt idx="21">
                    <c:v>9</c:v>
                  </c:pt>
                  <c:pt idx="22">
                    <c:v>9</c:v>
                  </c:pt>
                  <c:pt idx="23">
                    <c:v>9</c:v>
                  </c:pt>
                  <c:pt idx="24">
                    <c:v>9</c:v>
                  </c:pt>
                  <c:pt idx="25">
                    <c:v>9</c:v>
                  </c:pt>
                  <c:pt idx="26">
                    <c:v>9</c:v>
                  </c:pt>
                  <c:pt idx="27">
                    <c:v>9</c:v>
                  </c:pt>
                  <c:pt idx="28">
                    <c:v>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B9-5C13-034A-9481-1F7401B48A35}"/>
            </c:ext>
          </c:extLst>
        </c:ser>
        <c:ser>
          <c:idx val="15"/>
          <c:order val="15"/>
          <c:tx>
            <c:strRef>
              <c:f>'1st-1'!$P$53</c:f>
              <c:strCache>
                <c:ptCount val="1"/>
                <c:pt idx="0">
                  <c:v>C6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F181EF7-F1FC-644E-85C1-9401582590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C13-034A-9481-1F7401B48A3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AAB6A44-1086-654D-9DA5-7699CF9526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C13-034A-9481-1F7401B48A3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6CFCD09-D06B-7C4A-B481-2836CA6062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C13-034A-9481-1F7401B48A3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6F404DD-1F67-1B49-8502-CE28296E6A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C13-034A-9481-1F7401B48A3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0684CD6-84C9-E44F-AD3E-CCE7A33C74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C13-034A-9481-1F7401B48A3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35EDF6D-B532-8B44-8377-EED40D0933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C13-034A-9481-1F7401B48A3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B9C36DF-477C-4548-8B57-1E2E662DB8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C13-034A-9481-1F7401B48A3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6E0D146-0276-CA49-BD8F-A05FA9AF36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C13-034A-9481-1F7401B48A3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F5EB183-300B-D147-ACF0-BF40A517565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C13-034A-9481-1F7401B48A3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7EC2336-48E4-194D-9DD9-8C7CF63B69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C13-034A-9481-1F7401B48A3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338245E-C5A1-1449-ADC0-AEF159BB4B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C13-034A-9481-1F7401B48A3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C639C7B-0947-3B44-AD12-625AE88654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C13-034A-9481-1F7401B48A3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2C0626C-7B15-6446-B1AE-F9C8335BC2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C13-034A-9481-1F7401B48A3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23F19B5-B05C-6644-9148-C4AFD49344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C13-034A-9481-1F7401B48A3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A55FFB6-CB9C-014E-AFA0-6532AF6C06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C13-034A-9481-1F7401B48A3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64487AE-F503-4B47-A735-1180B5CD62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C13-034A-9481-1F7401B48A3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DF3DFAC-9780-0248-8675-15BE740738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C13-034A-9481-1F7401B48A3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9DAA322-B6F2-6B4A-9F35-B03F0B17E7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C13-034A-9481-1F7401B48A3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F5CE839-3C4D-4A4D-9570-B65559F559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C13-034A-9481-1F7401B48A3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2BD73F2-38A9-9249-951B-DCA93FE237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C13-034A-9481-1F7401B48A3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25E66B9-B0F3-5E47-814D-151A210D99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C13-034A-9481-1F7401B48A3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151B8E9-4105-7A4B-B1AD-08EF6A6220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C13-034A-9481-1F7401B48A3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E213C32-97AD-E140-9DD3-70503CB175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C13-034A-9481-1F7401B48A3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DFDB1D9-DFDA-D740-8C4A-8486F8A471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C13-034A-9481-1F7401B48A3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E99833C-D62D-5A49-9272-6454C017E0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C13-034A-9481-1F7401B48A3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98CCD50-5354-0E4B-8E68-656C00B4124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C13-034A-9481-1F7401B48A3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5C27A62-A0D9-354B-BFBE-F10E8D4F37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C13-034A-9481-1F7401B48A3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4D7E638-9C47-774D-A632-FA8392CA39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0-5C13-034A-9481-1F7401B48A3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B4F4440-3A6D-184E-BDCB-33B5A38ABF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1-5C13-034A-9481-1F7401B48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'1st-1'!$O$58:$O$86</c:f>
              <c:numCache>
                <c:formatCode>General</c:formatCode>
                <c:ptCount val="29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21</c:v>
                </c:pt>
                <c:pt idx="8">
                  <c:v>21</c:v>
                </c:pt>
                <c:pt idx="9">
                  <c:v>21</c:v>
                </c:pt>
                <c:pt idx="10">
                  <c:v>21</c:v>
                </c:pt>
                <c:pt idx="11">
                  <c:v>21</c:v>
                </c:pt>
                <c:pt idx="12">
                  <c:v>21</c:v>
                </c:pt>
                <c:pt idx="13">
                  <c:v>21</c:v>
                </c:pt>
                <c:pt idx="14">
                  <c:v>21</c:v>
                </c:pt>
                <c:pt idx="15">
                  <c:v>21</c:v>
                </c:pt>
                <c:pt idx="16">
                  <c:v>21</c:v>
                </c:pt>
                <c:pt idx="17">
                  <c:v>21</c:v>
                </c:pt>
                <c:pt idx="18">
                  <c:v>22</c:v>
                </c:pt>
                <c:pt idx="19">
                  <c:v>22</c:v>
                </c:pt>
                <c:pt idx="20">
                  <c:v>22</c:v>
                </c:pt>
                <c:pt idx="21">
                  <c:v>22</c:v>
                </c:pt>
                <c:pt idx="22">
                  <c:v>22</c:v>
                </c:pt>
                <c:pt idx="23">
                  <c:v>22</c:v>
                </c:pt>
                <c:pt idx="24">
                  <c:v>22</c:v>
                </c:pt>
                <c:pt idx="25">
                  <c:v>22</c:v>
                </c:pt>
                <c:pt idx="26">
                  <c:v>22</c:v>
                </c:pt>
                <c:pt idx="27">
                  <c:v>22</c:v>
                </c:pt>
                <c:pt idx="28">
                  <c:v>22</c:v>
                </c:pt>
              </c:numCache>
            </c:numRef>
          </c:xVal>
          <c:yVal>
            <c:numRef>
              <c:f>'1st-1'!$B$58:$B$86</c:f>
              <c:numCache>
                <c:formatCode>General</c:formatCode>
                <c:ptCount val="29"/>
                <c:pt idx="0">
                  <c:v>8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6</c:v>
                </c:pt>
                <c:pt idx="5">
                  <c:v>7</c:v>
                </c:pt>
                <c:pt idx="6">
                  <c:v>10</c:v>
                </c:pt>
                <c:pt idx="7">
                  <c:v>5</c:v>
                </c:pt>
                <c:pt idx="8">
                  <c:v>4</c:v>
                </c:pt>
                <c:pt idx="9">
                  <c:v>9</c:v>
                </c:pt>
                <c:pt idx="10">
                  <c:v>1</c:v>
                </c:pt>
                <c:pt idx="11">
                  <c:v>8</c:v>
                </c:pt>
                <c:pt idx="12">
                  <c:v>2</c:v>
                </c:pt>
                <c:pt idx="13">
                  <c:v>0</c:v>
                </c:pt>
                <c:pt idx="14">
                  <c:v>3</c:v>
                </c:pt>
                <c:pt idx="15">
                  <c:v>6</c:v>
                </c:pt>
                <c:pt idx="16">
                  <c:v>7</c:v>
                </c:pt>
                <c:pt idx="17">
                  <c:v>10</c:v>
                </c:pt>
                <c:pt idx="18">
                  <c:v>5</c:v>
                </c:pt>
                <c:pt idx="19">
                  <c:v>4</c:v>
                </c:pt>
                <c:pt idx="20">
                  <c:v>9</c:v>
                </c:pt>
                <c:pt idx="21">
                  <c:v>1</c:v>
                </c:pt>
                <c:pt idx="22">
                  <c:v>8</c:v>
                </c:pt>
                <c:pt idx="23">
                  <c:v>2</c:v>
                </c:pt>
                <c:pt idx="24">
                  <c:v>0</c:v>
                </c:pt>
                <c:pt idx="25">
                  <c:v>3</c:v>
                </c:pt>
                <c:pt idx="26">
                  <c:v>6</c:v>
                </c:pt>
                <c:pt idx="27">
                  <c:v>7</c:v>
                </c:pt>
                <c:pt idx="28">
                  <c:v>10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'1st-1'!$P$58:$P$86</c15:f>
                <c15:dlblRangeCache>
                  <c:ptCount val="29"/>
                  <c:pt idx="0">
                    <c:v>9</c:v>
                  </c:pt>
                  <c:pt idx="1">
                    <c:v>8</c:v>
                  </c:pt>
                  <c:pt idx="2">
                    <c:v>8</c:v>
                  </c:pt>
                  <c:pt idx="3">
                    <c:v>9</c:v>
                  </c:pt>
                  <c:pt idx="4">
                    <c:v>7</c:v>
                  </c:pt>
                  <c:pt idx="5">
                    <c:v>7</c:v>
                  </c:pt>
                  <c:pt idx="6">
                    <c:v>5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1</c:v>
                  </c:pt>
                  <c:pt idx="11">
                    <c:v>0</c:v>
                  </c:pt>
                  <c:pt idx="12">
                    <c:v>1</c:v>
                  </c:pt>
                  <c:pt idx="13">
                    <c:v>1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1</c:v>
                  </c:pt>
                  <c:pt idx="18">
                    <c:v>0</c:v>
                  </c:pt>
                  <c:pt idx="19">
                    <c:v>0</c:v>
                  </c:pt>
                  <c:pt idx="20">
                    <c:v>2</c:v>
                  </c:pt>
                  <c:pt idx="21">
                    <c:v>2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2</c:v>
                  </c:pt>
                  <c:pt idx="27">
                    <c:v>2</c:v>
                  </c:pt>
                  <c:pt idx="28">
                    <c:v>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D5-5C13-034A-9481-1F7401B48A35}"/>
            </c:ext>
          </c:extLst>
        </c:ser>
        <c:ser>
          <c:idx val="16"/>
          <c:order val="16"/>
          <c:tx>
            <c:strRef>
              <c:f>'1st-1'!$S$53</c:f>
              <c:strCache>
                <c:ptCount val="1"/>
                <c:pt idx="0">
                  <c:v>C7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194EC30-6971-8541-B862-C9295B7F7D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C13-034A-9481-1F7401B48A3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86E06CB-BA7F-CC4C-BC35-E4F9FABF2D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C13-034A-9481-1F7401B48A3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989CE24-91B2-0447-889D-127CDE4643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C13-034A-9481-1F7401B48A3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2B52BFF-DF66-094B-9C35-BB42AFBE27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C13-034A-9481-1F7401B48A3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DA0411-EE6F-CC44-AFB0-163C79125F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C13-034A-9481-1F7401B48A3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D53D2FF-ACE6-A24D-A749-87BBAEF36A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C13-034A-9481-1F7401B48A3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E7E50BE-FB7C-E04F-9BCF-61DDA7FE66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C13-034A-9481-1F7401B48A3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DA67983-57FE-4841-B7A9-E825636FCC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C13-034A-9481-1F7401B48A3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DE4B5EE-8595-8442-92AC-674E7413D1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C13-034A-9481-1F7401B48A3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2AA384D-C6BC-224B-B7A8-EB8AE396AF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C13-034A-9481-1F7401B48A3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92ACE12-2152-D442-B277-F355425005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C13-034A-9481-1F7401B48A3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E4C28B8-4083-AB45-B2A2-4C299AE917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C13-034A-9481-1F7401B48A3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780D811-F63F-BD46-B74B-0E057BC7F7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C13-034A-9481-1F7401B48A3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8B8EDB4-CA27-394D-8BDC-C93EA29AB0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C13-034A-9481-1F7401B48A3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B40F4F6-628C-EC47-A0C5-DA62313F1D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C13-034A-9481-1F7401B48A3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E2B9B39-D037-5641-A966-1B103FB2CC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C13-034A-9481-1F7401B48A3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777017A-C34B-7945-A104-F718D7198C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C13-034A-9481-1F7401B48A3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9390227-831D-404E-9D54-4F3F3CBEE5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C13-034A-9481-1F7401B48A3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D87AF2C-8BE1-3B4C-B036-4A28216633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C13-034A-9481-1F7401B48A3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051C189-A187-1443-99CA-04AF8F100D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C13-034A-9481-1F7401B48A3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3C8E77F-9E6D-4B4A-BF79-D8B286FBB2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C13-034A-9481-1F7401B48A3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453747E-B6AF-0E47-8040-D2ADE5B289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C13-034A-9481-1F7401B48A3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2BFBDBC-756D-A34A-98EB-47E2AB6FD8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C13-034A-9481-1F7401B48A3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1F3BAEF-79C6-B543-998B-845E662CD45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C13-034A-9481-1F7401B48A3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33D0049-24C0-214D-98EB-170206264E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C13-034A-9481-1F7401B48A3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3C3E756-FB0A-C54A-B0A9-EAEFE49F54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C13-034A-9481-1F7401B48A3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74091C0-176C-B442-A6D4-3F27F3EAFA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C13-034A-9481-1F7401B48A3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6729EB1-DF6F-E548-94EC-5DB43B634D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4-5C13-034A-9481-1F7401B48A3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AEC33C8-C85C-9A45-B29F-6B12F09032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5-5C13-034A-9481-1F7401B48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'1st-1'!$R$58:$R$86</c:f>
              <c:numCache>
                <c:formatCode>General</c:formatCode>
                <c:ptCount val="29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24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26</c:v>
                </c:pt>
                <c:pt idx="19">
                  <c:v>26</c:v>
                </c:pt>
                <c:pt idx="20">
                  <c:v>26</c:v>
                </c:pt>
                <c:pt idx="21">
                  <c:v>26</c:v>
                </c:pt>
                <c:pt idx="22">
                  <c:v>26</c:v>
                </c:pt>
                <c:pt idx="23">
                  <c:v>26</c:v>
                </c:pt>
                <c:pt idx="24">
                  <c:v>26</c:v>
                </c:pt>
                <c:pt idx="25">
                  <c:v>26</c:v>
                </c:pt>
                <c:pt idx="26">
                  <c:v>26</c:v>
                </c:pt>
                <c:pt idx="27">
                  <c:v>26</c:v>
                </c:pt>
                <c:pt idx="28">
                  <c:v>26</c:v>
                </c:pt>
              </c:numCache>
            </c:numRef>
          </c:xVal>
          <c:yVal>
            <c:numRef>
              <c:f>'1st-1'!$B$58:$B$86</c:f>
              <c:numCache>
                <c:formatCode>General</c:formatCode>
                <c:ptCount val="29"/>
                <c:pt idx="0">
                  <c:v>8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6</c:v>
                </c:pt>
                <c:pt idx="5">
                  <c:v>7</c:v>
                </c:pt>
                <c:pt idx="6">
                  <c:v>10</c:v>
                </c:pt>
                <c:pt idx="7">
                  <c:v>5</c:v>
                </c:pt>
                <c:pt idx="8">
                  <c:v>4</c:v>
                </c:pt>
                <c:pt idx="9">
                  <c:v>9</c:v>
                </c:pt>
                <c:pt idx="10">
                  <c:v>1</c:v>
                </c:pt>
                <c:pt idx="11">
                  <c:v>8</c:v>
                </c:pt>
                <c:pt idx="12">
                  <c:v>2</c:v>
                </c:pt>
                <c:pt idx="13">
                  <c:v>0</c:v>
                </c:pt>
                <c:pt idx="14">
                  <c:v>3</c:v>
                </c:pt>
                <c:pt idx="15">
                  <c:v>6</c:v>
                </c:pt>
                <c:pt idx="16">
                  <c:v>7</c:v>
                </c:pt>
                <c:pt idx="17">
                  <c:v>10</c:v>
                </c:pt>
                <c:pt idx="18">
                  <c:v>5</c:v>
                </c:pt>
                <c:pt idx="19">
                  <c:v>4</c:v>
                </c:pt>
                <c:pt idx="20">
                  <c:v>9</c:v>
                </c:pt>
                <c:pt idx="21">
                  <c:v>1</c:v>
                </c:pt>
                <c:pt idx="22">
                  <c:v>8</c:v>
                </c:pt>
                <c:pt idx="23">
                  <c:v>2</c:v>
                </c:pt>
                <c:pt idx="24">
                  <c:v>0</c:v>
                </c:pt>
                <c:pt idx="25">
                  <c:v>3</c:v>
                </c:pt>
                <c:pt idx="26">
                  <c:v>6</c:v>
                </c:pt>
                <c:pt idx="27">
                  <c:v>7</c:v>
                </c:pt>
                <c:pt idx="28">
                  <c:v>10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'1st-1'!$S$58:$S$86</c15:f>
                <c15:dlblRangeCache>
                  <c:ptCount val="29"/>
                  <c:pt idx="0">
                    <c:v>9</c:v>
                  </c:pt>
                  <c:pt idx="1">
                    <c:v>9</c:v>
                  </c:pt>
                  <c:pt idx="2">
                    <c:v>9</c:v>
                  </c:pt>
                  <c:pt idx="3">
                    <c:v>9</c:v>
                  </c:pt>
                  <c:pt idx="4">
                    <c:v>9</c:v>
                  </c:pt>
                  <c:pt idx="5">
                    <c:v>9</c:v>
                  </c:pt>
                  <c:pt idx="6">
                    <c:v>9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F1-5C13-034A-9481-1F7401B48A35}"/>
            </c:ext>
          </c:extLst>
        </c:ser>
        <c:ser>
          <c:idx val="17"/>
          <c:order val="17"/>
          <c:tx>
            <c:strRef>
              <c:f>'1st-1'!$U$53</c:f>
              <c:strCache>
                <c:ptCount val="1"/>
                <c:pt idx="0">
                  <c:v>C8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DDAF785-C0BB-7546-8985-B0521A29CA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C13-034A-9481-1F7401B48A3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4FFE22-56E8-4D47-82B3-81E5774AAA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C13-034A-9481-1F7401B48A3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AB72ED7-8458-2144-98D0-B91B2CE96B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C13-034A-9481-1F7401B48A3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8F89F15-55E4-1B42-9E6D-62992741B6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C13-034A-9481-1F7401B48A3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550BFE7-C00A-BF4A-B86F-397E080B71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C13-034A-9481-1F7401B48A3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8724D57-1596-6649-96B4-1FF8318FC0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C13-034A-9481-1F7401B48A3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E58FAC8-8284-4946-8FF8-D5ADD65EB2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C13-034A-9481-1F7401B48A3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7A30434-21AD-D644-B6DF-3CC479E5E0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C13-034A-9481-1F7401B48A3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5B9BA38-A1AE-CC4F-8A04-3CB7264C71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C13-034A-9481-1F7401B48A3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BB98DCC-1CA4-874A-98C6-C64B1A266D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C13-034A-9481-1F7401B48A3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BB27B4E-07CB-3C46-ADDF-B13F5588CC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C13-034A-9481-1F7401B48A3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B6812D4-0F06-6C49-8E6F-1E5E0ED477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C13-034A-9481-1F7401B48A3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3326B01-3D15-D043-A16A-8F6913EAFF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C13-034A-9481-1F7401B48A3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B83D3D1-E70A-4441-94C4-9CC69FABB2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C13-034A-9481-1F7401B48A3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45A9BAD-D69F-EE46-9840-A602AF9289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C13-034A-9481-1F7401B48A3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4718D34-439F-8448-B0A2-CE5A80709E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C13-034A-9481-1F7401B48A3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9B5C3E3-A45E-2F4F-972A-FAF8B81E7C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C13-034A-9481-1F7401B48A3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D220997-5317-2E45-BFB1-B95C7205DC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C13-034A-9481-1F7401B48A3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8CD7CCD-DFCE-2340-BE74-ABC207DFA4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C13-034A-9481-1F7401B48A3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B47CB64-8DDE-C340-9851-730A721B21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C13-034A-9481-1F7401B48A3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1B9BACF-58B6-7C4E-9569-9AFDB1181B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C13-034A-9481-1F7401B48A3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95C4B87-2283-E148-AFB8-C792EC6072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C13-034A-9481-1F7401B48A3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E1DD6CC-FDCC-4047-80B7-DB459B08B4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C13-034A-9481-1F7401B48A3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F04A1B9-0C50-BE43-98C6-CC5FFC6B27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C13-034A-9481-1F7401B48A3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E02A3AE-59E2-E544-9D4E-4F13074DC9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C13-034A-9481-1F7401B48A3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D48BEB2-5335-1444-8BD9-4955D00C3C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C13-034A-9481-1F7401B48A3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02B0E44-963B-704C-B166-1F952D523E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C13-034A-9481-1F7401B48A3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60ED509-003B-E44D-95CB-7947D2C237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8-5C13-034A-9481-1F7401B48A3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DE43C46-7FA9-E742-9518-D128AFD11C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9-5C13-034A-9481-1F7401B48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'1st-1'!$T$58:$T$86</c:f>
              <c:numCache>
                <c:formatCode>General</c:formatCode>
                <c:ptCount val="29"/>
                <c:pt idx="0">
                  <c:v>28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  <c:pt idx="5">
                  <c:v>28</c:v>
                </c:pt>
                <c:pt idx="6">
                  <c:v>28</c:v>
                </c:pt>
                <c:pt idx="7">
                  <c:v>29</c:v>
                </c:pt>
                <c:pt idx="8">
                  <c:v>29</c:v>
                </c:pt>
                <c:pt idx="9">
                  <c:v>29</c:v>
                </c:pt>
                <c:pt idx="10">
                  <c:v>29</c:v>
                </c:pt>
                <c:pt idx="11">
                  <c:v>29</c:v>
                </c:pt>
                <c:pt idx="12">
                  <c:v>29</c:v>
                </c:pt>
                <c:pt idx="13">
                  <c:v>29</c:v>
                </c:pt>
                <c:pt idx="14">
                  <c:v>29</c:v>
                </c:pt>
                <c:pt idx="15">
                  <c:v>29</c:v>
                </c:pt>
                <c:pt idx="16">
                  <c:v>29</c:v>
                </c:pt>
                <c:pt idx="17">
                  <c:v>29</c:v>
                </c:pt>
                <c:pt idx="18">
                  <c:v>30</c:v>
                </c:pt>
                <c:pt idx="19">
                  <c:v>30</c:v>
                </c:pt>
                <c:pt idx="20">
                  <c:v>30</c:v>
                </c:pt>
                <c:pt idx="21">
                  <c:v>30</c:v>
                </c:pt>
                <c:pt idx="22">
                  <c:v>30</c:v>
                </c:pt>
                <c:pt idx="23">
                  <c:v>30</c:v>
                </c:pt>
                <c:pt idx="24">
                  <c:v>30</c:v>
                </c:pt>
                <c:pt idx="25">
                  <c:v>30</c:v>
                </c:pt>
                <c:pt idx="26">
                  <c:v>30</c:v>
                </c:pt>
                <c:pt idx="27">
                  <c:v>30</c:v>
                </c:pt>
                <c:pt idx="28">
                  <c:v>30</c:v>
                </c:pt>
              </c:numCache>
            </c:numRef>
          </c:xVal>
          <c:yVal>
            <c:numRef>
              <c:f>'1st-1'!$B$58:$B$86</c:f>
              <c:numCache>
                <c:formatCode>General</c:formatCode>
                <c:ptCount val="29"/>
                <c:pt idx="0">
                  <c:v>8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6</c:v>
                </c:pt>
                <c:pt idx="5">
                  <c:v>7</c:v>
                </c:pt>
                <c:pt idx="6">
                  <c:v>10</c:v>
                </c:pt>
                <c:pt idx="7">
                  <c:v>5</c:v>
                </c:pt>
                <c:pt idx="8">
                  <c:v>4</c:v>
                </c:pt>
                <c:pt idx="9">
                  <c:v>9</c:v>
                </c:pt>
                <c:pt idx="10">
                  <c:v>1</c:v>
                </c:pt>
                <c:pt idx="11">
                  <c:v>8</c:v>
                </c:pt>
                <c:pt idx="12">
                  <c:v>2</c:v>
                </c:pt>
                <c:pt idx="13">
                  <c:v>0</c:v>
                </c:pt>
                <c:pt idx="14">
                  <c:v>3</c:v>
                </c:pt>
                <c:pt idx="15">
                  <c:v>6</c:v>
                </c:pt>
                <c:pt idx="16">
                  <c:v>7</c:v>
                </c:pt>
                <c:pt idx="17">
                  <c:v>10</c:v>
                </c:pt>
                <c:pt idx="18">
                  <c:v>5</c:v>
                </c:pt>
                <c:pt idx="19">
                  <c:v>4</c:v>
                </c:pt>
                <c:pt idx="20">
                  <c:v>9</c:v>
                </c:pt>
                <c:pt idx="21">
                  <c:v>1</c:v>
                </c:pt>
                <c:pt idx="22">
                  <c:v>8</c:v>
                </c:pt>
                <c:pt idx="23">
                  <c:v>2</c:v>
                </c:pt>
                <c:pt idx="24">
                  <c:v>0</c:v>
                </c:pt>
                <c:pt idx="25">
                  <c:v>3</c:v>
                </c:pt>
                <c:pt idx="26">
                  <c:v>6</c:v>
                </c:pt>
                <c:pt idx="27">
                  <c:v>7</c:v>
                </c:pt>
                <c:pt idx="28">
                  <c:v>10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'1st-1'!$U$58:$U$86</c15:f>
                <c15:dlblRangeCache>
                  <c:ptCount val="29"/>
                  <c:pt idx="0">
                    <c:v>0</c:v>
                  </c:pt>
                  <c:pt idx="1">
                    <c:v>9</c:v>
                  </c:pt>
                  <c:pt idx="2">
                    <c:v>0</c:v>
                  </c:pt>
                  <c:pt idx="3">
                    <c:v>0</c:v>
                  </c:pt>
                  <c:pt idx="4">
                    <c:v>7</c:v>
                  </c:pt>
                  <c:pt idx="5">
                    <c:v>7</c:v>
                  </c:pt>
                  <c:pt idx="6">
                    <c:v>8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2</c:v>
                  </c:pt>
                  <c:pt idx="22">
                    <c:v>9</c:v>
                  </c:pt>
                  <c:pt idx="23">
                    <c:v>0</c:v>
                  </c:pt>
                  <c:pt idx="24">
                    <c:v>9</c:v>
                  </c:pt>
                  <c:pt idx="25">
                    <c:v>9</c:v>
                  </c:pt>
                  <c:pt idx="26">
                    <c:v>2</c:v>
                  </c:pt>
                  <c:pt idx="27">
                    <c:v>2</c:v>
                  </c:pt>
                  <c:pt idx="28">
                    <c:v>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10D-5C13-034A-9481-1F7401B48A35}"/>
            </c:ext>
          </c:extLst>
        </c:ser>
        <c:ser>
          <c:idx val="18"/>
          <c:order val="18"/>
          <c:tx>
            <c:strRef>
              <c:f>'1st-1'!$W$53</c:f>
              <c:strCache>
                <c:ptCount val="1"/>
                <c:pt idx="0">
                  <c:v>C9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7AD8849-0FE3-ED4B-9C44-70A7DF5C9A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C13-034A-9481-1F7401B48A3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41BB503-4372-364F-B586-E55EEC1AE8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C13-034A-9481-1F7401B48A3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BFBC00A-8309-7A4D-874A-BB2D7F75D0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C13-034A-9481-1F7401B48A3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59CF7D4-A905-0F47-B48C-9B8A753CA3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C13-034A-9481-1F7401B48A3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4002330-4A25-DD48-B90A-648AE93067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C13-034A-9481-1F7401B48A3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73130D0-CDD9-6F40-A29B-F7FE714604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C13-034A-9481-1F7401B48A3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20EC729-3BDD-6046-8FB3-4A36ADE03A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C13-034A-9481-1F7401B48A3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834C877-3FA6-6B40-BF7A-3295D6DB0B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C13-034A-9481-1F7401B48A3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0DE6CC6-6C9B-6648-80C4-B0DBA42A74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C13-034A-9481-1F7401B48A3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270886F-501D-544B-9C03-740CC2B1F6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C13-034A-9481-1F7401B48A3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F5411C3-93E4-8440-A468-95C444C113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C13-034A-9481-1F7401B48A3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6C64A61-111F-6240-9CFF-E3721A71E1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C13-034A-9481-1F7401B48A3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BF4C53E-8F02-5940-A140-CA05CEA71E5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C13-034A-9481-1F7401B48A3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7563F8A-404F-2248-9062-7FB3CE3B6A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C13-034A-9481-1F7401B48A3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64ACA4F-AFD3-F647-B39E-CBF10E9CCA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C13-034A-9481-1F7401B48A3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07A23F7-A3C1-E143-800A-DD65EF15DC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C13-034A-9481-1F7401B48A3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17F703A-37F3-0C45-B26A-1EAD00D434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C13-034A-9481-1F7401B48A3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1137E69-B431-914E-9B57-9F15A753B1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C13-034A-9481-1F7401B48A3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75B1C8B-2973-E140-875A-54E30D9B53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C13-034A-9481-1F7401B48A3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F740B36-9431-3849-836E-7F9548310C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C13-034A-9481-1F7401B48A3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0519DE6-E6A4-8848-B97E-F63E344B87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C13-034A-9481-1F7401B48A3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4C1E42C-D577-6B47-B5C5-745B78275C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C13-034A-9481-1F7401B48A3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D910FF8-1107-4F4C-BD22-0626FFF490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C13-034A-9481-1F7401B48A3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45E3ED5-93D9-D544-B35C-DEE28BF744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C13-034A-9481-1F7401B48A3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67A3D30-42FA-7B45-8AC8-950EEA74EE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C13-034A-9481-1F7401B48A3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3B7CE42-CBA0-E344-B5B8-6BD0DA26DA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C13-034A-9481-1F7401B48A3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97A1B80-F53A-3F4F-B166-8671C01ADC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C13-034A-9481-1F7401B48A3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A8DAABC-CB47-4549-B69B-B462174EC7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C-5C13-034A-9481-1F7401B48A3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B20234A-50B1-564E-AE80-F2E45D1B1E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D-5C13-034A-9481-1F7401B48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'1st-1'!$V$58:$V$86</c:f>
              <c:numCache>
                <c:formatCode>General</c:formatCode>
                <c:ptCount val="29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33</c:v>
                </c:pt>
                <c:pt idx="8">
                  <c:v>33</c:v>
                </c:pt>
                <c:pt idx="9">
                  <c:v>33</c:v>
                </c:pt>
                <c:pt idx="10">
                  <c:v>33</c:v>
                </c:pt>
                <c:pt idx="11">
                  <c:v>33</c:v>
                </c:pt>
                <c:pt idx="12">
                  <c:v>33</c:v>
                </c:pt>
                <c:pt idx="13">
                  <c:v>33</c:v>
                </c:pt>
                <c:pt idx="14">
                  <c:v>33</c:v>
                </c:pt>
                <c:pt idx="15">
                  <c:v>33</c:v>
                </c:pt>
                <c:pt idx="16">
                  <c:v>33</c:v>
                </c:pt>
                <c:pt idx="17">
                  <c:v>33</c:v>
                </c:pt>
                <c:pt idx="18">
                  <c:v>34</c:v>
                </c:pt>
                <c:pt idx="19">
                  <c:v>34</c:v>
                </c:pt>
                <c:pt idx="20">
                  <c:v>34</c:v>
                </c:pt>
                <c:pt idx="21">
                  <c:v>34</c:v>
                </c:pt>
                <c:pt idx="22">
                  <c:v>34</c:v>
                </c:pt>
                <c:pt idx="23">
                  <c:v>34</c:v>
                </c:pt>
                <c:pt idx="24">
                  <c:v>34</c:v>
                </c:pt>
                <c:pt idx="25">
                  <c:v>34</c:v>
                </c:pt>
                <c:pt idx="26">
                  <c:v>34</c:v>
                </c:pt>
                <c:pt idx="27">
                  <c:v>34</c:v>
                </c:pt>
                <c:pt idx="28">
                  <c:v>34</c:v>
                </c:pt>
              </c:numCache>
            </c:numRef>
          </c:xVal>
          <c:yVal>
            <c:numRef>
              <c:f>'1st-1'!$B$58:$B$86</c:f>
              <c:numCache>
                <c:formatCode>General</c:formatCode>
                <c:ptCount val="29"/>
                <c:pt idx="0">
                  <c:v>8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6</c:v>
                </c:pt>
                <c:pt idx="5">
                  <c:v>7</c:v>
                </c:pt>
                <c:pt idx="6">
                  <c:v>10</c:v>
                </c:pt>
                <c:pt idx="7">
                  <c:v>5</c:v>
                </c:pt>
                <c:pt idx="8">
                  <c:v>4</c:v>
                </c:pt>
                <c:pt idx="9">
                  <c:v>9</c:v>
                </c:pt>
                <c:pt idx="10">
                  <c:v>1</c:v>
                </c:pt>
                <c:pt idx="11">
                  <c:v>8</c:v>
                </c:pt>
                <c:pt idx="12">
                  <c:v>2</c:v>
                </c:pt>
                <c:pt idx="13">
                  <c:v>0</c:v>
                </c:pt>
                <c:pt idx="14">
                  <c:v>3</c:v>
                </c:pt>
                <c:pt idx="15">
                  <c:v>6</c:v>
                </c:pt>
                <c:pt idx="16">
                  <c:v>7</c:v>
                </c:pt>
                <c:pt idx="17">
                  <c:v>10</c:v>
                </c:pt>
                <c:pt idx="18">
                  <c:v>5</c:v>
                </c:pt>
                <c:pt idx="19">
                  <c:v>4</c:v>
                </c:pt>
                <c:pt idx="20">
                  <c:v>9</c:v>
                </c:pt>
                <c:pt idx="21">
                  <c:v>1</c:v>
                </c:pt>
                <c:pt idx="22">
                  <c:v>8</c:v>
                </c:pt>
                <c:pt idx="23">
                  <c:v>2</c:v>
                </c:pt>
                <c:pt idx="24">
                  <c:v>0</c:v>
                </c:pt>
                <c:pt idx="25">
                  <c:v>3</c:v>
                </c:pt>
                <c:pt idx="26">
                  <c:v>6</c:v>
                </c:pt>
                <c:pt idx="27">
                  <c:v>7</c:v>
                </c:pt>
                <c:pt idx="28">
                  <c:v>10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'1st-1'!$W$58:$W$86</c15:f>
                <c15:dlblRangeCache>
                  <c:ptCount val="29"/>
                  <c:pt idx="0">
                    <c:v>7</c:v>
                  </c:pt>
                  <c:pt idx="1">
                    <c:v>7</c:v>
                  </c:pt>
                  <c:pt idx="2">
                    <c:v>8</c:v>
                  </c:pt>
                  <c:pt idx="3">
                    <c:v>1</c:v>
                  </c:pt>
                  <c:pt idx="4">
                    <c:v>7</c:v>
                  </c:pt>
                  <c:pt idx="5">
                    <c:v>7</c:v>
                  </c:pt>
                  <c:pt idx="6">
                    <c:v>3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4</c:v>
                  </c:pt>
                  <c:pt idx="11">
                    <c:v>2</c:v>
                  </c:pt>
                  <c:pt idx="12">
                    <c:v>2</c:v>
                  </c:pt>
                  <c:pt idx="13">
                    <c:v>1</c:v>
                  </c:pt>
                  <c:pt idx="14">
                    <c:v>8</c:v>
                  </c:pt>
                  <c:pt idx="15">
                    <c:v>2</c:v>
                  </c:pt>
                  <c:pt idx="16">
                    <c:v>1</c:v>
                  </c:pt>
                  <c:pt idx="17">
                    <c:v>4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1</c:v>
                  </c:pt>
                  <c:pt idx="28">
                    <c:v>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129-5C13-034A-9481-1F7401B48A35}"/>
            </c:ext>
          </c:extLst>
        </c:ser>
        <c:ser>
          <c:idx val="19"/>
          <c:order val="19"/>
          <c:tx>
            <c:strRef>
              <c:f>'1st-1'!$P$1</c:f>
              <c:strCache>
                <c:ptCount val="1"/>
                <c:pt idx="0">
                  <c:v>Category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AB6AC61-0AD3-BF4F-A823-79F82E5A3D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E6B-574E-A6C1-1014490377E1}"/>
                </c:ext>
              </c:extLst>
            </c:dLbl>
            <c:dLbl>
              <c:idx val="1"/>
              <c:layout>
                <c:manualLayout>
                  <c:x val="-5.6460989152462601E-2"/>
                  <c:y val="-2.6830964200299911E-2"/>
                </c:manualLayout>
              </c:layout>
              <c:tx>
                <c:rich>
                  <a:bodyPr/>
                  <a:lstStyle/>
                  <a:p>
                    <a:fld id="{54162BE7-4BFB-554A-84EB-33F1A197C9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8-AE6B-574E-A6C1-1014490377E1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accent5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59C318DD-B642-054B-B0BB-0A6DC561B846}" type="CELLRANGE">
                      <a:rPr lang="en-US"/>
                      <a:pPr>
                        <a:defRPr>
                          <a:solidFill>
                            <a:schemeClr val="accent5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E6B-574E-A6C1-1014490377E1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accent5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7E1BE46E-7DE5-CF49-85D5-200D635587D2}" type="CELLRANGE">
                      <a:rPr lang="en-US"/>
                      <a:pPr>
                        <a:defRPr>
                          <a:solidFill>
                            <a:schemeClr val="accent5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E6B-574E-A6C1-1014490377E1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accent6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F4E0C612-AA81-544C-A34D-38C4116C6491}" type="CELLRANGE">
                      <a:rPr lang="en-US"/>
                      <a:pPr>
                        <a:defRPr>
                          <a:solidFill>
                            <a:schemeClr val="accent6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E6B-574E-A6C1-1014490377E1}"/>
                </c:ext>
              </c:extLst>
            </c:dLbl>
            <c:dLbl>
              <c:idx val="5"/>
              <c:layout>
                <c:manualLayout>
                  <c:x val="-4.8675602084680726E-2"/>
                  <c:y val="-1.5583750053907216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accent6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8C783D84-F8AA-B541-A1E9-2F2DC9999657}" type="CELLRANGE">
                      <a:rPr lang="en-US"/>
                      <a:pPr>
                        <a:defRPr>
                          <a:solidFill>
                            <a:schemeClr val="accent6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62128060254821"/>
                      <c:h val="0.1018914341727836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C-AE6B-574E-A6C1-1014490377E1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accent6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33637464-7CD5-A74F-83A4-0EAA313DB75F}" type="CELLRANGE">
                      <a:rPr lang="en-US"/>
                      <a:pPr>
                        <a:defRPr>
                          <a:solidFill>
                            <a:schemeClr val="accent6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E6B-574E-A6C1-1014490377E1}"/>
                </c:ext>
              </c:extLst>
            </c:dLbl>
            <c:dLbl>
              <c:idx val="7"/>
              <c:layout>
                <c:manualLayout>
                  <c:x val="-5.7977310329118875E-2"/>
                  <c:y val="-1.1094914124674404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accent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0D7023CA-A003-554A-ABBD-1662F5240DF6}" type="CELLRANGE">
                      <a:rPr lang="en-US"/>
                      <a:pPr>
                        <a:defRPr>
                          <a:solidFill>
                            <a:schemeClr val="accent2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503477881182201"/>
                      <c:h val="0.13153787666573291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E-AE6B-574E-A6C1-1014490377E1}"/>
                </c:ext>
              </c:extLst>
            </c:dLbl>
            <c:dLbl>
              <c:idx val="8"/>
              <c:layout>
                <c:manualLayout>
                  <c:x val="-4.3382645722282731E-6"/>
                  <c:y val="-1.1225262740201154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accent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66DC53B6-0942-6B43-A451-5BCE05614222}" type="CELLRANGE">
                      <a:rPr lang="en-US"/>
                      <a:pPr>
                        <a:defRPr>
                          <a:solidFill>
                            <a:schemeClr val="accent2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9666691523750161E-2"/>
                      <c:h val="9.3174330038550301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F-AE6B-574E-A6C1-1014490377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'1st-1'!$N$2:$N$10</c:f>
              <c:numCache>
                <c:formatCode>General</c:formatCode>
                <c:ptCount val="9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</c:numCache>
            </c:numRef>
          </c:xVal>
          <c:yVal>
            <c:numRef>
              <c:f>'1st-1'!$O$2:$O$10</c:f>
              <c:numCache>
                <c:formatCode>General</c:formatCode>
                <c:ptCount val="9"/>
                <c:pt idx="0">
                  <c:v>11</c:v>
                </c:pt>
                <c:pt idx="1">
                  <c:v>11</c:v>
                </c:pt>
                <c:pt idx="2">
                  <c:v>11</c:v>
                </c:pt>
                <c:pt idx="3">
                  <c:v>11</c:v>
                </c:pt>
                <c:pt idx="4">
                  <c:v>11</c:v>
                </c:pt>
                <c:pt idx="5">
                  <c:v>11</c:v>
                </c:pt>
                <c:pt idx="6">
                  <c:v>11</c:v>
                </c:pt>
                <c:pt idx="7">
                  <c:v>11</c:v>
                </c:pt>
                <c:pt idx="8">
                  <c:v>11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'1st-1'!$P$2:$P$10</c15:f>
                <c15:dlblRangeCache>
                  <c:ptCount val="9"/>
                  <c:pt idx="0">
                    <c:v>User Input</c:v>
                  </c:pt>
                  <c:pt idx="1">
                    <c:v>Visual Output</c:v>
                  </c:pt>
                  <c:pt idx="2">
                    <c:v>Story Option</c:v>
                  </c:pt>
                  <c:pt idx="3">
                    <c:v>Story Ending </c:v>
                  </c:pt>
                  <c:pt idx="4">
                    <c:v>Action Time</c:v>
                  </c:pt>
                  <c:pt idx="5">
                    <c:v>Stats &amp; Resource</c:v>
                  </c:pt>
                  <c:pt idx="6">
                    <c:v>Player Count </c:v>
                  </c:pt>
                  <c:pt idx="7">
                    <c:v>Platform Compatibility</c:v>
                  </c:pt>
                  <c:pt idx="8">
                    <c:v>Monetization Model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6-AE6B-574E-A6C1-1014490377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945376"/>
        <c:axId val="1881219584"/>
      </c:scatterChart>
      <c:valAx>
        <c:axId val="670945376"/>
        <c:scaling>
          <c:orientation val="minMax"/>
          <c:max val="34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1219584"/>
        <c:crosses val="autoZero"/>
        <c:crossBetween val="midCat"/>
      </c:valAx>
      <c:valAx>
        <c:axId val="1881219584"/>
        <c:scaling>
          <c:orientation val="minMax"/>
          <c:max val="11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94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1638299</xdr:colOff>
      <xdr:row>37</xdr:row>
      <xdr:rowOff>118533</xdr:rowOff>
    </xdr:from>
    <xdr:to>
      <xdr:col>13</xdr:col>
      <xdr:colOff>905933</xdr:colOff>
      <xdr:row>51</xdr:row>
      <xdr:rowOff>829734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D56EF0A-8FAE-8E46-8472-AC9D5C7C55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ifdb.org/search?searchfor=system:Storynexus" TargetMode="External"/><Relationship Id="rId13" Type="http://schemas.openxmlformats.org/officeDocument/2006/relationships/hyperlink" Target="https://adarkroom.doublespeakgames.com/" TargetMode="External"/><Relationship Id="rId18" Type="http://schemas.openxmlformats.org/officeDocument/2006/relationships/hyperlink" Target="https://www.4399.com/flash/198637.htm" TargetMode="External"/><Relationship Id="rId3" Type="http://schemas.openxmlformats.org/officeDocument/2006/relationships/hyperlink" Target="https://ifdb.org/search?searchfor=system:Inform+7" TargetMode="External"/><Relationship Id="rId21" Type="http://schemas.openxmlformats.org/officeDocument/2006/relationships/drawing" Target="../drawings/drawing1.xml"/><Relationship Id="rId7" Type="http://schemas.openxmlformats.org/officeDocument/2006/relationships/hyperlink" Target="https://ifdb.org/search?searchfor=system:Inklewriter" TargetMode="External"/><Relationship Id="rId12" Type="http://schemas.openxmlformats.org/officeDocument/2006/relationships/hyperlink" Target="https://aidungeon.com/" TargetMode="External"/><Relationship Id="rId17" Type="http://schemas.openxmlformats.org/officeDocument/2006/relationships/hyperlink" Target="https://store.steampowered.com/app/998940/_The_Invisible_Guardian/?l=tchinese&amp;cc=cn" TargetMode="External"/><Relationship Id="rId2" Type="http://schemas.openxmlformats.org/officeDocument/2006/relationships/hyperlink" Target="https://ifdb.org/search?searchfor=system:Ren%27Py" TargetMode="External"/><Relationship Id="rId16" Type="http://schemas.openxmlformats.org/officeDocument/2006/relationships/hyperlink" Target="https://ssz66666.github.io/qfzct-66rpg/" TargetMode="External"/><Relationship Id="rId20" Type="http://schemas.openxmlformats.org/officeDocument/2006/relationships/hyperlink" Target="https://store.steampowered.com/app/736190/_/?l=schinese" TargetMode="External"/><Relationship Id="rId1" Type="http://schemas.openxmlformats.org/officeDocument/2006/relationships/hyperlink" Target="https://ifdb.org/search?searchfor=system:Twine" TargetMode="External"/><Relationship Id="rId6" Type="http://schemas.openxmlformats.org/officeDocument/2006/relationships/hyperlink" Target="https://ifdb.org/search?searchfor=system:TADS" TargetMode="External"/><Relationship Id="rId11" Type="http://schemas.openxmlformats.org/officeDocument/2006/relationships/hyperlink" Target="https://store.steampowered.com/app/1926590/Nancy_Drew_Mystery_of_the_Seven_Keys/" TargetMode="External"/><Relationship Id="rId5" Type="http://schemas.openxmlformats.org/officeDocument/2006/relationships/hyperlink" Target="https://ifdb.org/search?searchfor=system:Quest" TargetMode="External"/><Relationship Id="rId15" Type="http://schemas.openxmlformats.org/officeDocument/2006/relationships/hyperlink" Target="https://store.steampowered.com/app/838350/_The_Scroll_Of_Taiwu/" TargetMode="External"/><Relationship Id="rId10" Type="http://schemas.openxmlformats.org/officeDocument/2006/relationships/hyperlink" Target="https://ifdb.org/search?searchfor=system:ADRIFT" TargetMode="External"/><Relationship Id="rId19" Type="http://schemas.openxmlformats.org/officeDocument/2006/relationships/hyperlink" Target="https://www.66rpg.com/game/155748?new=1" TargetMode="External"/><Relationship Id="rId4" Type="http://schemas.openxmlformats.org/officeDocument/2006/relationships/hyperlink" Target="https://ifdb.org/search?searchfor=system:ChoiceScript" TargetMode="External"/><Relationship Id="rId9" Type="http://schemas.openxmlformats.org/officeDocument/2006/relationships/hyperlink" Target="https://ifdb.org/search?searchfor=system:Unity" TargetMode="External"/><Relationship Id="rId14" Type="http://schemas.openxmlformats.org/officeDocument/2006/relationships/hyperlink" Target="https://www.playablstudios.com/fa&#231;ad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2987C-1011-CA42-9E34-CA67F06F2C03}">
  <sheetPr codeName="Sheet5"/>
  <dimension ref="A1:AH189"/>
  <sheetViews>
    <sheetView tabSelected="1" topLeftCell="A6" zoomScaleNormal="100" workbookViewId="0">
      <pane xSplit="1" topLeftCell="B1" activePane="topRight" state="frozen"/>
      <selection activeCell="A81" sqref="A81"/>
      <selection pane="topRight" activeCell="A54" sqref="A54:A64"/>
    </sheetView>
  </sheetViews>
  <sheetFormatPr baseColWidth="10" defaultRowHeight="19" x14ac:dyDescent="0.2"/>
  <cols>
    <col min="1" max="3" width="30.83203125" style="1" customWidth="1"/>
    <col min="4" max="4" width="10.83203125" style="1" customWidth="1"/>
    <col min="5" max="5" width="30.83203125" style="1" customWidth="1"/>
    <col min="6" max="6" width="10.83203125" style="1" customWidth="1"/>
    <col min="7" max="7" width="30.83203125" style="16" customWidth="1"/>
    <col min="8" max="8" width="10.83203125" style="16" customWidth="1"/>
    <col min="9" max="9" width="30.83203125" style="16" customWidth="1"/>
    <col min="10" max="11" width="10.83203125" style="16" customWidth="1"/>
    <col min="12" max="12" width="30.83203125" style="16" customWidth="1"/>
    <col min="13" max="13" width="10.83203125" style="1" customWidth="1"/>
    <col min="14" max="14" width="30.83203125" style="1" customWidth="1"/>
    <col min="15" max="15" width="10.83203125" style="1" customWidth="1"/>
    <col min="16" max="16" width="30.83203125" style="1" customWidth="1"/>
    <col min="17" max="17" width="10.83203125" style="1" customWidth="1"/>
    <col min="18" max="19" width="30.83203125" style="1" customWidth="1"/>
    <col min="20" max="20" width="10.83203125" style="1" customWidth="1"/>
    <col min="21" max="21" width="30.83203125" style="1" customWidth="1"/>
    <col min="22" max="22" width="10.83203125" style="1" customWidth="1"/>
    <col min="23" max="34" width="30.83203125" style="1" customWidth="1"/>
    <col min="35" max="16384" width="10.83203125" style="1"/>
  </cols>
  <sheetData>
    <row r="1" spans="5:34" ht="20" customHeight="1" x14ac:dyDescent="0.2">
      <c r="G1" s="53" t="s">
        <v>94</v>
      </c>
      <c r="H1" s="53"/>
      <c r="I1" s="53"/>
      <c r="J1" s="53"/>
      <c r="K1" s="53"/>
      <c r="L1" s="53"/>
      <c r="M1" s="39"/>
      <c r="N1" s="19" t="s">
        <v>84</v>
      </c>
      <c r="O1" s="19" t="s">
        <v>85</v>
      </c>
      <c r="P1" s="19" t="s">
        <v>86</v>
      </c>
      <c r="Q1" s="48"/>
      <c r="R1" s="49"/>
      <c r="T1" s="52"/>
      <c r="U1" s="52"/>
      <c r="V1" s="52"/>
      <c r="X1" s="52"/>
      <c r="Y1" s="52"/>
      <c r="Z1" s="52"/>
      <c r="AB1" s="52"/>
      <c r="AC1" s="52"/>
      <c r="AD1" s="52"/>
      <c r="AF1" s="52"/>
      <c r="AG1" s="52"/>
      <c r="AH1" s="52"/>
    </row>
    <row r="2" spans="5:34" ht="20" x14ac:dyDescent="0.2">
      <c r="G2" s="20" t="s">
        <v>32</v>
      </c>
      <c r="H2" s="20"/>
      <c r="I2" s="20" t="s">
        <v>1</v>
      </c>
      <c r="J2" s="20"/>
      <c r="K2" s="20"/>
      <c r="L2" s="20" t="s">
        <v>2</v>
      </c>
      <c r="M2" s="40"/>
      <c r="N2" s="5">
        <v>1</v>
      </c>
      <c r="O2" s="5">
        <v>11</v>
      </c>
      <c r="P2" s="5" t="s">
        <v>88</v>
      </c>
      <c r="Q2" s="50"/>
      <c r="R2" s="16"/>
      <c r="T2" s="3"/>
      <c r="U2" s="3"/>
      <c r="V2" s="3"/>
      <c r="X2" s="3"/>
      <c r="Y2" s="3"/>
      <c r="Z2" s="3"/>
      <c r="AB2" s="3"/>
      <c r="AC2" s="3"/>
      <c r="AD2" s="3"/>
      <c r="AF2" s="3"/>
      <c r="AG2" s="3"/>
      <c r="AH2" s="3"/>
    </row>
    <row r="3" spans="5:34" ht="20" x14ac:dyDescent="0.2">
      <c r="G3" s="45" t="s">
        <v>102</v>
      </c>
      <c r="H3" s="5"/>
      <c r="I3" s="5">
        <v>0</v>
      </c>
      <c r="J3" s="5"/>
      <c r="K3" s="5"/>
      <c r="L3" s="5">
        <v>0</v>
      </c>
      <c r="M3" s="41"/>
      <c r="N3" s="5">
        <v>5</v>
      </c>
      <c r="O3" s="5">
        <v>11</v>
      </c>
      <c r="P3" s="5" t="s">
        <v>89</v>
      </c>
      <c r="Q3" s="50"/>
      <c r="R3" s="16"/>
      <c r="T3" s="3"/>
      <c r="U3" s="3"/>
      <c r="V3" s="3"/>
      <c r="X3" s="3"/>
      <c r="Y3" s="3"/>
      <c r="Z3" s="3"/>
      <c r="AB3" s="3"/>
      <c r="AC3" s="3"/>
      <c r="AD3" s="3"/>
      <c r="AF3" s="3"/>
      <c r="AG3" s="3"/>
      <c r="AH3" s="3"/>
    </row>
    <row r="4" spans="5:34" ht="20" x14ac:dyDescent="0.2">
      <c r="G4" s="45" t="s">
        <v>66</v>
      </c>
      <c r="H4" s="5"/>
      <c r="I4" s="5">
        <v>1</v>
      </c>
      <c r="J4" s="5"/>
      <c r="K4" s="5"/>
      <c r="L4" s="5">
        <v>0</v>
      </c>
      <c r="M4" s="41"/>
      <c r="N4" s="3">
        <v>9</v>
      </c>
      <c r="O4" s="3">
        <v>11</v>
      </c>
      <c r="P4" s="3" t="s">
        <v>90</v>
      </c>
      <c r="Q4" s="50"/>
      <c r="R4" s="16"/>
      <c r="T4" s="3"/>
      <c r="U4" s="3"/>
      <c r="V4" s="3"/>
      <c r="X4" s="3"/>
      <c r="Y4" s="3"/>
      <c r="Z4" s="3"/>
      <c r="AB4" s="3"/>
      <c r="AC4" s="3"/>
      <c r="AD4" s="3"/>
      <c r="AF4" s="3"/>
      <c r="AG4" s="3"/>
      <c r="AH4" s="3"/>
    </row>
    <row r="5" spans="5:34" ht="20" x14ac:dyDescent="0.2">
      <c r="G5" s="45" t="s">
        <v>83</v>
      </c>
      <c r="H5" s="5"/>
      <c r="I5" s="5">
        <v>2</v>
      </c>
      <c r="J5" s="5"/>
      <c r="K5" s="5"/>
      <c r="L5" s="5">
        <v>0</v>
      </c>
      <c r="M5" s="41"/>
      <c r="N5" s="3">
        <v>13</v>
      </c>
      <c r="O5" s="3">
        <v>11</v>
      </c>
      <c r="P5" s="3" t="s">
        <v>87</v>
      </c>
      <c r="Q5" s="50"/>
      <c r="R5" s="16"/>
      <c r="T5" s="3"/>
      <c r="U5" s="3"/>
      <c r="V5" s="3"/>
      <c r="X5" s="3"/>
      <c r="Y5" s="3"/>
      <c r="Z5" s="3"/>
      <c r="AB5" s="3"/>
      <c r="AC5" s="3"/>
      <c r="AD5" s="3"/>
      <c r="AF5" s="3"/>
      <c r="AG5" s="3"/>
      <c r="AH5" s="3"/>
    </row>
    <row r="6" spans="5:34" ht="19" customHeight="1" x14ac:dyDescent="0.2">
      <c r="G6" s="63" t="s">
        <v>95</v>
      </c>
      <c r="H6" s="64"/>
      <c r="I6" s="64"/>
      <c r="J6" s="64"/>
      <c r="K6" s="64"/>
      <c r="L6" s="65"/>
      <c r="M6" s="42"/>
      <c r="N6" s="4">
        <v>17</v>
      </c>
      <c r="O6" s="4">
        <v>11</v>
      </c>
      <c r="P6" s="4" t="s">
        <v>91</v>
      </c>
      <c r="T6" s="18"/>
      <c r="U6" s="18"/>
      <c r="V6" s="18"/>
      <c r="X6" s="18"/>
      <c r="Y6" s="18"/>
      <c r="Z6" s="18"/>
      <c r="AB6" s="18"/>
      <c r="AC6" s="18"/>
      <c r="AD6" s="18"/>
      <c r="AF6" s="18"/>
      <c r="AG6" s="18"/>
      <c r="AH6" s="18"/>
    </row>
    <row r="7" spans="5:34" ht="20" x14ac:dyDescent="0.2">
      <c r="G7" s="46" t="s">
        <v>59</v>
      </c>
      <c r="H7" s="3"/>
      <c r="I7" s="3">
        <v>4</v>
      </c>
      <c r="J7" s="3"/>
      <c r="K7" s="3"/>
      <c r="L7" s="3">
        <v>0</v>
      </c>
      <c r="M7" s="18"/>
      <c r="N7" s="4">
        <v>21</v>
      </c>
      <c r="O7" s="4">
        <v>11</v>
      </c>
      <c r="P7" s="4" t="s">
        <v>93</v>
      </c>
      <c r="T7" s="18"/>
      <c r="U7" s="18"/>
      <c r="V7" s="18"/>
      <c r="X7" s="18"/>
      <c r="Y7" s="18"/>
      <c r="Z7" s="18"/>
      <c r="AB7" s="18"/>
      <c r="AC7" s="18"/>
      <c r="AD7" s="18"/>
      <c r="AF7" s="18"/>
      <c r="AG7" s="18"/>
      <c r="AH7" s="18"/>
    </row>
    <row r="8" spans="5:34" ht="20" x14ac:dyDescent="0.2">
      <c r="G8" s="46" t="s">
        <v>60</v>
      </c>
      <c r="H8" s="3"/>
      <c r="I8" s="3">
        <v>5</v>
      </c>
      <c r="J8" s="3"/>
      <c r="K8" s="3"/>
      <c r="L8" s="3">
        <v>0</v>
      </c>
      <c r="M8" s="18"/>
      <c r="N8" s="4">
        <v>25</v>
      </c>
      <c r="O8" s="4">
        <v>11</v>
      </c>
      <c r="P8" s="4" t="s">
        <v>44</v>
      </c>
      <c r="T8" s="18"/>
      <c r="U8" s="18"/>
      <c r="V8" s="18"/>
      <c r="X8" s="18"/>
      <c r="Y8" s="18"/>
      <c r="Z8" s="18"/>
      <c r="AB8" s="18"/>
      <c r="AC8" s="18"/>
      <c r="AD8" s="18"/>
      <c r="AF8" s="18"/>
      <c r="AG8" s="18"/>
      <c r="AH8" s="18"/>
    </row>
    <row r="9" spans="5:34" ht="20" x14ac:dyDescent="0.2">
      <c r="G9" s="46" t="s">
        <v>61</v>
      </c>
      <c r="H9" s="3"/>
      <c r="I9" s="3">
        <v>6</v>
      </c>
      <c r="J9" s="3"/>
      <c r="K9" s="3"/>
      <c r="L9" s="3">
        <v>0</v>
      </c>
      <c r="M9" s="18"/>
      <c r="N9" s="5">
        <v>29</v>
      </c>
      <c r="O9" s="5">
        <v>11</v>
      </c>
      <c r="P9" s="5" t="s">
        <v>43</v>
      </c>
      <c r="T9" s="18"/>
      <c r="U9" s="18"/>
      <c r="V9" s="18"/>
      <c r="X9" s="18"/>
      <c r="Y9" s="18"/>
      <c r="Z9" s="18"/>
      <c r="AB9" s="18"/>
      <c r="AC9" s="18"/>
      <c r="AD9" s="18"/>
      <c r="AF9" s="18"/>
      <c r="AG9" s="18"/>
      <c r="AH9" s="18"/>
    </row>
    <row r="10" spans="5:34" ht="19" customHeight="1" x14ac:dyDescent="0.2">
      <c r="G10" s="57" t="s">
        <v>96</v>
      </c>
      <c r="H10" s="58"/>
      <c r="I10" s="58"/>
      <c r="J10" s="58"/>
      <c r="K10" s="58"/>
      <c r="L10" s="59"/>
      <c r="M10" s="39"/>
      <c r="N10" s="5">
        <v>33</v>
      </c>
      <c r="O10" s="5">
        <v>11</v>
      </c>
      <c r="P10" s="5" t="s">
        <v>45</v>
      </c>
      <c r="T10" s="18"/>
      <c r="U10" s="18"/>
      <c r="V10" s="18"/>
      <c r="X10" s="18"/>
      <c r="Y10" s="18"/>
      <c r="Z10" s="18"/>
      <c r="AB10" s="18"/>
      <c r="AC10" s="18"/>
      <c r="AD10" s="18"/>
      <c r="AF10" s="18"/>
      <c r="AG10" s="18"/>
      <c r="AH10" s="18"/>
    </row>
    <row r="11" spans="5:34" ht="20" x14ac:dyDescent="0.2">
      <c r="G11" s="47" t="s">
        <v>62</v>
      </c>
      <c r="H11" s="4"/>
      <c r="I11" s="4">
        <v>8</v>
      </c>
      <c r="J11" s="4"/>
      <c r="K11" s="4"/>
      <c r="L11" s="4">
        <v>0</v>
      </c>
      <c r="M11" s="37"/>
      <c r="T11" s="18"/>
      <c r="U11" s="18"/>
      <c r="V11" s="18"/>
      <c r="X11" s="18"/>
      <c r="Y11" s="18"/>
      <c r="Z11" s="18"/>
      <c r="AB11" s="18"/>
      <c r="AC11" s="18"/>
      <c r="AD11" s="18"/>
      <c r="AF11" s="18"/>
      <c r="AG11" s="18"/>
      <c r="AH11" s="18"/>
    </row>
    <row r="12" spans="5:34" ht="20" x14ac:dyDescent="0.2">
      <c r="G12" s="47" t="s">
        <v>64</v>
      </c>
      <c r="H12" s="4"/>
      <c r="I12" s="4">
        <v>9</v>
      </c>
      <c r="J12" s="4"/>
      <c r="K12" s="4"/>
      <c r="L12" s="4">
        <v>0</v>
      </c>
      <c r="M12" s="37"/>
      <c r="T12" s="18"/>
      <c r="U12" s="18"/>
      <c r="V12" s="18"/>
      <c r="X12" s="18"/>
      <c r="Y12" s="18"/>
      <c r="Z12" s="18"/>
      <c r="AB12" s="18"/>
      <c r="AC12" s="18"/>
      <c r="AD12" s="18"/>
      <c r="AF12" s="18"/>
      <c r="AG12" s="18"/>
      <c r="AH12" s="18"/>
    </row>
    <row r="13" spans="5:34" ht="20" x14ac:dyDescent="0.2">
      <c r="G13" s="47" t="s">
        <v>63</v>
      </c>
      <c r="H13" s="4"/>
      <c r="I13" s="4">
        <v>10</v>
      </c>
      <c r="J13" s="4"/>
      <c r="K13" s="4"/>
      <c r="L13" s="4">
        <v>0</v>
      </c>
      <c r="M13" s="37"/>
      <c r="T13" s="18"/>
      <c r="U13" s="18"/>
      <c r="V13" s="18"/>
      <c r="X13" s="18"/>
      <c r="Y13" s="18"/>
      <c r="Z13" s="18"/>
      <c r="AB13" s="18"/>
      <c r="AC13" s="18"/>
      <c r="AD13" s="18"/>
      <c r="AF13" s="18"/>
      <c r="AG13" s="18"/>
      <c r="AH13" s="18"/>
    </row>
    <row r="14" spans="5:34" ht="19" customHeight="1" x14ac:dyDescent="0.2">
      <c r="G14" s="66" t="s">
        <v>97</v>
      </c>
      <c r="H14" s="67"/>
      <c r="I14" s="67"/>
      <c r="J14" s="67"/>
      <c r="K14" s="67"/>
      <c r="L14" s="68"/>
      <c r="M14" s="43"/>
    </row>
    <row r="15" spans="5:34" ht="20" x14ac:dyDescent="0.2">
      <c r="E15" s="5"/>
      <c r="G15" s="5" t="s">
        <v>68</v>
      </c>
      <c r="H15" s="5"/>
      <c r="I15" s="5">
        <v>12</v>
      </c>
      <c r="J15" s="6"/>
      <c r="K15" s="6"/>
      <c r="L15" s="5">
        <v>0</v>
      </c>
      <c r="M15" s="41"/>
    </row>
    <row r="16" spans="5:34" ht="20" x14ac:dyDescent="0.2">
      <c r="E16" s="5"/>
      <c r="G16" s="5" t="s">
        <v>69</v>
      </c>
      <c r="H16" s="5"/>
      <c r="I16" s="5">
        <v>13</v>
      </c>
      <c r="J16" s="6"/>
      <c r="K16" s="6"/>
      <c r="L16" s="5">
        <v>0</v>
      </c>
      <c r="M16" s="41"/>
    </row>
    <row r="17" spans="5:13" ht="20" x14ac:dyDescent="0.2">
      <c r="E17" s="5"/>
      <c r="G17" s="5" t="s">
        <v>70</v>
      </c>
      <c r="H17" s="5"/>
      <c r="I17" s="5">
        <v>14</v>
      </c>
      <c r="J17" s="6"/>
      <c r="K17" s="6"/>
      <c r="L17" s="5">
        <v>0</v>
      </c>
      <c r="M17" s="41"/>
    </row>
    <row r="18" spans="5:13" ht="19" customHeight="1" x14ac:dyDescent="0.2">
      <c r="G18" s="54" t="s">
        <v>98</v>
      </c>
      <c r="H18" s="55"/>
      <c r="I18" s="55"/>
      <c r="J18" s="55"/>
      <c r="K18" s="55"/>
      <c r="L18" s="56"/>
      <c r="M18" s="44"/>
    </row>
    <row r="19" spans="5:13" ht="20" x14ac:dyDescent="0.2">
      <c r="G19" s="3" t="s">
        <v>65</v>
      </c>
      <c r="H19" s="3"/>
      <c r="I19" s="3">
        <v>16</v>
      </c>
      <c r="J19" s="2"/>
      <c r="K19" s="2"/>
      <c r="L19" s="3">
        <v>0</v>
      </c>
      <c r="M19" s="18"/>
    </row>
    <row r="20" spans="5:13" ht="20" x14ac:dyDescent="0.2">
      <c r="G20" s="3" t="s">
        <v>66</v>
      </c>
      <c r="H20" s="3"/>
      <c r="I20" s="3">
        <v>17</v>
      </c>
      <c r="J20" s="2"/>
      <c r="K20" s="2"/>
      <c r="L20" s="3">
        <v>0</v>
      </c>
      <c r="M20" s="18"/>
    </row>
    <row r="21" spans="5:13" ht="20" x14ac:dyDescent="0.2">
      <c r="G21" s="3" t="s">
        <v>67</v>
      </c>
      <c r="H21" s="3"/>
      <c r="I21" s="3">
        <v>18</v>
      </c>
      <c r="J21" s="2"/>
      <c r="K21" s="2"/>
      <c r="L21" s="3">
        <v>0</v>
      </c>
      <c r="M21" s="18"/>
    </row>
    <row r="22" spans="5:13" ht="19" customHeight="1" x14ac:dyDescent="0.2">
      <c r="G22" s="57" t="s">
        <v>99</v>
      </c>
      <c r="H22" s="58"/>
      <c r="I22" s="58"/>
      <c r="J22" s="58"/>
      <c r="K22" s="58"/>
      <c r="L22" s="59"/>
      <c r="M22" s="39"/>
    </row>
    <row r="23" spans="5:13" ht="20" x14ac:dyDescent="0.2">
      <c r="G23" s="4" t="s">
        <v>71</v>
      </c>
      <c r="H23" s="4"/>
      <c r="I23" s="4">
        <v>20</v>
      </c>
      <c r="J23" s="19"/>
      <c r="K23" s="19"/>
      <c r="L23" s="4">
        <v>0</v>
      </c>
      <c r="M23" s="37"/>
    </row>
    <row r="24" spans="5:13" ht="20" x14ac:dyDescent="0.2">
      <c r="G24" s="4" t="s">
        <v>72</v>
      </c>
      <c r="H24" s="4"/>
      <c r="I24" s="4">
        <v>21</v>
      </c>
      <c r="J24" s="19"/>
      <c r="K24" s="19"/>
      <c r="L24" s="4">
        <v>0</v>
      </c>
      <c r="M24" s="37"/>
    </row>
    <row r="25" spans="5:13" ht="20" x14ac:dyDescent="0.2">
      <c r="G25" s="4" t="s">
        <v>73</v>
      </c>
      <c r="H25" s="4"/>
      <c r="I25" s="4">
        <v>22</v>
      </c>
      <c r="J25" s="19"/>
      <c r="K25" s="19"/>
      <c r="L25" s="4">
        <v>0</v>
      </c>
      <c r="M25" s="37"/>
    </row>
    <row r="26" spans="5:13" ht="19" customHeight="1" x14ac:dyDescent="0.2">
      <c r="G26" s="66" t="s">
        <v>100</v>
      </c>
      <c r="H26" s="67"/>
      <c r="I26" s="67"/>
      <c r="J26" s="67"/>
      <c r="K26" s="67"/>
      <c r="L26" s="68"/>
      <c r="M26" s="43"/>
    </row>
    <row r="27" spans="5:13" ht="20" x14ac:dyDescent="0.2">
      <c r="G27" s="5" t="s">
        <v>74</v>
      </c>
      <c r="H27" s="5"/>
      <c r="I27" s="5">
        <v>24</v>
      </c>
      <c r="J27" s="6"/>
      <c r="K27" s="6"/>
      <c r="L27" s="5">
        <v>0</v>
      </c>
      <c r="M27" s="41"/>
    </row>
    <row r="28" spans="5:13" ht="20" x14ac:dyDescent="0.2">
      <c r="G28" s="5" t="s">
        <v>78</v>
      </c>
      <c r="H28" s="5"/>
      <c r="I28" s="5">
        <v>25</v>
      </c>
      <c r="J28" s="6"/>
      <c r="K28" s="6"/>
      <c r="L28" s="5">
        <v>0</v>
      </c>
      <c r="M28" s="41"/>
    </row>
    <row r="29" spans="5:13" ht="20" x14ac:dyDescent="0.2">
      <c r="G29" s="5" t="s">
        <v>79</v>
      </c>
      <c r="H29" s="5"/>
      <c r="I29" s="5">
        <v>26</v>
      </c>
      <c r="J29" s="6"/>
      <c r="K29" s="6"/>
      <c r="L29" s="5">
        <v>0</v>
      </c>
      <c r="M29" s="41"/>
    </row>
    <row r="30" spans="5:13" ht="19" customHeight="1" x14ac:dyDescent="0.2">
      <c r="G30" s="54" t="s">
        <v>101</v>
      </c>
      <c r="H30" s="55"/>
      <c r="I30" s="55"/>
      <c r="J30" s="55"/>
      <c r="K30" s="55"/>
      <c r="L30" s="56"/>
      <c r="M30" s="44"/>
    </row>
    <row r="31" spans="5:13" ht="20" x14ac:dyDescent="0.2">
      <c r="G31" s="3" t="s">
        <v>75</v>
      </c>
      <c r="H31" s="3"/>
      <c r="I31" s="3">
        <v>28</v>
      </c>
      <c r="J31" s="2"/>
      <c r="K31" s="2"/>
      <c r="L31" s="3">
        <v>0</v>
      </c>
      <c r="M31" s="18"/>
    </row>
    <row r="32" spans="5:13" ht="20" x14ac:dyDescent="0.2">
      <c r="G32" s="3" t="s">
        <v>76</v>
      </c>
      <c r="H32" s="3"/>
      <c r="I32" s="3">
        <v>29</v>
      </c>
      <c r="J32" s="2"/>
      <c r="K32" s="2"/>
      <c r="L32" s="3">
        <v>0</v>
      </c>
      <c r="M32" s="18"/>
    </row>
    <row r="33" spans="1:13" ht="20" x14ac:dyDescent="0.2">
      <c r="G33" s="3" t="s">
        <v>77</v>
      </c>
      <c r="H33" s="3"/>
      <c r="I33" s="3">
        <v>30</v>
      </c>
      <c r="J33" s="2"/>
      <c r="K33" s="2"/>
      <c r="L33" s="3">
        <v>0</v>
      </c>
      <c r="M33" s="18"/>
    </row>
    <row r="34" spans="1:13" ht="19" customHeight="1" x14ac:dyDescent="0.2">
      <c r="G34" s="57" t="s">
        <v>39</v>
      </c>
      <c r="H34" s="58"/>
      <c r="I34" s="58"/>
      <c r="J34" s="58"/>
      <c r="K34" s="58"/>
      <c r="L34" s="59"/>
      <c r="M34" s="39"/>
    </row>
    <row r="35" spans="1:13" ht="20" x14ac:dyDescent="0.2">
      <c r="G35" s="4" t="s">
        <v>80</v>
      </c>
      <c r="H35" s="4"/>
      <c r="I35" s="4">
        <v>32</v>
      </c>
      <c r="J35" s="19"/>
      <c r="K35" s="19"/>
      <c r="L35" s="4">
        <v>0</v>
      </c>
      <c r="M35" s="37"/>
    </row>
    <row r="36" spans="1:13" ht="20" x14ac:dyDescent="0.2">
      <c r="G36" s="4" t="s">
        <v>81</v>
      </c>
      <c r="H36" s="4"/>
      <c r="I36" s="4">
        <v>33</v>
      </c>
      <c r="J36" s="19"/>
      <c r="K36" s="19"/>
      <c r="L36" s="4">
        <v>0</v>
      </c>
      <c r="M36" s="37"/>
    </row>
    <row r="37" spans="1:13" ht="20" x14ac:dyDescent="0.2">
      <c r="G37" s="4" t="s">
        <v>82</v>
      </c>
      <c r="H37" s="4"/>
      <c r="I37" s="4">
        <v>34</v>
      </c>
      <c r="J37" s="19"/>
      <c r="K37" s="19"/>
      <c r="L37" s="4">
        <v>0</v>
      </c>
      <c r="M37" s="37"/>
    </row>
    <row r="38" spans="1:13" x14ac:dyDescent="0.2">
      <c r="G38" s="12"/>
      <c r="H38" s="12"/>
      <c r="I38" s="12"/>
      <c r="J38" s="12"/>
      <c r="K38" s="12"/>
    </row>
    <row r="39" spans="1:13" ht="21" customHeight="1" x14ac:dyDescent="0.2">
      <c r="A39" s="60" t="s">
        <v>30</v>
      </c>
      <c r="B39" s="61"/>
      <c r="C39" s="62"/>
      <c r="D39" s="38"/>
      <c r="E39" s="11"/>
      <c r="F39" s="11"/>
    </row>
    <row r="40" spans="1:13" ht="20" x14ac:dyDescent="0.2">
      <c r="A40" s="4" t="s">
        <v>3</v>
      </c>
      <c r="B40" s="4" t="s">
        <v>1</v>
      </c>
      <c r="C40" s="4" t="s">
        <v>2</v>
      </c>
      <c r="D40" s="37"/>
    </row>
    <row r="41" spans="1:13" ht="20" x14ac:dyDescent="0.2">
      <c r="A41" s="3" t="s">
        <v>49</v>
      </c>
      <c r="B41" s="4">
        <v>0</v>
      </c>
      <c r="C41" s="4">
        <v>0</v>
      </c>
      <c r="D41" s="37"/>
    </row>
    <row r="42" spans="1:13" ht="20" x14ac:dyDescent="0.2">
      <c r="A42" s="3" t="s">
        <v>22</v>
      </c>
      <c r="B42" s="4">
        <v>0</v>
      </c>
      <c r="C42" s="4">
        <v>1</v>
      </c>
      <c r="D42" s="37"/>
    </row>
    <row r="43" spans="1:13" ht="20" x14ac:dyDescent="0.2">
      <c r="A43" s="3" t="s">
        <v>47</v>
      </c>
      <c r="B43" s="4">
        <v>0</v>
      </c>
      <c r="C43" s="4">
        <v>2</v>
      </c>
      <c r="D43" s="37"/>
    </row>
    <row r="44" spans="1:13" ht="20" x14ac:dyDescent="0.2">
      <c r="A44" s="3" t="s">
        <v>20</v>
      </c>
      <c r="B44" s="4">
        <v>0</v>
      </c>
      <c r="C44" s="4">
        <v>3</v>
      </c>
      <c r="D44" s="37"/>
    </row>
    <row r="45" spans="1:13" ht="20" x14ac:dyDescent="0.2">
      <c r="A45" s="3" t="s">
        <v>26</v>
      </c>
      <c r="B45" s="4">
        <v>0</v>
      </c>
      <c r="C45" s="4">
        <v>4</v>
      </c>
      <c r="D45" s="37"/>
    </row>
    <row r="46" spans="1:13" ht="20" x14ac:dyDescent="0.2">
      <c r="A46" s="3" t="s">
        <v>21</v>
      </c>
      <c r="B46" s="4">
        <v>0</v>
      </c>
      <c r="C46" s="4">
        <v>5</v>
      </c>
      <c r="D46" s="37"/>
    </row>
    <row r="47" spans="1:13" ht="20" x14ac:dyDescent="0.2">
      <c r="A47" s="3" t="s">
        <v>19</v>
      </c>
      <c r="B47" s="4">
        <v>0</v>
      </c>
      <c r="C47" s="4">
        <v>6</v>
      </c>
      <c r="D47" s="37"/>
    </row>
    <row r="48" spans="1:13" ht="111" customHeight="1" x14ac:dyDescent="0.2">
      <c r="A48" s="3" t="s">
        <v>46</v>
      </c>
      <c r="B48" s="4">
        <v>0</v>
      </c>
      <c r="C48" s="4">
        <v>7</v>
      </c>
      <c r="D48" s="37"/>
    </row>
    <row r="49" spans="1:23" ht="112" customHeight="1" x14ac:dyDescent="0.2">
      <c r="A49" s="3" t="s">
        <v>24</v>
      </c>
      <c r="B49" s="4">
        <v>0</v>
      </c>
      <c r="C49" s="4">
        <v>8</v>
      </c>
      <c r="D49" s="37"/>
    </row>
    <row r="50" spans="1:23" ht="71" customHeight="1" x14ac:dyDescent="0.2">
      <c r="A50" s="3" t="s">
        <v>48</v>
      </c>
      <c r="B50" s="4">
        <v>0</v>
      </c>
      <c r="C50" s="4">
        <v>9</v>
      </c>
      <c r="D50" s="37"/>
      <c r="G50" s="1"/>
      <c r="H50" s="1"/>
      <c r="I50" s="1"/>
      <c r="J50" s="1"/>
      <c r="K50" s="1"/>
      <c r="L50" s="1"/>
    </row>
    <row r="51" spans="1:23" ht="64" customHeight="1" x14ac:dyDescent="0.2">
      <c r="A51" s="3" t="s">
        <v>27</v>
      </c>
      <c r="B51" s="4">
        <v>0</v>
      </c>
      <c r="C51" s="4">
        <v>10</v>
      </c>
      <c r="G51" s="1"/>
      <c r="H51" s="1"/>
      <c r="I51" s="1"/>
      <c r="J51" s="1"/>
      <c r="K51" s="1"/>
      <c r="L51" s="1"/>
    </row>
    <row r="52" spans="1:23" ht="80" customHeight="1" x14ac:dyDescent="0.2">
      <c r="S52" s="15"/>
    </row>
    <row r="53" spans="1:23" ht="20" x14ac:dyDescent="0.2">
      <c r="B53" s="2" t="s">
        <v>4</v>
      </c>
      <c r="D53" s="2" t="s">
        <v>33</v>
      </c>
      <c r="E53" s="21" t="s">
        <v>50</v>
      </c>
      <c r="F53" s="21" t="s">
        <v>34</v>
      </c>
      <c r="G53" s="2" t="s">
        <v>51</v>
      </c>
      <c r="H53" s="2" t="s">
        <v>35</v>
      </c>
      <c r="I53" s="2" t="s">
        <v>52</v>
      </c>
      <c r="J53" s="12"/>
      <c r="K53" s="2" t="s">
        <v>36</v>
      </c>
      <c r="L53" s="2" t="s">
        <v>53</v>
      </c>
      <c r="M53" s="29" t="s">
        <v>37</v>
      </c>
      <c r="N53" s="29" t="s">
        <v>54</v>
      </c>
      <c r="O53" s="29" t="s">
        <v>38</v>
      </c>
      <c r="P53" s="2" t="s">
        <v>55</v>
      </c>
      <c r="R53" s="2" t="s">
        <v>40</v>
      </c>
      <c r="S53" s="2" t="s">
        <v>56</v>
      </c>
      <c r="T53" s="29" t="s">
        <v>41</v>
      </c>
      <c r="U53" s="29" t="s">
        <v>57</v>
      </c>
      <c r="V53" s="29" t="s">
        <v>42</v>
      </c>
      <c r="W53" s="2" t="s">
        <v>58</v>
      </c>
    </row>
    <row r="54" spans="1:23" ht="20" x14ac:dyDescent="0.2">
      <c r="A54" s="3" t="s">
        <v>49</v>
      </c>
      <c r="B54" s="4">
        <v>5</v>
      </c>
      <c r="C54" s="1">
        <v>1988</v>
      </c>
      <c r="D54" s="4">
        <v>0</v>
      </c>
      <c r="E54" s="22">
        <f>COUNTIFS(E90:E189, "=0",$B$90:$B$189, "=Text Adventure Development System")</f>
        <v>9</v>
      </c>
      <c r="F54" s="22">
        <v>4</v>
      </c>
      <c r="G54" s="22">
        <f>COUNTIFS(G90:G189, "=0",$B$90:$B$189, "=Text Adventure Development System")</f>
        <v>9</v>
      </c>
      <c r="H54" s="4">
        <v>8</v>
      </c>
      <c r="I54" s="22">
        <f>COUNTIFS(I90:I189, "=0",$B$90:$B$189, "=Text Adventure Development System")</f>
        <v>0</v>
      </c>
      <c r="K54" s="4">
        <v>12</v>
      </c>
      <c r="L54" s="22">
        <f>COUNTIFS(L90:L189, "=0",$B$90:$B$189, "=Text Adventure Development System")</f>
        <v>1</v>
      </c>
      <c r="M54" s="30">
        <v>16</v>
      </c>
      <c r="N54" s="22">
        <f>COUNTIFS(N90:N189, "=0",$B$90:$B$189, "=Text Adventure Development System")</f>
        <v>0</v>
      </c>
      <c r="O54" s="30">
        <v>20</v>
      </c>
      <c r="P54" s="22">
        <f>COUNTIFS(P90:P189, "=0",$B$90:$B$189, "=Text Adventure Development System")</f>
        <v>9</v>
      </c>
      <c r="R54" s="4">
        <v>24</v>
      </c>
      <c r="S54" s="22">
        <f>COUNTIFS(S90:S189, "=0",$B$90:$B$189, "=Text Adventure Development System")</f>
        <v>9</v>
      </c>
      <c r="T54" s="30">
        <v>28</v>
      </c>
      <c r="U54" s="22">
        <f>COUNTIFS(U90:U189, "=0",$B$90:$B$189, "=Text Adventure Development System")</f>
        <v>9</v>
      </c>
      <c r="V54" s="30">
        <v>32</v>
      </c>
      <c r="W54" s="22">
        <f>COUNTIFS(W90:W189, "=0",$B$90:$B$189, "=Text Adventure Development System")</f>
        <v>9</v>
      </c>
    </row>
    <row r="55" spans="1:23" ht="20" x14ac:dyDescent="0.2">
      <c r="A55" s="3" t="s">
        <v>22</v>
      </c>
      <c r="B55" s="4">
        <v>4</v>
      </c>
      <c r="C55" s="1">
        <v>1998</v>
      </c>
      <c r="D55" s="4">
        <v>0</v>
      </c>
      <c r="E55" s="22">
        <f>COUNTIFS(E90:E189, "=0",$B$90:$B$189, "=Quest")</f>
        <v>0</v>
      </c>
      <c r="F55" s="22">
        <v>4</v>
      </c>
      <c r="G55" s="22">
        <f>COUNTIFS(G90:G189, "=0",$B$90:$B$189, "=Quest")</f>
        <v>0</v>
      </c>
      <c r="H55" s="4">
        <v>8</v>
      </c>
      <c r="I55" s="22">
        <f>COUNTIFS(I90:I189, "=0",$B$90:$B$189, "=Quest")</f>
        <v>0</v>
      </c>
      <c r="K55" s="4">
        <v>12</v>
      </c>
      <c r="L55" s="22">
        <f>COUNTIFS(L90:L189, "=0",$B$90:$B$189, "=Quest")</f>
        <v>0</v>
      </c>
      <c r="M55" s="30">
        <v>16</v>
      </c>
      <c r="N55" s="22">
        <f>COUNTIFS(N90:N189, "=0",$B$90:$B$189, "=Quest")</f>
        <v>0</v>
      </c>
      <c r="O55" s="30">
        <v>20</v>
      </c>
      <c r="P55" s="22">
        <f>COUNTIFS(P90:P189, "=0",$B$90:$B$189, "=Quest")</f>
        <v>9</v>
      </c>
      <c r="R55" s="4">
        <v>24</v>
      </c>
      <c r="S55" s="22">
        <f>COUNTIFS(S90:S189, "=0",$B$90:$B$189, "=Quest")</f>
        <v>9</v>
      </c>
      <c r="T55" s="30">
        <v>28</v>
      </c>
      <c r="U55" s="22">
        <f>COUNTIFS(U90:U189, "=0",$B$90:$B$189, "=Quest")</f>
        <v>9</v>
      </c>
      <c r="V55" s="30">
        <v>32</v>
      </c>
      <c r="W55" s="22">
        <f>COUNTIFS(W90:W189, "=0",$B$90:$B$189, "=Quest")</f>
        <v>9</v>
      </c>
    </row>
    <row r="56" spans="1:23" ht="20" x14ac:dyDescent="0.2">
      <c r="A56" s="3" t="s">
        <v>47</v>
      </c>
      <c r="B56" s="4">
        <v>9</v>
      </c>
      <c r="C56" s="1">
        <v>1999</v>
      </c>
      <c r="D56" s="4">
        <v>0</v>
      </c>
      <c r="E56" s="22">
        <f>COUNTIFS(E90:E189, "=0",$B$90:$B$189, "=Adrift")</f>
        <v>0</v>
      </c>
      <c r="F56" s="22">
        <v>4</v>
      </c>
      <c r="G56" s="22">
        <f>COUNTIFS(G90:G189, "=0",$B$90:$B$189, "=Adrift")</f>
        <v>9</v>
      </c>
      <c r="H56" s="4">
        <v>8</v>
      </c>
      <c r="I56" s="22">
        <f>COUNTIFS(I90:I189, "=0",$B$90:$B$189, "=Adrift")</f>
        <v>0</v>
      </c>
      <c r="K56" s="4">
        <v>12</v>
      </c>
      <c r="L56" s="22">
        <f>COUNTIFS(L90:L189, "=0",$B$90:$B$189, "=Adrift")</f>
        <v>1</v>
      </c>
      <c r="M56" s="30">
        <v>16</v>
      </c>
      <c r="N56" s="22">
        <f>COUNTIFS(N90:N189, "=0",$B$90:$B$189, "=Adrift")</f>
        <v>0</v>
      </c>
      <c r="O56" s="30">
        <v>20</v>
      </c>
      <c r="P56" s="22">
        <f>COUNTIFS(P90:P189, "=0",$B$90:$B$189, "=Adrift")</f>
        <v>7</v>
      </c>
      <c r="R56" s="4">
        <v>24</v>
      </c>
      <c r="S56" s="22">
        <f>COUNTIFS(S90:S189, "=0",$B$90:$B$189, "=Adrift")</f>
        <v>9</v>
      </c>
      <c r="T56" s="30">
        <v>28</v>
      </c>
      <c r="U56" s="22">
        <f>COUNTIFS(U90:U189, "=0",$B$90:$B$189, "=Adrift")</f>
        <v>9</v>
      </c>
      <c r="V56" s="30">
        <v>32</v>
      </c>
      <c r="W56" s="22">
        <f>COUNTIFS(W90:W189, "=0",$B$90:$B$189, "=Adrift")</f>
        <v>9</v>
      </c>
    </row>
    <row r="57" spans="1:23" ht="20" x14ac:dyDescent="0.2">
      <c r="A57" s="3" t="s">
        <v>20</v>
      </c>
      <c r="B57" s="4">
        <v>1</v>
      </c>
      <c r="C57" s="1">
        <v>2004</v>
      </c>
      <c r="D57" s="4">
        <v>0</v>
      </c>
      <c r="E57" s="22">
        <f>COUNTIFS(E90:E189, "=0",$B$90:$B$189, "=Ren'Py")</f>
        <v>0</v>
      </c>
      <c r="F57" s="22">
        <v>4</v>
      </c>
      <c r="G57" s="22">
        <f>COUNTIFS(G90:G189, "=0",$B$90:$B$189, "=Ren'Py")</f>
        <v>3</v>
      </c>
      <c r="H57" s="4">
        <v>8</v>
      </c>
      <c r="I57" s="22">
        <f>COUNTIFS(I90:I189, "=0",$B$90:$B$189, "=Ren'Py")</f>
        <v>0</v>
      </c>
      <c r="K57" s="4">
        <v>12</v>
      </c>
      <c r="L57" s="22">
        <f>COUNTIFS(L90:L189, "=0",$B$90:$B$189, "=Ren'Py")</f>
        <v>0</v>
      </c>
      <c r="M57" s="30">
        <v>16</v>
      </c>
      <c r="N57" s="22">
        <f>COUNTIFS(N90:N189, "=0",$B$90:$B$189, "=Ren'Py")</f>
        <v>0</v>
      </c>
      <c r="O57" s="30">
        <v>20</v>
      </c>
      <c r="P57" s="22">
        <f>COUNTIFS(P90:P189, "=0",$B$90:$B$189, "=Ren'Py")</f>
        <v>6</v>
      </c>
      <c r="R57" s="4">
        <v>24</v>
      </c>
      <c r="S57" s="22">
        <f>COUNTIFS(S90:S189, "=0",$B$90:$B$189, "=Ren'Py")</f>
        <v>9</v>
      </c>
      <c r="T57" s="30">
        <v>28</v>
      </c>
      <c r="U57" s="22">
        <f>COUNTIFS(U90:U189, "=0",$B$90:$B$189, "=Ren'Py")</f>
        <v>7</v>
      </c>
      <c r="V57" s="30">
        <v>32</v>
      </c>
      <c r="W57" s="22">
        <f>COUNTIFS(W90:W189, "=0",$B$90:$B$189, "=Ren'Py")</f>
        <v>5</v>
      </c>
    </row>
    <row r="58" spans="1:23" ht="20" x14ac:dyDescent="0.2">
      <c r="A58" s="3" t="s">
        <v>26</v>
      </c>
      <c r="B58" s="4">
        <v>8</v>
      </c>
      <c r="C58" s="1">
        <v>2005</v>
      </c>
      <c r="D58" s="4">
        <v>0</v>
      </c>
      <c r="E58" s="22">
        <f>COUNTIFS(E90:E189, "=0",$B$90:$B$189, "=Unity")</f>
        <v>0</v>
      </c>
      <c r="F58" s="22">
        <v>4</v>
      </c>
      <c r="G58" s="22">
        <f>COUNTIFS(G90:G189, "=0",$B$90:$B$189, "=Unity")</f>
        <v>0</v>
      </c>
      <c r="H58" s="4">
        <v>8</v>
      </c>
      <c r="I58" s="22">
        <f>COUNTIFS(I90:I189, "=0",$B$90:$B$189, "=Unity")</f>
        <v>0</v>
      </c>
      <c r="K58" s="4">
        <v>12</v>
      </c>
      <c r="L58" s="22">
        <f>COUNTIFS(L90:L189, "=0",$B$90:$B$189, "=Unity")</f>
        <v>1</v>
      </c>
      <c r="M58" s="30">
        <v>16</v>
      </c>
      <c r="N58" s="22">
        <f>COUNTIFS(N90:N189, "=0",$B$90:$B$189, "=Unity")</f>
        <v>0</v>
      </c>
      <c r="O58" s="30">
        <v>20</v>
      </c>
      <c r="P58" s="22">
        <f>COUNTIFS(P90:P189, "=0",$B$90:$B$189, "=Unity")</f>
        <v>9</v>
      </c>
      <c r="R58" s="4">
        <v>24</v>
      </c>
      <c r="S58" s="22">
        <f>COUNTIFS(S90:S189, "=0",$B$90:$B$189, "=Unity")</f>
        <v>9</v>
      </c>
      <c r="T58" s="30">
        <v>28</v>
      </c>
      <c r="U58" s="22">
        <f>COUNTIFS(U90:U189, "=0",$B$90:$B$189, "=Unity")</f>
        <v>0</v>
      </c>
      <c r="V58" s="30">
        <v>32</v>
      </c>
      <c r="W58" s="22">
        <f>COUNTIFS(W90:W189, "=0",$B$90:$B$189, "=Unity")</f>
        <v>7</v>
      </c>
    </row>
    <row r="59" spans="1:23" ht="20" x14ac:dyDescent="0.2">
      <c r="A59" s="3" t="s">
        <v>21</v>
      </c>
      <c r="B59" s="4">
        <v>2</v>
      </c>
      <c r="C59" s="1">
        <v>2006</v>
      </c>
      <c r="D59" s="4">
        <v>0</v>
      </c>
      <c r="E59" s="22">
        <f>COUNTIFS(E90:E189, "=0",$B$90:$B$189, "=Inform 7")</f>
        <v>9</v>
      </c>
      <c r="F59" s="22">
        <v>4</v>
      </c>
      <c r="G59" s="22">
        <f>COUNTIFS(G90:G189, "=0",$B$90:$B$189, "=Inform 7")</f>
        <v>9</v>
      </c>
      <c r="H59" s="4">
        <v>8</v>
      </c>
      <c r="I59" s="22">
        <f>COUNTIFS(I90:I189, "=0",$B$90:$B$189, "=Inform 7")</f>
        <v>0</v>
      </c>
      <c r="K59" s="4">
        <v>12</v>
      </c>
      <c r="L59" s="22">
        <f>COUNTIFS(L90:L189, "=0",$B$90:$B$189, "=Inform 7")</f>
        <v>3</v>
      </c>
      <c r="M59" s="30">
        <v>16</v>
      </c>
      <c r="N59" s="22">
        <f>COUNTIFS(N90:N189, "=0",$B$90:$B$189, "=Inform 7")</f>
        <v>0</v>
      </c>
      <c r="O59" s="30">
        <v>20</v>
      </c>
      <c r="P59" s="22">
        <f>COUNTIFS(P90:P189, "=0",$B$90:$B$189, "=Inform 7")</f>
        <v>8</v>
      </c>
      <c r="R59" s="4">
        <v>24</v>
      </c>
      <c r="S59" s="22">
        <f>COUNTIFS(S90:S189, "=0",$B$90:$B$189, "=Inform 7")</f>
        <v>9</v>
      </c>
      <c r="T59" s="30">
        <v>28</v>
      </c>
      <c r="U59" s="22">
        <f>COUNTIFS(U90:U189, "=0",$B$90:$B$189, "=Inform 7")</f>
        <v>9</v>
      </c>
      <c r="V59" s="30">
        <v>32</v>
      </c>
      <c r="W59" s="22">
        <f>COUNTIFS(W90:W189, "=0",$B$90:$B$189, "=Inform 7")</f>
        <v>7</v>
      </c>
    </row>
    <row r="60" spans="1:23" ht="20" x14ac:dyDescent="0.2">
      <c r="A60" s="3" t="s">
        <v>19</v>
      </c>
      <c r="B60" s="4">
        <v>0</v>
      </c>
      <c r="C60" s="1">
        <v>2009</v>
      </c>
      <c r="D60" s="4">
        <v>0</v>
      </c>
      <c r="E60" s="22">
        <f>COUNTIFS(E90:E189, "=0",$B$90:$B$189, "=Twine")</f>
        <v>9</v>
      </c>
      <c r="F60" s="22">
        <v>4</v>
      </c>
      <c r="G60" s="22">
        <f>COUNTIFS(G90:G189, "=0",$B$90:$B$189, "=Twine")</f>
        <v>9</v>
      </c>
      <c r="H60" s="4">
        <v>8</v>
      </c>
      <c r="I60" s="22">
        <f>COUNTIFS(I90:I189, "=0",$B$90:$B$189, "=Twine")</f>
        <v>0</v>
      </c>
      <c r="K60" s="4">
        <v>12</v>
      </c>
      <c r="L60" s="22">
        <f>COUNTIFS(L90:L189, "=0",$B$90:$B$189, "=Twine")</f>
        <v>1</v>
      </c>
      <c r="M60" s="30">
        <v>16</v>
      </c>
      <c r="N60" s="22">
        <f>COUNTIFS(N90:N189, "=0",$B$90:$B$189, "=Twine")</f>
        <v>0</v>
      </c>
      <c r="O60" s="30">
        <v>20</v>
      </c>
      <c r="P60" s="22">
        <f>COUNTIFS(P90:P189, "=0",$B$90:$B$189, "=Twine")</f>
        <v>8</v>
      </c>
      <c r="R60" s="4">
        <v>24</v>
      </c>
      <c r="S60" s="22">
        <f>COUNTIFS(S90:S189, "=0",$B$90:$B$189, "=Twine")</f>
        <v>9</v>
      </c>
      <c r="T60" s="30">
        <v>28</v>
      </c>
      <c r="U60" s="22">
        <f>COUNTIFS(U90:U189, "=0",$B$90:$B$189, "=Twine")</f>
        <v>0</v>
      </c>
      <c r="V60" s="30">
        <v>32</v>
      </c>
      <c r="W60" s="22">
        <f>COUNTIFS(W90:W189, "=0",$B$90:$B$189, "=Twine")</f>
        <v>8</v>
      </c>
    </row>
    <row r="61" spans="1:23" ht="20" x14ac:dyDescent="0.2">
      <c r="A61" s="3" t="s">
        <v>46</v>
      </c>
      <c r="B61" s="4">
        <v>3</v>
      </c>
      <c r="C61" s="1">
        <v>2010</v>
      </c>
      <c r="D61" s="4">
        <v>0</v>
      </c>
      <c r="E61" s="22">
        <f>COUNTIFS(E90:E189, "=0",$B$90:$B$189, "=ChoiceScript")</f>
        <v>9</v>
      </c>
      <c r="F61" s="22">
        <v>4</v>
      </c>
      <c r="G61" s="22">
        <f>COUNTIFS(G90:G189, "=0",$B$90:$B$189, "=ChoiceScript")</f>
        <v>9</v>
      </c>
      <c r="H61" s="4">
        <v>8</v>
      </c>
      <c r="I61" s="22">
        <f>COUNTIFS(I90:I189, "=0",$B$90:$B$189, "=ChoiceScript")</f>
        <v>0</v>
      </c>
      <c r="K61" s="4">
        <v>12</v>
      </c>
      <c r="L61" s="22">
        <f>COUNTIFS(L90:L189, "=0",$B$90:$B$189, "=ChoiceScript")</f>
        <v>0</v>
      </c>
      <c r="M61" s="30">
        <v>16</v>
      </c>
      <c r="N61" s="22">
        <f>COUNTIFS(N90:N189, "=0",$B$90:$B$189, "=ChoiceScript")</f>
        <v>0</v>
      </c>
      <c r="O61" s="30">
        <v>20</v>
      </c>
      <c r="P61" s="22">
        <f>COUNTIFS(P90:P189, "=0",$B$90:$B$189, "=ChoiceScript")</f>
        <v>9</v>
      </c>
      <c r="R61" s="4">
        <v>24</v>
      </c>
      <c r="S61" s="22">
        <f>COUNTIFS(S90:S189, "=0",$B$90:$B$189, "=ChoiceScript")</f>
        <v>9</v>
      </c>
      <c r="T61" s="30">
        <v>28</v>
      </c>
      <c r="U61" s="22">
        <f>COUNTIFS(U90:U189, "=0",$B$90:$B$189, "=ChoiceScript")</f>
        <v>0</v>
      </c>
      <c r="V61" s="30">
        <v>32</v>
      </c>
      <c r="W61" s="22">
        <f>COUNTIFS(W90:W189, "=0",$B$90:$B$189, "=ChoiceScript")</f>
        <v>1</v>
      </c>
    </row>
    <row r="62" spans="1:23" ht="20" x14ac:dyDescent="0.2">
      <c r="A62" s="3" t="s">
        <v>24</v>
      </c>
      <c r="B62" s="4">
        <v>6</v>
      </c>
      <c r="C62" s="1">
        <v>2012</v>
      </c>
      <c r="D62" s="4">
        <v>0</v>
      </c>
      <c r="E62" s="22">
        <f>COUNTIFS(E90:E189, "=0",$B$90:$B$189, "=inklewriter")</f>
        <v>0</v>
      </c>
      <c r="F62" s="22">
        <v>4</v>
      </c>
      <c r="G62" s="22">
        <f>COUNTIFS(G90:G189, "=0",$B$90:$B$189, "=inklewriter")</f>
        <v>0</v>
      </c>
      <c r="H62" s="4">
        <v>8</v>
      </c>
      <c r="I62" s="22">
        <f>COUNTIFS(I90:I189, "=0",$B$90:$B$189, "=inklewriter")</f>
        <v>0</v>
      </c>
      <c r="K62" s="4">
        <v>12</v>
      </c>
      <c r="L62" s="22">
        <f>COUNTIFS(L90:L189, "=0",$B$90:$B$189, "=inklewriter")</f>
        <v>0</v>
      </c>
      <c r="M62" s="30">
        <v>16</v>
      </c>
      <c r="N62" s="22">
        <f>COUNTIFS(N90:N189, "=0",$B$90:$B$189, "=inklewriter")</f>
        <v>0</v>
      </c>
      <c r="O62" s="30">
        <v>20</v>
      </c>
      <c r="P62" s="22">
        <f>COUNTIFS(P90:P189, "=0",$B$90:$B$189, "=inklewriter")</f>
        <v>7</v>
      </c>
      <c r="R62" s="4">
        <v>24</v>
      </c>
      <c r="S62" s="22">
        <f>COUNTIFS(S90:S189, "=0",$B$90:$B$189, "=inklewriter")</f>
        <v>9</v>
      </c>
      <c r="T62" s="30">
        <v>28</v>
      </c>
      <c r="U62" s="22">
        <f>COUNTIFS(U90:U189, "=0",$B$90:$B$189, "=inklewriter")</f>
        <v>7</v>
      </c>
      <c r="V62" s="30">
        <v>32</v>
      </c>
      <c r="W62" s="22">
        <f>COUNTIFS(W90:W189, "=0",$B$90:$B$189, "=inklewriter")</f>
        <v>7</v>
      </c>
    </row>
    <row r="63" spans="1:23" ht="20" x14ac:dyDescent="0.2">
      <c r="A63" s="3" t="s">
        <v>48</v>
      </c>
      <c r="B63" s="4">
        <v>7</v>
      </c>
      <c r="C63" s="1">
        <v>2012</v>
      </c>
      <c r="D63" s="4">
        <v>0</v>
      </c>
      <c r="E63" s="22">
        <f>COUNTIFS(E90:E189, "=0",$B$90:$B$189, "=Storynexus")</f>
        <v>0</v>
      </c>
      <c r="F63" s="22">
        <v>4</v>
      </c>
      <c r="G63" s="22">
        <f>COUNTIFS(G90:G189, "=0",$B$90:$B$189, "=Storynexus")</f>
        <v>7</v>
      </c>
      <c r="H63" s="4">
        <v>8</v>
      </c>
      <c r="I63" s="22">
        <f>COUNTIFS(I90:I189, "=0",$B$90:$B$189, "=Storynexus")</f>
        <v>0</v>
      </c>
      <c r="K63" s="4">
        <v>12</v>
      </c>
      <c r="L63" s="22">
        <f>COUNTIFS(L90:L189, "=0",$B$90:$B$189, "=Storynexus")</f>
        <v>0</v>
      </c>
      <c r="M63" s="30">
        <v>16</v>
      </c>
      <c r="N63" s="22">
        <f>COUNTIFS(N90:N189, "=0",$B$90:$B$189, "=Storynexus")</f>
        <v>0</v>
      </c>
      <c r="O63" s="30">
        <v>20</v>
      </c>
      <c r="P63" s="22">
        <f>COUNTIFS(P90:P189, "=0",$B$90:$B$189, "=Storynexus")</f>
        <v>7</v>
      </c>
      <c r="R63" s="4">
        <v>24</v>
      </c>
      <c r="S63" s="22">
        <f>COUNTIFS(S90:S189, "=0",$B$90:$B$189, "=Storynexus")</f>
        <v>9</v>
      </c>
      <c r="T63" s="30">
        <v>28</v>
      </c>
      <c r="U63" s="22">
        <f>COUNTIFS(U90:U189, "=0",$B$90:$B$189, "=Storynexus")</f>
        <v>7</v>
      </c>
      <c r="V63" s="30">
        <v>32</v>
      </c>
      <c r="W63" s="22">
        <f>COUNTIFS(W90:W189, "=0",$B$90:$B$189, "=Storynexus")</f>
        <v>7</v>
      </c>
    </row>
    <row r="64" spans="1:23" ht="20" x14ac:dyDescent="0.2">
      <c r="A64" s="3" t="s">
        <v>27</v>
      </c>
      <c r="B64" s="4">
        <v>10</v>
      </c>
      <c r="D64" s="4">
        <v>0</v>
      </c>
      <c r="E64" s="22">
        <f>COUNTIFS(E90:E189, "=0",$B$90:$B$189, "=Others")</f>
        <v>0</v>
      </c>
      <c r="F64" s="22">
        <v>4</v>
      </c>
      <c r="G64" s="22">
        <f>COUNTIFS(G90:G189, "=0",$B$90:$B$189, "=Others")</f>
        <v>2</v>
      </c>
      <c r="H64" s="4">
        <v>8</v>
      </c>
      <c r="I64" s="22">
        <f>COUNTIFS(I90:I189, "=0",$B$90:$B$189, "=Others")</f>
        <v>0</v>
      </c>
      <c r="K64" s="4">
        <v>12</v>
      </c>
      <c r="L64" s="22">
        <f>COUNTIFS(L90:L189, "=0",$B$90:$B$189, "=Others")</f>
        <v>0</v>
      </c>
      <c r="M64" s="30">
        <v>16</v>
      </c>
      <c r="N64" s="22">
        <f>COUNTIFS(N90:N189, "=0",$B$90:$B$189, "=Others")</f>
        <v>0</v>
      </c>
      <c r="O64" s="30">
        <v>20</v>
      </c>
      <c r="P64" s="22">
        <f>COUNTIFS(P90:P189, "=0",$B$90:$B$189, "=Others")</f>
        <v>5</v>
      </c>
      <c r="R64" s="4">
        <v>24</v>
      </c>
      <c r="S64" s="22">
        <f>COUNTIFS(S90:S189, "=0",$B$90:$B$189, "=Others")</f>
        <v>9</v>
      </c>
      <c r="T64" s="30">
        <v>28</v>
      </c>
      <c r="U64" s="22">
        <f>COUNTIFS(U90:U189, "=0",$B$90:$B$189, "=Others")</f>
        <v>8</v>
      </c>
      <c r="V64" s="30">
        <v>32</v>
      </c>
      <c r="W64" s="22">
        <f>COUNTIFS(W90:W189, "=0",$B$90:$B$189, "=Others")</f>
        <v>3</v>
      </c>
    </row>
    <row r="65" spans="1:23" ht="20" x14ac:dyDescent="0.2">
      <c r="A65" s="5" t="s">
        <v>49</v>
      </c>
      <c r="B65" s="5">
        <v>5</v>
      </c>
      <c r="C65" s="1">
        <v>1988</v>
      </c>
      <c r="D65" s="5">
        <v>1</v>
      </c>
      <c r="E65" s="23">
        <f>COUNTIFS(E90:E189, "=1",$B$90:$B$189, "=Text Adventure Development System")</f>
        <v>0</v>
      </c>
      <c r="F65" s="23">
        <v>5</v>
      </c>
      <c r="G65" s="23">
        <f>COUNTIFS(G90:G189, "=1",$B$90:$B$189, "=Text Adventure Development System")</f>
        <v>0</v>
      </c>
      <c r="H65" s="5">
        <v>9</v>
      </c>
      <c r="I65" s="23">
        <f>COUNTIFS(I90:I189, "=1",$B$90:$B$189, "=Text Adventure Development System")</f>
        <v>9</v>
      </c>
      <c r="K65" s="5">
        <v>13</v>
      </c>
      <c r="L65" s="23">
        <f>COUNTIFS(L90:L189, "=1",$B$90:$B$189, "=Text Adventure Development System")</f>
        <v>8</v>
      </c>
      <c r="M65" s="31">
        <v>17</v>
      </c>
      <c r="N65" s="23">
        <f>COUNTIFS(N90:N189, "=1",$B$90:$B$189, "=Text Adventure Development System")</f>
        <v>0</v>
      </c>
      <c r="O65" s="31">
        <v>21</v>
      </c>
      <c r="P65" s="23">
        <f>COUNTIFS(P90:P189, "=1",$B$90:$B$189, "=Text Adventure Development System")</f>
        <v>0</v>
      </c>
      <c r="R65" s="5">
        <v>25</v>
      </c>
      <c r="S65" s="23">
        <f>COUNTIFS(S90:S189, "=1",$B$90:$B$189, "=Text Adventure Development System")</f>
        <v>0</v>
      </c>
      <c r="T65" s="31">
        <v>29</v>
      </c>
      <c r="U65" s="23">
        <f>COUNTIFS(U90:U189, "=1",$B$90:$B$189, "=Text Adventure Development System")</f>
        <v>0</v>
      </c>
      <c r="V65" s="31">
        <v>33</v>
      </c>
      <c r="W65" s="23">
        <f>COUNTIFS(W90:W189, "=1",$B$90:$B$189, "=Text Adventure Development System")</f>
        <v>0</v>
      </c>
    </row>
    <row r="66" spans="1:23" ht="20" x14ac:dyDescent="0.2">
      <c r="A66" s="5" t="s">
        <v>22</v>
      </c>
      <c r="B66" s="5">
        <v>4</v>
      </c>
      <c r="C66" s="1">
        <v>1998</v>
      </c>
      <c r="D66" s="5">
        <v>1</v>
      </c>
      <c r="E66" s="23">
        <f>COUNTIFS(E90:E189, "=1",$B$90:$B$189, "=Quest")</f>
        <v>9</v>
      </c>
      <c r="F66" s="23">
        <v>5</v>
      </c>
      <c r="G66" s="23">
        <f>COUNTIFS(G90:G189, "=1",$B$90:$B$189, "=Quest")</f>
        <v>9</v>
      </c>
      <c r="H66" s="5">
        <v>9</v>
      </c>
      <c r="I66" s="23">
        <f>COUNTIFS(I90:I189, "=1",$B$90:$B$189, "=Quest")</f>
        <v>9</v>
      </c>
      <c r="K66" s="5">
        <v>13</v>
      </c>
      <c r="L66" s="23">
        <f>COUNTIFS(L90:L189, "=1",$B$90:$B$189, "=Quest")</f>
        <v>9</v>
      </c>
      <c r="M66" s="31">
        <v>17</v>
      </c>
      <c r="N66" s="23">
        <f>COUNTIFS(N90:N189, "=1",$B$90:$B$189, "=Quest")</f>
        <v>0</v>
      </c>
      <c r="O66" s="31">
        <v>21</v>
      </c>
      <c r="P66" s="23">
        <f>COUNTIFS(P90:P189, "=1",$B$90:$B$189, "=Quest")</f>
        <v>0</v>
      </c>
      <c r="R66" s="5">
        <v>25</v>
      </c>
      <c r="S66" s="23">
        <f>COUNTIFS(S90:S189, "=1",$B$90:$B$189, "=Quest")</f>
        <v>0</v>
      </c>
      <c r="T66" s="31">
        <v>29</v>
      </c>
      <c r="U66" s="23">
        <f>COUNTIFS(U90:U189, "=1",$B$90:$B$189, "=Quest")</f>
        <v>0</v>
      </c>
      <c r="V66" s="31">
        <v>33</v>
      </c>
      <c r="W66" s="23">
        <f>COUNTIFS(W90:W189, "=1",$B$90:$B$189, "=Quest")</f>
        <v>0</v>
      </c>
    </row>
    <row r="67" spans="1:23" ht="20" x14ac:dyDescent="0.2">
      <c r="A67" s="5" t="s">
        <v>47</v>
      </c>
      <c r="B67" s="5">
        <v>9</v>
      </c>
      <c r="C67" s="1">
        <v>1999</v>
      </c>
      <c r="D67" s="5">
        <v>1</v>
      </c>
      <c r="E67" s="23">
        <f>COUNTIFS(E90:E189, "=1",$B$90:$B$189, "=Adrift")</f>
        <v>9</v>
      </c>
      <c r="F67" s="23">
        <v>5</v>
      </c>
      <c r="G67" s="23">
        <f>COUNTIFS(G90:G189, "=1",$B$90:$B$189, "=Adrift")</f>
        <v>0</v>
      </c>
      <c r="H67" s="5">
        <v>9</v>
      </c>
      <c r="I67" s="23">
        <f>COUNTIFS(I90:I189, "=1",$B$90:$B$189, "=Adrift")</f>
        <v>8</v>
      </c>
      <c r="K67" s="5">
        <v>13</v>
      </c>
      <c r="L67" s="23">
        <f>COUNTIFS(L90:L189, "=1",$B$90:$B$189, "=Adrift")</f>
        <v>8</v>
      </c>
      <c r="M67" s="31">
        <v>17</v>
      </c>
      <c r="N67" s="23">
        <f>COUNTIFS(N90:N189, "=1",$B$90:$B$189, "=Adrift")</f>
        <v>0</v>
      </c>
      <c r="O67" s="31">
        <v>21</v>
      </c>
      <c r="P67" s="23">
        <f>COUNTIFS(P90:P189, "=1",$B$90:$B$189, "=Adrift")</f>
        <v>0</v>
      </c>
      <c r="R67" s="5">
        <v>25</v>
      </c>
      <c r="S67" s="23">
        <f>COUNTIFS(S90:S189, "=1",$B$90:$B$189, "=Adrift")</f>
        <v>0</v>
      </c>
      <c r="T67" s="31">
        <v>29</v>
      </c>
      <c r="U67" s="23">
        <f>COUNTIFS(U90:U189, "=1",$B$90:$B$189, "=Adrift")</f>
        <v>0</v>
      </c>
      <c r="V67" s="31">
        <v>33</v>
      </c>
      <c r="W67" s="23">
        <f>COUNTIFS(W90:W189, "=1",$B$90:$B$189, "=Adrift")</f>
        <v>0</v>
      </c>
    </row>
    <row r="68" spans="1:23" ht="20" x14ac:dyDescent="0.2">
      <c r="A68" s="5" t="s">
        <v>103</v>
      </c>
      <c r="B68" s="5">
        <v>1</v>
      </c>
      <c r="C68" s="1">
        <v>2004</v>
      </c>
      <c r="D68" s="5">
        <v>1</v>
      </c>
      <c r="E68" s="23">
        <f>COUNTIFS(E90:E189, "=1",$B$90:$B$189, "=Ren'Py")</f>
        <v>9</v>
      </c>
      <c r="F68" s="23">
        <v>5</v>
      </c>
      <c r="G68" s="23">
        <f>COUNTIFS(G90:G189, "=1",$B$90:$B$189, "=Ren'Py")</f>
        <v>6</v>
      </c>
      <c r="H68" s="5">
        <v>9</v>
      </c>
      <c r="I68" s="23">
        <f>COUNTIFS(I90:I189, "=1",$B$90:$B$189, "=Ren'Py")</f>
        <v>8</v>
      </c>
      <c r="K68" s="5">
        <v>13</v>
      </c>
      <c r="L68" s="23">
        <f>COUNTIFS(L90:L189, "=1",$B$90:$B$189, "=Ren'Py")</f>
        <v>9</v>
      </c>
      <c r="M68" s="31">
        <v>17</v>
      </c>
      <c r="N68" s="23">
        <f>COUNTIFS(N90:N189, "=1",$B$90:$B$189, "=Ren'Py")</f>
        <v>0</v>
      </c>
      <c r="O68" s="31">
        <v>21</v>
      </c>
      <c r="P68" s="23">
        <f>COUNTIFS(P90:P189, "=1",$B$90:$B$189, "=Ren'Py")</f>
        <v>1</v>
      </c>
      <c r="R68" s="5">
        <v>25</v>
      </c>
      <c r="S68" s="23">
        <f>COUNTIFS(S90:S189, "=1",$B$90:$B$189, "=Ren'Py")</f>
        <v>0</v>
      </c>
      <c r="T68" s="31">
        <v>29</v>
      </c>
      <c r="U68" s="23">
        <f>COUNTIFS(U90:U189, "=1",$B$90:$B$189, "=Ren'Py")</f>
        <v>0</v>
      </c>
      <c r="V68" s="31">
        <v>33</v>
      </c>
      <c r="W68" s="23">
        <f>COUNTIFS(W90:W189, "=1",$B$90:$B$189, "=Ren'Py")</f>
        <v>4</v>
      </c>
    </row>
    <row r="69" spans="1:23" ht="20" x14ac:dyDescent="0.2">
      <c r="A69" s="5" t="s">
        <v>26</v>
      </c>
      <c r="B69" s="5">
        <v>8</v>
      </c>
      <c r="C69" s="1">
        <v>2005</v>
      </c>
      <c r="D69" s="5">
        <v>1</v>
      </c>
      <c r="E69" s="23">
        <f>COUNTIFS(E90:E189, "=1",$B$90:$B$189, "=Unity")</f>
        <v>9</v>
      </c>
      <c r="F69" s="23">
        <v>5</v>
      </c>
      <c r="G69" s="23">
        <f>COUNTIFS(G90:G189, "=1",$B$90:$B$189, "=Unity")</f>
        <v>9</v>
      </c>
      <c r="H69" s="5">
        <v>9</v>
      </c>
      <c r="I69" s="23">
        <f>COUNTIFS(I90:I189, "=1",$B$90:$B$189, "=Unity")</f>
        <v>9</v>
      </c>
      <c r="K69" s="5">
        <v>13</v>
      </c>
      <c r="L69" s="23">
        <f>COUNTIFS(L90:L189, "=1",$B$90:$B$189, "=Unity")</f>
        <v>8</v>
      </c>
      <c r="M69" s="31">
        <v>17</v>
      </c>
      <c r="N69" s="23">
        <f>COUNTIFS(N90:N189, "=1",$B$90:$B$189, "=Unity")</f>
        <v>0</v>
      </c>
      <c r="O69" s="31">
        <v>21</v>
      </c>
      <c r="P69" s="23">
        <f>COUNTIFS(P90:P189, "=1",$B$90:$B$189, "=Unity")</f>
        <v>0</v>
      </c>
      <c r="R69" s="5">
        <v>25</v>
      </c>
      <c r="S69" s="23">
        <f>COUNTIFS(S90:S189, "=1",$B$90:$B$189, "=Unity")</f>
        <v>0</v>
      </c>
      <c r="T69" s="31">
        <v>29</v>
      </c>
      <c r="U69" s="23">
        <f>COUNTIFS(U90:U189, "=1",$B$90:$B$189, "=Unity")</f>
        <v>0</v>
      </c>
      <c r="V69" s="31">
        <v>33</v>
      </c>
      <c r="W69" s="23">
        <f>COUNTIFS(W90:W189, "=1",$B$90:$B$189, "=Unity")</f>
        <v>2</v>
      </c>
    </row>
    <row r="70" spans="1:23" ht="20" x14ac:dyDescent="0.2">
      <c r="A70" s="5" t="s">
        <v>104</v>
      </c>
      <c r="B70" s="5">
        <v>2</v>
      </c>
      <c r="C70" s="1">
        <v>2006</v>
      </c>
      <c r="D70" s="5">
        <v>1</v>
      </c>
      <c r="E70" s="23">
        <f>COUNTIFS(E90:E189, "=1",$B$90:$B$189, "=Inform 7")</f>
        <v>0</v>
      </c>
      <c r="F70" s="23">
        <v>5</v>
      </c>
      <c r="G70" s="23">
        <f>COUNTIFS(G90:G189, "=1",$B$90:$B$189, "=Inform 7")</f>
        <v>0</v>
      </c>
      <c r="H70" s="5">
        <v>9</v>
      </c>
      <c r="I70" s="23">
        <f>COUNTIFS(I90:I189, "=1",$B$90:$B$189, "=Inform 7")</f>
        <v>8</v>
      </c>
      <c r="K70" s="5">
        <v>13</v>
      </c>
      <c r="L70" s="23">
        <f>COUNTIFS(L90:L189, "=1",$B$90:$B$189, "=Inform 7")</f>
        <v>6</v>
      </c>
      <c r="M70" s="31">
        <v>17</v>
      </c>
      <c r="N70" s="23">
        <f>COUNTIFS(N90:N189, "=1",$B$90:$B$189, "=Inform 7")</f>
        <v>0</v>
      </c>
      <c r="O70" s="31">
        <v>21</v>
      </c>
      <c r="P70" s="23">
        <f>COUNTIFS(P90:P189, "=1",$B$90:$B$189, "=Inform 7")</f>
        <v>1</v>
      </c>
      <c r="R70" s="5">
        <v>25</v>
      </c>
      <c r="S70" s="23">
        <f>COUNTIFS(S90:S189, "=1",$B$90:$B$189, "=Inform 7")</f>
        <v>0</v>
      </c>
      <c r="T70" s="31">
        <v>29</v>
      </c>
      <c r="U70" s="23">
        <f>COUNTIFS(U90:U189, "=1",$B$90:$B$189, "=Inform 7")</f>
        <v>0</v>
      </c>
      <c r="V70" s="31">
        <v>33</v>
      </c>
      <c r="W70" s="23">
        <f>COUNTIFS(W90:W189, "=1",$B$90:$B$189, "=Inform 7")</f>
        <v>2</v>
      </c>
    </row>
    <row r="71" spans="1:23" ht="20" x14ac:dyDescent="0.2">
      <c r="A71" s="5" t="s">
        <v>19</v>
      </c>
      <c r="B71" s="5">
        <v>0</v>
      </c>
      <c r="C71" s="1">
        <v>2009</v>
      </c>
      <c r="D71" s="5">
        <v>1</v>
      </c>
      <c r="E71" s="23">
        <f>COUNTIFS(E90:E189, "=1",$B$90:$B$189, "=Twine")</f>
        <v>0</v>
      </c>
      <c r="F71" s="23">
        <v>5</v>
      </c>
      <c r="G71" s="23">
        <f>COUNTIFS(G90:G189, "=1",$B$90:$B$189, "=Twine")</f>
        <v>0</v>
      </c>
      <c r="H71" s="5">
        <v>9</v>
      </c>
      <c r="I71" s="23">
        <f>COUNTIFS(I90:I189, "=1",$B$90:$B$189, "=Twine")</f>
        <v>9</v>
      </c>
      <c r="K71" s="5">
        <v>13</v>
      </c>
      <c r="L71" s="23">
        <f>COUNTIFS(L90:L189, "=1",$B$90:$B$189, "=Twine")</f>
        <v>8</v>
      </c>
      <c r="M71" s="31">
        <v>17</v>
      </c>
      <c r="N71" s="23">
        <f>COUNTIFS(N90:N189, "=1",$B$90:$B$189, "=Twine")</f>
        <v>0</v>
      </c>
      <c r="O71" s="31">
        <v>21</v>
      </c>
      <c r="P71" s="23">
        <f>COUNTIFS(P90:P189, "=1",$B$90:$B$189, "=Twine")</f>
        <v>1</v>
      </c>
      <c r="R71" s="5">
        <v>25</v>
      </c>
      <c r="S71" s="23">
        <f>COUNTIFS(S90:S189, "=1",$B$90:$B$189, "=Twine")</f>
        <v>0</v>
      </c>
      <c r="T71" s="31">
        <v>29</v>
      </c>
      <c r="U71" s="23">
        <f>COUNTIFS(U90:U189, "=1",$B$90:$B$189, "=Twine")</f>
        <v>0</v>
      </c>
      <c r="V71" s="31">
        <v>33</v>
      </c>
      <c r="W71" s="23">
        <f>COUNTIFS(W90:W189, "=1",$B$90:$B$189, "=Twine")</f>
        <v>1</v>
      </c>
    </row>
    <row r="72" spans="1:23" ht="20" x14ac:dyDescent="0.2">
      <c r="A72" s="5" t="s">
        <v>214</v>
      </c>
      <c r="B72" s="5">
        <v>3</v>
      </c>
      <c r="C72" s="1">
        <v>2010</v>
      </c>
      <c r="D72" s="5">
        <v>1</v>
      </c>
      <c r="E72" s="23">
        <f>COUNTIFS(E90:E189, "=1",$B$90:$B$189, "=ChoiceScript")</f>
        <v>0</v>
      </c>
      <c r="F72" s="23">
        <v>5</v>
      </c>
      <c r="G72" s="23">
        <f>COUNTIFS(G90:G189, "=1",$B$90:$B$189, "=ChoiceScript")</f>
        <v>0</v>
      </c>
      <c r="H72" s="5">
        <v>9</v>
      </c>
      <c r="I72" s="23">
        <f>COUNTIFS(I90:I189, "=1",$B$90:$B$189, "=ChoiceScript")</f>
        <v>9</v>
      </c>
      <c r="K72" s="5">
        <v>13</v>
      </c>
      <c r="L72" s="23">
        <f>COUNTIFS(L90:L189, "=1",$B$90:$B$189, "=ChoiceScript")</f>
        <v>9</v>
      </c>
      <c r="M72" s="31">
        <v>17</v>
      </c>
      <c r="N72" s="23">
        <f>COUNTIFS(N90:N189, "=1",$B$90:$B$189, "=ChoiceScript")</f>
        <v>0</v>
      </c>
      <c r="O72" s="31">
        <v>21</v>
      </c>
      <c r="P72" s="23">
        <f>COUNTIFS(P90:P189, "=1",$B$90:$B$189, "=ChoiceScript")</f>
        <v>0</v>
      </c>
      <c r="R72" s="5">
        <v>25</v>
      </c>
      <c r="S72" s="23">
        <f>COUNTIFS(S90:S189, "=1",$B$90:$B$189, "=ChoiceScript")</f>
        <v>0</v>
      </c>
      <c r="T72" s="31">
        <v>29</v>
      </c>
      <c r="U72" s="23">
        <f>COUNTIFS(U90:U189, "=1",$B$90:$B$189, "=ChoiceScript")</f>
        <v>0</v>
      </c>
      <c r="V72" s="31">
        <v>33</v>
      </c>
      <c r="W72" s="23">
        <f>COUNTIFS(W90:W189, "=1",$B$90:$B$189, "=ChoiceScript")</f>
        <v>8</v>
      </c>
    </row>
    <row r="73" spans="1:23" ht="20" x14ac:dyDescent="0.2">
      <c r="A73" s="5" t="s">
        <v>105</v>
      </c>
      <c r="B73" s="5">
        <v>6</v>
      </c>
      <c r="C73" s="1">
        <v>2012</v>
      </c>
      <c r="D73" s="5">
        <v>1</v>
      </c>
      <c r="E73" s="23">
        <f>COUNTIFS(E90:E189, "=1",$B$90:$B$189, "=inklewriter")</f>
        <v>9</v>
      </c>
      <c r="F73" s="23">
        <v>5</v>
      </c>
      <c r="G73" s="23">
        <f>COUNTIFS(G90:G189, "=1",$B$90:$B$189, "=inklewriter")</f>
        <v>9</v>
      </c>
      <c r="H73" s="5">
        <v>9</v>
      </c>
      <c r="I73" s="23">
        <f>COUNTIFS(I90:I189, "=1",$B$90:$B$189, "=inklewriter")</f>
        <v>7</v>
      </c>
      <c r="K73" s="5">
        <v>13</v>
      </c>
      <c r="L73" s="23">
        <f>COUNTIFS(L90:L189, "=1",$B$90:$B$189, "=inklewriter")</f>
        <v>9</v>
      </c>
      <c r="M73" s="31">
        <v>17</v>
      </c>
      <c r="N73" s="23">
        <f>COUNTIFS(N90:N189, "=1",$B$90:$B$189, "=inklewriter")</f>
        <v>0</v>
      </c>
      <c r="O73" s="31">
        <v>21</v>
      </c>
      <c r="P73" s="23">
        <f>COUNTIFS(P90:P189, "=1",$B$90:$B$189, "=inklewriter")</f>
        <v>0</v>
      </c>
      <c r="R73" s="5">
        <v>25</v>
      </c>
      <c r="S73" s="23">
        <f>COUNTIFS(S90:S189, "=1",$B$90:$B$189, "=inklewriter")</f>
        <v>0</v>
      </c>
      <c r="T73" s="31">
        <v>29</v>
      </c>
      <c r="U73" s="23">
        <f>COUNTIFS(U90:U189, "=1",$B$90:$B$189, "=inklewriter")</f>
        <v>0</v>
      </c>
      <c r="V73" s="31">
        <v>33</v>
      </c>
      <c r="W73" s="23">
        <f>COUNTIFS(W90:W189, "=1",$B$90:$B$189, "=inklewriter")</f>
        <v>2</v>
      </c>
    </row>
    <row r="74" spans="1:23" ht="20" x14ac:dyDescent="0.2">
      <c r="A74" s="5" t="s">
        <v>106</v>
      </c>
      <c r="B74" s="5">
        <v>7</v>
      </c>
      <c r="C74" s="1">
        <v>2012</v>
      </c>
      <c r="D74" s="5">
        <v>1</v>
      </c>
      <c r="E74" s="23">
        <f>COUNTIFS(E90:E189, "=1",$B$90:$B$189, "=Storynexus")</f>
        <v>9</v>
      </c>
      <c r="F74" s="23">
        <v>5</v>
      </c>
      <c r="G74" s="23">
        <f>COUNTIFS(G90:G189, "=1",$B$90:$B$189, "=Storynexus")</f>
        <v>2</v>
      </c>
      <c r="H74" s="5">
        <v>9</v>
      </c>
      <c r="I74" s="23">
        <f>COUNTIFS(I90:I189, "=1",$B$90:$B$189, "=Storynexus")</f>
        <v>7</v>
      </c>
      <c r="K74" s="5">
        <v>13</v>
      </c>
      <c r="L74" s="23">
        <f>COUNTIFS(L90:L189, "=1",$B$90:$B$189, "=Storynexus")</f>
        <v>8</v>
      </c>
      <c r="M74" s="31">
        <v>17</v>
      </c>
      <c r="N74" s="23">
        <f>COUNTIFS(N90:N189, "=1",$B$90:$B$189, "=Storynexus")</f>
        <v>0</v>
      </c>
      <c r="O74" s="31">
        <v>21</v>
      </c>
      <c r="P74" s="23">
        <f>COUNTIFS(P90:P189, "=1",$B$90:$B$189, "=Storynexus")</f>
        <v>0</v>
      </c>
      <c r="R74" s="5">
        <v>25</v>
      </c>
      <c r="S74" s="23">
        <f>COUNTIFS(S90:S189, "=1",$B$90:$B$189, "=Storynexus")</f>
        <v>0</v>
      </c>
      <c r="T74" s="31">
        <v>29</v>
      </c>
      <c r="U74" s="23">
        <f>COUNTIFS(U90:U189, "=1",$B$90:$B$189, "=Storynexus")</f>
        <v>0</v>
      </c>
      <c r="V74" s="31">
        <v>33</v>
      </c>
      <c r="W74" s="23">
        <f>COUNTIFS(W90:W189, "=1",$B$90:$B$189, "=Storynexus")</f>
        <v>1</v>
      </c>
    </row>
    <row r="75" spans="1:23" ht="20" x14ac:dyDescent="0.2">
      <c r="A75" s="5" t="s">
        <v>27</v>
      </c>
      <c r="B75" s="5">
        <v>10</v>
      </c>
      <c r="D75" s="5">
        <v>1</v>
      </c>
      <c r="E75" s="23">
        <f>COUNTIFS(E90:E189, "=1",$B$90:$B$189, "=Others")</f>
        <v>6</v>
      </c>
      <c r="F75" s="23">
        <v>5</v>
      </c>
      <c r="G75" s="23">
        <f>COUNTIFS(G90:G189, "=1",$B$90:$B$189, "=Others")</f>
        <v>2</v>
      </c>
      <c r="H75" s="5">
        <v>9</v>
      </c>
      <c r="I75" s="23">
        <f>COUNTIFS(I90:I189, "=1",$B$90:$B$189, "=Others")</f>
        <v>7</v>
      </c>
      <c r="K75" s="5">
        <v>13</v>
      </c>
      <c r="L75" s="23">
        <f>COUNTIFS(L90:L189, "=1",$B$90:$B$189, "=Others")</f>
        <v>9</v>
      </c>
      <c r="M75" s="31">
        <v>17</v>
      </c>
      <c r="N75" s="23">
        <f>COUNTIFS(N90:N189, "=1",$B$90:$B$189, "=Others")</f>
        <v>3</v>
      </c>
      <c r="O75" s="31">
        <v>21</v>
      </c>
      <c r="P75" s="23">
        <f>COUNTIFS(P90:P189, "=1",$B$90:$B$189, "=Others")</f>
        <v>1</v>
      </c>
      <c r="R75" s="5">
        <v>25</v>
      </c>
      <c r="S75" s="23">
        <f>COUNTIFS(S90:S189, "=1",$B$90:$B$189, "=Others")</f>
        <v>0</v>
      </c>
      <c r="T75" s="31">
        <v>29</v>
      </c>
      <c r="U75" s="23">
        <f>COUNTIFS(U90:U189, "=1",$B$90:$B$189, "=Others")</f>
        <v>0</v>
      </c>
      <c r="V75" s="31">
        <v>33</v>
      </c>
      <c r="W75" s="23">
        <f>COUNTIFS(W90:W189, "=1",$B$90:$B$189, "=Others")</f>
        <v>4</v>
      </c>
    </row>
    <row r="76" spans="1:23" ht="20" x14ac:dyDescent="0.2">
      <c r="A76" s="3" t="s">
        <v>49</v>
      </c>
      <c r="B76" s="3">
        <v>5</v>
      </c>
      <c r="C76" s="1">
        <v>1988</v>
      </c>
      <c r="D76" s="3">
        <v>2</v>
      </c>
      <c r="E76" s="24">
        <f>COUNTIFS(E90:E189, "=2",$B$90:$B$189, "=Text Adventure Development System")</f>
        <v>0</v>
      </c>
      <c r="F76" s="24">
        <v>6</v>
      </c>
      <c r="G76" s="24">
        <f>COUNTIFS(G90:G189, "=2",$B$90:$B$189, "=Text Adventure Development System")</f>
        <v>0</v>
      </c>
      <c r="H76" s="3">
        <v>10</v>
      </c>
      <c r="I76" s="24">
        <f>COUNTIFS(I90:I189, "=2",$B$90:$B$189, "=Text Adventure Development System")</f>
        <v>0</v>
      </c>
      <c r="K76" s="3">
        <v>14</v>
      </c>
      <c r="L76" s="24">
        <f>COUNTIFS(L90:L189, "=2",$B$90:$B$189, "=Text Adventure Development System")</f>
        <v>0</v>
      </c>
      <c r="M76" s="32">
        <v>18</v>
      </c>
      <c r="N76" s="24">
        <f>COUNTIFS(N90:N189, "=2",$B$90:$B$189, "=Text Adventure Development System")</f>
        <v>9</v>
      </c>
      <c r="O76" s="32">
        <v>22</v>
      </c>
      <c r="P76" s="24">
        <f>COUNTIFS(P90:P189, "=2",$B$90:$B$189, "=Text Adventure Development System")</f>
        <v>0</v>
      </c>
      <c r="R76" s="3">
        <v>26</v>
      </c>
      <c r="S76" s="24">
        <f>COUNTIFS(S90:S189, "=2",$B$90:$B$189, "=Text Adventure Development System")</f>
        <v>0</v>
      </c>
      <c r="T76" s="32">
        <v>30</v>
      </c>
      <c r="U76" s="24">
        <f>COUNTIFS(U90:U189, "=2",$B$90:$B$189, "=Text Adventure Development System")</f>
        <v>0</v>
      </c>
      <c r="V76" s="32">
        <v>34</v>
      </c>
      <c r="W76" s="24">
        <f>COUNTIFS(W90:W189, "=2",$B$90:$B$189, "=Text Adventure Development System")</f>
        <v>0</v>
      </c>
    </row>
    <row r="77" spans="1:23" ht="20" x14ac:dyDescent="0.2">
      <c r="A77" s="3" t="s">
        <v>22</v>
      </c>
      <c r="B77" s="3">
        <v>4</v>
      </c>
      <c r="C77" s="1">
        <v>1998</v>
      </c>
      <c r="D77" s="3">
        <v>2</v>
      </c>
      <c r="E77" s="24">
        <f>COUNTIFS(E90:E189, "=2",$B$90:$B$189, "=Quest")</f>
        <v>0</v>
      </c>
      <c r="F77" s="24">
        <v>6</v>
      </c>
      <c r="G77" s="24">
        <f>COUNTIFS(G90:G189, "=2",$B$90:$B$189, "=Quest")</f>
        <v>0</v>
      </c>
      <c r="H77" s="3">
        <v>10</v>
      </c>
      <c r="I77" s="24">
        <f>COUNTIFS(I90:I189, "=2",$B$90:$B$189, "=Quest")</f>
        <v>0</v>
      </c>
      <c r="K77" s="3">
        <v>14</v>
      </c>
      <c r="L77" s="24">
        <f>COUNTIFS(L90:L189, "=2",$B$90:$B$189, "=Quest")</f>
        <v>0</v>
      </c>
      <c r="M77" s="32">
        <v>18</v>
      </c>
      <c r="N77" s="24">
        <f>COUNTIFS(N90:N189, "=2",$B$90:$B$189, "=Quest")</f>
        <v>9</v>
      </c>
      <c r="O77" s="32">
        <v>22</v>
      </c>
      <c r="P77" s="24">
        <f>COUNTIFS(P90:P189, "=2",$B$90:$B$189, "=Quest")</f>
        <v>0</v>
      </c>
      <c r="R77" s="3">
        <v>26</v>
      </c>
      <c r="S77" s="24">
        <f>COUNTIFS(S90:S189, "=2",$B$90:$B$189, "=Quest")</f>
        <v>0</v>
      </c>
      <c r="T77" s="32">
        <v>30</v>
      </c>
      <c r="U77" s="24">
        <f>COUNTIFS(U90:U189, "=2",$B$90:$B$189, "=Quest")</f>
        <v>0</v>
      </c>
      <c r="V77" s="32">
        <v>34</v>
      </c>
      <c r="W77" s="24">
        <f>COUNTIFS(W90:W189, "=2",$B$90:$B$189, "=Quest")</f>
        <v>0</v>
      </c>
    </row>
    <row r="78" spans="1:23" ht="20" x14ac:dyDescent="0.2">
      <c r="A78" s="3" t="s">
        <v>47</v>
      </c>
      <c r="B78" s="3">
        <v>9</v>
      </c>
      <c r="C78" s="1">
        <v>1999</v>
      </c>
      <c r="D78" s="3">
        <v>2</v>
      </c>
      <c r="E78" s="24">
        <f>COUNTIFS(E90:E189, "=2",$B$90:$B$189, "=Adrift")</f>
        <v>0</v>
      </c>
      <c r="F78" s="24">
        <v>6</v>
      </c>
      <c r="G78" s="24">
        <f>COUNTIFS(G90:G189, "=2",$B$90:$B$189, "=Adrift")</f>
        <v>0</v>
      </c>
      <c r="H78" s="3">
        <v>10</v>
      </c>
      <c r="I78" s="24">
        <f>COUNTIFS(I90:I189, "=2",$B$90:$B$189, "=Adrift")</f>
        <v>1</v>
      </c>
      <c r="K78" s="3">
        <v>14</v>
      </c>
      <c r="L78" s="24">
        <f>COUNTIFS(L90:L189, "=2",$B$90:$B$189, "=Adrift")</f>
        <v>0</v>
      </c>
      <c r="M78" s="32">
        <v>18</v>
      </c>
      <c r="N78" s="24">
        <f>COUNTIFS(N90:N189, "=2",$B$90:$B$189, "=Adrift")</f>
        <v>9</v>
      </c>
      <c r="O78" s="32">
        <v>22</v>
      </c>
      <c r="P78" s="24">
        <f>COUNTIFS(P90:P189, "=2",$B$90:$B$189, "=Adrift")</f>
        <v>2</v>
      </c>
      <c r="R78" s="3">
        <v>26</v>
      </c>
      <c r="S78" s="24">
        <f>COUNTIFS(S90:S189, "=2",$B$90:$B$189, "=Adrift")</f>
        <v>0</v>
      </c>
      <c r="T78" s="32">
        <v>30</v>
      </c>
      <c r="U78" s="24">
        <f>COUNTIFS(U90:U189, "=2",$B$90:$B$189, "=Adrift")</f>
        <v>0</v>
      </c>
      <c r="V78" s="32">
        <v>34</v>
      </c>
      <c r="W78" s="24">
        <f>COUNTIFS(W90:W189, "=2",$B$90:$B$189, "=Adrift")</f>
        <v>0</v>
      </c>
    </row>
    <row r="79" spans="1:23" ht="20" x14ac:dyDescent="0.2">
      <c r="A79" s="3" t="s">
        <v>103</v>
      </c>
      <c r="B79" s="3">
        <v>1</v>
      </c>
      <c r="C79" s="1">
        <v>2004</v>
      </c>
      <c r="D79" s="3">
        <v>2</v>
      </c>
      <c r="E79" s="24">
        <f>COUNTIFS(E90:E189, "=2",$B$90:$B$189, "=Ren'Py")</f>
        <v>0</v>
      </c>
      <c r="F79" s="24">
        <v>6</v>
      </c>
      <c r="G79" s="24">
        <f>COUNTIFS(G90:G189, "=2",$B$90:$B$189, "=Ren'Py")</f>
        <v>0</v>
      </c>
      <c r="H79" s="3">
        <v>10</v>
      </c>
      <c r="I79" s="24">
        <f>COUNTIFS(I90:I189, "=2",$B$90:$B$189, "=Ren'Py")</f>
        <v>1</v>
      </c>
      <c r="K79" s="3">
        <v>14</v>
      </c>
      <c r="L79" s="24">
        <f>COUNTIFS(L90:L189, "=2",$B$90:$B$189, "=Ren'Py")</f>
        <v>0</v>
      </c>
      <c r="M79" s="32">
        <v>18</v>
      </c>
      <c r="N79" s="24">
        <f>COUNTIFS(N90:N189, "=2",$B$90:$B$189, "=Ren'Py")</f>
        <v>9</v>
      </c>
      <c r="O79" s="32">
        <v>22</v>
      </c>
      <c r="P79" s="24">
        <f>COUNTIFS(P90:P189, "=2",$B$90:$B$189, "=Ren'Py")</f>
        <v>2</v>
      </c>
      <c r="R79" s="3">
        <v>26</v>
      </c>
      <c r="S79" s="24">
        <f>COUNTIFS(S90:S189, "=2",$B$90:$B$189, "=Ren'Py")</f>
        <v>0</v>
      </c>
      <c r="T79" s="32">
        <v>30</v>
      </c>
      <c r="U79" s="24">
        <f>COUNTIFS(U90:U189, "=2",$B$90:$B$189, "=Ren'Py")</f>
        <v>2</v>
      </c>
      <c r="V79" s="32">
        <v>34</v>
      </c>
      <c r="W79" s="24">
        <f>COUNTIFS(W90:W189, "=2",$B$90:$B$189, "=Ren'Py")</f>
        <v>0</v>
      </c>
    </row>
    <row r="80" spans="1:23" ht="20" x14ac:dyDescent="0.2">
      <c r="A80" s="3" t="s">
        <v>26</v>
      </c>
      <c r="B80" s="3">
        <v>8</v>
      </c>
      <c r="C80" s="1">
        <v>2005</v>
      </c>
      <c r="D80" s="3">
        <v>2</v>
      </c>
      <c r="E80" s="24">
        <f>COUNTIFS(E90:E189, "=2",$B$90:$B$189, "=Unity")</f>
        <v>0</v>
      </c>
      <c r="F80" s="24">
        <v>6</v>
      </c>
      <c r="G80" s="24">
        <f>COUNTIFS(G90:G189, "=2",$B$90:$B$189, "=Unity")</f>
        <v>0</v>
      </c>
      <c r="H80" s="3">
        <v>10</v>
      </c>
      <c r="I80" s="24">
        <f>COUNTIFS(I90:I189, "=2",$B$90:$B$189, "=Unity")</f>
        <v>0</v>
      </c>
      <c r="K80" s="3">
        <v>14</v>
      </c>
      <c r="L80" s="24">
        <f>COUNTIFS(L90:L189, "=2",$B$90:$B$189, "=Unity")</f>
        <v>0</v>
      </c>
      <c r="M80" s="32">
        <v>18</v>
      </c>
      <c r="N80" s="24">
        <f>COUNTIFS(N90:N189, "=2",$B$90:$B$189, "=Unity")</f>
        <v>9</v>
      </c>
      <c r="O80" s="32">
        <v>22</v>
      </c>
      <c r="P80" s="24">
        <f>COUNTIFS(P90:P189, "=2",$B$90:$B$189, "=Unity")</f>
        <v>0</v>
      </c>
      <c r="R80" s="3">
        <v>26</v>
      </c>
      <c r="S80" s="24">
        <f>COUNTIFS(S90:S189, "=2",$B$90:$B$189, "=Unity")</f>
        <v>0</v>
      </c>
      <c r="T80" s="32">
        <v>30</v>
      </c>
      <c r="U80" s="24">
        <f>COUNTIFS(U90:U189, "=2",$B$90:$B$189, "=Unity")</f>
        <v>9</v>
      </c>
      <c r="V80" s="32">
        <v>34</v>
      </c>
      <c r="W80" s="24">
        <f>COUNTIFS(W90:W189, "=2",$B$90:$B$189, "=Unity")</f>
        <v>0</v>
      </c>
    </row>
    <row r="81" spans="1:23" ht="20" x14ac:dyDescent="0.2">
      <c r="A81" s="3" t="s">
        <v>104</v>
      </c>
      <c r="B81" s="3">
        <v>2</v>
      </c>
      <c r="C81" s="1">
        <v>2006</v>
      </c>
      <c r="D81" s="3">
        <v>2</v>
      </c>
      <c r="E81" s="24">
        <f>COUNTIFS(E90:E189, "=2",$B$90:$B$189, "=Inform 7")</f>
        <v>0</v>
      </c>
      <c r="F81" s="24">
        <v>6</v>
      </c>
      <c r="G81" s="24">
        <f>COUNTIFS(G90:G189, "=2",$B$90:$B$189, "=Inform 7")</f>
        <v>0</v>
      </c>
      <c r="H81" s="3">
        <v>10</v>
      </c>
      <c r="I81" s="24">
        <f>COUNTIFS(I90:I189, "=2",$B$90:$B$189, "=Inform 7")</f>
        <v>1</v>
      </c>
      <c r="K81" s="3">
        <v>14</v>
      </c>
      <c r="L81" s="24">
        <f>COUNTIFS(L90:L189, "=2",$B$90:$B$189, "=Inform 7")</f>
        <v>0</v>
      </c>
      <c r="M81" s="32">
        <v>18</v>
      </c>
      <c r="N81" s="24">
        <f>COUNTIFS(N90:N189, "=2",$B$90:$B$189, "=Inform 7")</f>
        <v>9</v>
      </c>
      <c r="O81" s="32">
        <v>22</v>
      </c>
      <c r="P81" s="24">
        <f>COUNTIFS(P90:P189, "=2",$B$90:$B$189, "=Inform 7")</f>
        <v>0</v>
      </c>
      <c r="R81" s="3">
        <v>26</v>
      </c>
      <c r="S81" s="24">
        <f>COUNTIFS(S90:S189, "=2",$B$90:$B$189, "=Inform 7")</f>
        <v>0</v>
      </c>
      <c r="T81" s="32">
        <v>30</v>
      </c>
      <c r="U81" s="24">
        <f>COUNTIFS(U90:U189, "=2",$B$90:$B$189, "=Inform 7")</f>
        <v>0</v>
      </c>
      <c r="V81" s="32">
        <v>34</v>
      </c>
      <c r="W81" s="24">
        <f>COUNTIFS(W90:W189, "=2",$B$90:$B$189, "=Inform 7")</f>
        <v>0</v>
      </c>
    </row>
    <row r="82" spans="1:23" ht="20" x14ac:dyDescent="0.2">
      <c r="A82" s="3" t="s">
        <v>19</v>
      </c>
      <c r="B82" s="3">
        <v>0</v>
      </c>
      <c r="C82" s="1">
        <v>2009</v>
      </c>
      <c r="D82" s="3">
        <v>2</v>
      </c>
      <c r="E82" s="24">
        <f>COUNTIFS(E90:E189, "=2",$B$90:$B$189, "=Twine")</f>
        <v>0</v>
      </c>
      <c r="F82" s="24">
        <v>6</v>
      </c>
      <c r="G82" s="24">
        <f>COUNTIFS(G90:G189, "=2",$B$90:$B$189, "=Twine")</f>
        <v>0</v>
      </c>
      <c r="H82" s="3">
        <v>10</v>
      </c>
      <c r="I82" s="24">
        <f>COUNTIFS(I90:I189, "=2",$B$90:$B$189, "=Twine")</f>
        <v>0</v>
      </c>
      <c r="K82" s="3">
        <v>14</v>
      </c>
      <c r="L82" s="24">
        <f>COUNTIFS(L90:L189, "=2",$B$90:$B$189, "=Twine")</f>
        <v>0</v>
      </c>
      <c r="M82" s="32">
        <v>18</v>
      </c>
      <c r="N82" s="24">
        <f>COUNTIFS(N90:N189, "=2",$B$90:$B$189, "=Twine")</f>
        <v>9</v>
      </c>
      <c r="O82" s="32">
        <v>22</v>
      </c>
      <c r="P82" s="24">
        <f>COUNTIFS(P90:P189, "=2",$B$90:$B$189, "=Twine")</f>
        <v>0</v>
      </c>
      <c r="R82" s="3">
        <v>26</v>
      </c>
      <c r="S82" s="24">
        <f>COUNTIFS(S90:S189, "=2",$B$90:$B$189, "=Twine")</f>
        <v>0</v>
      </c>
      <c r="T82" s="32">
        <v>30</v>
      </c>
      <c r="U82" s="24">
        <f>COUNTIFS(U90:U189, "=2",$B$90:$B$189, "=Twine")</f>
        <v>9</v>
      </c>
      <c r="V82" s="32">
        <v>34</v>
      </c>
      <c r="W82" s="24">
        <f>COUNTIFS(W90:W189, "=2",$B$90:$B$189, "=Twine")</f>
        <v>0</v>
      </c>
    </row>
    <row r="83" spans="1:23" ht="20" x14ac:dyDescent="0.2">
      <c r="A83" s="3" t="s">
        <v>214</v>
      </c>
      <c r="B83" s="14">
        <v>3</v>
      </c>
      <c r="C83" s="1">
        <v>2010</v>
      </c>
      <c r="D83" s="14">
        <v>2</v>
      </c>
      <c r="E83" s="24">
        <f>COUNTIFS(E90:E189, "=2",$B$90:$B$189, "=ChoiceScript")</f>
        <v>0</v>
      </c>
      <c r="F83" s="24">
        <v>6</v>
      </c>
      <c r="G83" s="24">
        <f>COUNTIFS(G90:G189, "=2",$B$90:$B$189, "=ChoiceScript")</f>
        <v>0</v>
      </c>
      <c r="H83" s="3">
        <v>10</v>
      </c>
      <c r="I83" s="24">
        <f>COUNTIFS(I90:I189, "=2",$B$90:$B$189, "=ChoiceScript")</f>
        <v>0</v>
      </c>
      <c r="J83" s="17"/>
      <c r="K83" s="3">
        <v>14</v>
      </c>
      <c r="L83" s="24">
        <f>COUNTIFS(L90:L189, "=2",$B$90:$B$189, "=ChoiceScript")</f>
        <v>0</v>
      </c>
      <c r="M83" s="32">
        <v>18</v>
      </c>
      <c r="N83" s="24">
        <f>COUNTIFS(N90:N189, "=2",$B$90:$B$189, "=ChoiceScript")</f>
        <v>9</v>
      </c>
      <c r="O83" s="32">
        <v>22</v>
      </c>
      <c r="P83" s="24">
        <f>COUNTIFS(P90:P189, "=2",$B$90:$B$189, "=ChoiceScript")</f>
        <v>0</v>
      </c>
      <c r="R83" s="3">
        <v>26</v>
      </c>
      <c r="S83" s="24">
        <f>COUNTIFS(S90:S189, "=2",$B$90:$B$189, "=ChoiceScript")</f>
        <v>0</v>
      </c>
      <c r="T83" s="32">
        <v>30</v>
      </c>
      <c r="U83" s="24">
        <f>COUNTIFS(U90:U189, "=2",$B$90:$B$189, "=ChoiceScript")</f>
        <v>9</v>
      </c>
      <c r="V83" s="32">
        <v>34</v>
      </c>
      <c r="W83" s="24">
        <f>COUNTIFS(W90:W189, "=2",$B$90:$B$189, "=ChoiceScript")</f>
        <v>0</v>
      </c>
    </row>
    <row r="84" spans="1:23" ht="20" x14ac:dyDescent="0.2">
      <c r="A84" s="3" t="s">
        <v>105</v>
      </c>
      <c r="B84" s="3">
        <v>6</v>
      </c>
      <c r="C84" s="1">
        <v>2012</v>
      </c>
      <c r="D84" s="3">
        <v>2</v>
      </c>
      <c r="E84" s="24">
        <f>COUNTIFS(E90:E189, "=2",$B$90:$B$189, "=inklewriter")</f>
        <v>0</v>
      </c>
      <c r="F84" s="24">
        <v>6</v>
      </c>
      <c r="G84" s="24">
        <f>COUNTIFS(G90:G189, "=2",$B$90:$B$189, "=inklewriter")</f>
        <v>0</v>
      </c>
      <c r="H84" s="3">
        <v>10</v>
      </c>
      <c r="I84" s="24">
        <f>COUNTIFS(I90:I189, "=2",$B$90:$B$189, "=inklewriter")</f>
        <v>2</v>
      </c>
      <c r="K84" s="3">
        <v>14</v>
      </c>
      <c r="L84" s="24">
        <f>COUNTIFS(L90:L189, "=2",$B$90:$B$189, "=inklewriter")</f>
        <v>0</v>
      </c>
      <c r="M84" s="32">
        <v>18</v>
      </c>
      <c r="N84" s="24">
        <f>COUNTIFS(N90:N189, "=2",$B$90:$B$189, "=inklewriter")</f>
        <v>9</v>
      </c>
      <c r="O84" s="32">
        <v>22</v>
      </c>
      <c r="P84" s="24">
        <f>COUNTIFS(P90:P189, "=2",$B$90:$B$189, "=inklewriter")</f>
        <v>2</v>
      </c>
      <c r="R84" s="3">
        <v>26</v>
      </c>
      <c r="S84" s="24">
        <f>COUNTIFS(S90:S189, "=2",$B$90:$B$189, "=inklewriter")</f>
        <v>0</v>
      </c>
      <c r="T84" s="32">
        <v>30</v>
      </c>
      <c r="U84" s="24">
        <f>COUNTIFS(U90:U189, "=2",$B$90:$B$189, "=inklewriter")</f>
        <v>2</v>
      </c>
      <c r="V84" s="32">
        <v>34</v>
      </c>
      <c r="W84" s="24">
        <f>COUNTIFS(W90:W189, "=2",$B$90:$B$189, "=inklewriter")</f>
        <v>0</v>
      </c>
    </row>
    <row r="85" spans="1:23" ht="20" x14ac:dyDescent="0.2">
      <c r="A85" s="3" t="s">
        <v>106</v>
      </c>
      <c r="B85" s="3">
        <v>7</v>
      </c>
      <c r="C85" s="1">
        <v>2012</v>
      </c>
      <c r="D85" s="3">
        <v>2</v>
      </c>
      <c r="E85" s="24">
        <f>COUNTIFS(E90:E189, "=2",$B$90:$B$189, "=Storynexus")</f>
        <v>0</v>
      </c>
      <c r="F85" s="24">
        <v>6</v>
      </c>
      <c r="G85" s="24">
        <f>COUNTIFS(G90:G189, "=2",$B$90:$B$189, "=Storynexus")</f>
        <v>0</v>
      </c>
      <c r="H85" s="3">
        <v>10</v>
      </c>
      <c r="I85" s="24">
        <f>COUNTIFS(I90:I189, "=2",$B$90:$B$189, "=Storynexus")</f>
        <v>2</v>
      </c>
      <c r="K85" s="3">
        <v>14</v>
      </c>
      <c r="L85" s="24">
        <f>COUNTIFS(L90:L189, "=2",$B$90:$B$189, "=Storynexus")</f>
        <v>1</v>
      </c>
      <c r="M85" s="32">
        <v>18</v>
      </c>
      <c r="N85" s="24">
        <f>COUNTIFS(N90:N189, "=2",$B$90:$B$189, "=Storynexus")</f>
        <v>9</v>
      </c>
      <c r="O85" s="32">
        <v>22</v>
      </c>
      <c r="P85" s="24">
        <f>COUNTIFS(P90:P189, "=2",$B$90:$B$189, "=Storynexus")</f>
        <v>2</v>
      </c>
      <c r="R85" s="3">
        <v>26</v>
      </c>
      <c r="S85" s="24">
        <f>COUNTIFS(S90:S189, "=2",$B$90:$B$189, "=Storynexus")</f>
        <v>0</v>
      </c>
      <c r="T85" s="32">
        <v>30</v>
      </c>
      <c r="U85" s="24">
        <f>COUNTIFS(U90:U189, "=2",$B$90:$B$189, "=Storynexus")</f>
        <v>2</v>
      </c>
      <c r="V85" s="32">
        <v>34</v>
      </c>
      <c r="W85" s="24">
        <f>COUNTIFS(W90:W189, "=2",$B$90:$B$189, "=Storynexus")</f>
        <v>1</v>
      </c>
    </row>
    <row r="86" spans="1:23" ht="20" x14ac:dyDescent="0.2">
      <c r="A86" s="3" t="s">
        <v>27</v>
      </c>
      <c r="B86" s="3">
        <v>10</v>
      </c>
      <c r="D86" s="3">
        <v>2</v>
      </c>
      <c r="E86" s="24">
        <f>COUNTIFS(E90:E189, "=2",$B$90:$B$189, "=Others")</f>
        <v>4</v>
      </c>
      <c r="F86" s="24">
        <v>6</v>
      </c>
      <c r="G86" s="24">
        <f>COUNTIFS(G90:G189, "=2",$B$90:$B$189, "=Others")</f>
        <v>6</v>
      </c>
      <c r="H86" s="3">
        <v>10</v>
      </c>
      <c r="I86" s="24">
        <f>COUNTIFS(I90:I189, "=2",$B$90:$B$189, "=Others")</f>
        <v>3</v>
      </c>
      <c r="K86" s="3">
        <v>14</v>
      </c>
      <c r="L86" s="24">
        <f>COUNTIFS(L90:L189, "=2",$B$90:$B$189, "=Others")</f>
        <v>1</v>
      </c>
      <c r="M86" s="32">
        <v>18</v>
      </c>
      <c r="N86" s="24">
        <f>COUNTIFS(N90:N189, "=2",$B$90:$B$189, "=Others")</f>
        <v>7</v>
      </c>
      <c r="O86" s="32">
        <v>22</v>
      </c>
      <c r="P86" s="24">
        <f>COUNTIFS(P90:P189, "=2",$B$90:$B$189, "=Others")</f>
        <v>4</v>
      </c>
      <c r="R86" s="3">
        <v>26</v>
      </c>
      <c r="S86" s="24">
        <f>COUNTIFS(S90:S189, "=2",$B$90:$B$189, "=Others")</f>
        <v>1</v>
      </c>
      <c r="T86" s="32">
        <v>30</v>
      </c>
      <c r="U86" s="24">
        <f>COUNTIFS(U90:U189, "=2",$B$90:$B$189, "=Others")</f>
        <v>2</v>
      </c>
      <c r="V86" s="32">
        <v>34</v>
      </c>
      <c r="W86" s="24">
        <f>COUNTIFS(W90:W189, "=2",$B$90:$B$189, "=Others")</f>
        <v>3</v>
      </c>
    </row>
    <row r="87" spans="1:23" ht="20" x14ac:dyDescent="0.2">
      <c r="B87" s="19" t="s">
        <v>29</v>
      </c>
      <c r="D87" s="22"/>
      <c r="E87" s="22">
        <f>SUM(E54:E86)</f>
        <v>100</v>
      </c>
      <c r="F87" s="22"/>
      <c r="G87" s="22">
        <f>SUM(G54:G86)</f>
        <v>100</v>
      </c>
      <c r="H87" s="4"/>
      <c r="I87" s="22">
        <f>SUM(I54:I86)</f>
        <v>100</v>
      </c>
      <c r="K87" s="4"/>
      <c r="L87" s="22">
        <f>SUM(L54:L86)</f>
        <v>100</v>
      </c>
      <c r="M87" s="30"/>
      <c r="N87" s="22">
        <f>SUM(N54:N86)</f>
        <v>100</v>
      </c>
      <c r="O87" s="30"/>
      <c r="P87" s="22">
        <f>SUM(P54:P86)</f>
        <v>100</v>
      </c>
      <c r="R87" s="4"/>
      <c r="S87" s="22">
        <f>SUM(S54:S86)</f>
        <v>100</v>
      </c>
      <c r="T87" s="30"/>
      <c r="U87" s="22">
        <f>SUM(U54:U86)</f>
        <v>100</v>
      </c>
      <c r="V87" s="30"/>
      <c r="W87" s="22">
        <f>SUM(W54:W86)</f>
        <v>100</v>
      </c>
    </row>
    <row r="89" spans="1:23" ht="40" x14ac:dyDescent="0.2">
      <c r="A89" s="10" t="s">
        <v>0</v>
      </c>
      <c r="B89" s="10" t="s">
        <v>31</v>
      </c>
      <c r="E89" s="25" t="s">
        <v>88</v>
      </c>
      <c r="F89" s="25"/>
      <c r="G89" s="6" t="s">
        <v>89</v>
      </c>
      <c r="H89" s="6"/>
      <c r="I89" s="6" t="s">
        <v>90</v>
      </c>
      <c r="J89" s="12"/>
      <c r="K89" s="6"/>
      <c r="L89" s="33" t="s">
        <v>28</v>
      </c>
      <c r="M89" s="33"/>
      <c r="N89" s="33" t="s">
        <v>212</v>
      </c>
      <c r="O89" s="33"/>
      <c r="P89" s="6" t="s">
        <v>92</v>
      </c>
      <c r="R89" s="6"/>
      <c r="S89" s="33" t="s">
        <v>213</v>
      </c>
      <c r="T89" s="33"/>
      <c r="U89" s="6" t="s">
        <v>43</v>
      </c>
      <c r="V89" s="33"/>
      <c r="W89" s="6" t="s">
        <v>45</v>
      </c>
    </row>
    <row r="90" spans="1:23" ht="34" x14ac:dyDescent="0.2">
      <c r="A90" s="3" t="s">
        <v>117</v>
      </c>
      <c r="B90" s="7" t="s">
        <v>19</v>
      </c>
      <c r="C90" s="51" t="s">
        <v>107</v>
      </c>
      <c r="E90" s="26">
        <v>0</v>
      </c>
      <c r="F90" s="26"/>
      <c r="G90" s="7">
        <v>0</v>
      </c>
      <c r="H90" s="7"/>
      <c r="I90" s="7">
        <v>1</v>
      </c>
      <c r="J90" s="13"/>
      <c r="K90" s="7"/>
      <c r="L90" s="7">
        <v>1</v>
      </c>
      <c r="M90" s="34"/>
      <c r="N90" s="7">
        <v>2</v>
      </c>
      <c r="O90" s="34"/>
      <c r="P90" s="7">
        <v>1</v>
      </c>
      <c r="R90" s="7"/>
      <c r="S90" s="34">
        <v>0</v>
      </c>
      <c r="T90" s="34"/>
      <c r="U90" s="7">
        <v>2</v>
      </c>
      <c r="V90" s="34"/>
      <c r="W90" s="7">
        <v>1</v>
      </c>
    </row>
    <row r="91" spans="1:23" ht="20" x14ac:dyDescent="0.2">
      <c r="A91" s="3" t="s">
        <v>118</v>
      </c>
      <c r="B91" s="7" t="s">
        <v>19</v>
      </c>
      <c r="E91" s="26">
        <v>0</v>
      </c>
      <c r="F91" s="26"/>
      <c r="G91" s="7">
        <v>0</v>
      </c>
      <c r="H91" s="7"/>
      <c r="I91" s="7">
        <v>1</v>
      </c>
      <c r="J91" s="13"/>
      <c r="K91" s="7"/>
      <c r="L91" s="7">
        <v>0</v>
      </c>
      <c r="M91" s="34"/>
      <c r="N91" s="7">
        <v>2</v>
      </c>
      <c r="O91" s="34"/>
      <c r="P91" s="7">
        <v>0</v>
      </c>
      <c r="R91" s="7"/>
      <c r="S91" s="34">
        <v>0</v>
      </c>
      <c r="T91" s="34"/>
      <c r="U91" s="7">
        <v>2</v>
      </c>
      <c r="V91" s="34"/>
      <c r="W91" s="7">
        <v>0</v>
      </c>
    </row>
    <row r="92" spans="1:23" ht="20" x14ac:dyDescent="0.2">
      <c r="A92" s="3" t="s">
        <v>119</v>
      </c>
      <c r="B92" s="7" t="s">
        <v>19</v>
      </c>
      <c r="E92" s="26">
        <v>0</v>
      </c>
      <c r="F92" s="26"/>
      <c r="G92" s="7">
        <v>0</v>
      </c>
      <c r="H92" s="7"/>
      <c r="I92" s="7">
        <v>1</v>
      </c>
      <c r="J92" s="13"/>
      <c r="K92" s="7"/>
      <c r="L92" s="7">
        <v>1</v>
      </c>
      <c r="M92" s="34"/>
      <c r="N92" s="7">
        <v>2</v>
      </c>
      <c r="O92" s="34"/>
      <c r="P92" s="7">
        <v>0</v>
      </c>
      <c r="R92" s="7"/>
      <c r="S92" s="34">
        <v>0</v>
      </c>
      <c r="T92" s="34"/>
      <c r="U92" s="7">
        <v>2</v>
      </c>
      <c r="V92" s="34"/>
      <c r="W92" s="7">
        <v>0</v>
      </c>
    </row>
    <row r="93" spans="1:23" ht="40" x14ac:dyDescent="0.2">
      <c r="A93" s="3" t="s">
        <v>120</v>
      </c>
      <c r="B93" s="7" t="s">
        <v>19</v>
      </c>
      <c r="E93" s="26">
        <v>0</v>
      </c>
      <c r="F93" s="26"/>
      <c r="G93" s="7">
        <v>0</v>
      </c>
      <c r="H93" s="7"/>
      <c r="I93" s="7">
        <v>1</v>
      </c>
      <c r="J93" s="13"/>
      <c r="K93" s="7"/>
      <c r="L93" s="7">
        <v>1</v>
      </c>
      <c r="M93" s="34"/>
      <c r="N93" s="7">
        <v>2</v>
      </c>
      <c r="O93" s="34"/>
      <c r="P93" s="7">
        <v>0</v>
      </c>
      <c r="R93" s="7"/>
      <c r="S93" s="34">
        <v>0</v>
      </c>
      <c r="T93" s="34"/>
      <c r="U93" s="7">
        <v>2</v>
      </c>
      <c r="V93" s="34"/>
      <c r="W93" s="7">
        <v>0</v>
      </c>
    </row>
    <row r="94" spans="1:23" ht="20" x14ac:dyDescent="0.2">
      <c r="A94" s="3" t="s">
        <v>121</v>
      </c>
      <c r="B94" s="7" t="s">
        <v>19</v>
      </c>
      <c r="E94" s="26">
        <v>0</v>
      </c>
      <c r="F94" s="26"/>
      <c r="G94" s="7">
        <v>0</v>
      </c>
      <c r="H94" s="7"/>
      <c r="I94" s="7">
        <v>1</v>
      </c>
      <c r="J94" s="13"/>
      <c r="K94" s="7"/>
      <c r="L94" s="7">
        <v>1</v>
      </c>
      <c r="M94" s="34"/>
      <c r="N94" s="7">
        <v>2</v>
      </c>
      <c r="O94" s="34"/>
      <c r="P94" s="7">
        <v>0</v>
      </c>
      <c r="R94" s="7"/>
      <c r="S94" s="34">
        <v>0</v>
      </c>
      <c r="T94" s="34"/>
      <c r="U94" s="7">
        <v>2</v>
      </c>
      <c r="V94" s="34"/>
      <c r="W94" s="7">
        <v>0</v>
      </c>
    </row>
    <row r="95" spans="1:23" ht="20" x14ac:dyDescent="0.2">
      <c r="A95" s="3" t="s">
        <v>122</v>
      </c>
      <c r="B95" s="7" t="s">
        <v>19</v>
      </c>
      <c r="E95" s="26">
        <v>0</v>
      </c>
      <c r="F95" s="26"/>
      <c r="G95" s="7">
        <v>0</v>
      </c>
      <c r="H95" s="7"/>
      <c r="I95" s="7">
        <v>1</v>
      </c>
      <c r="J95" s="13"/>
      <c r="K95" s="7"/>
      <c r="L95" s="7">
        <v>1</v>
      </c>
      <c r="M95" s="34"/>
      <c r="N95" s="7">
        <v>2</v>
      </c>
      <c r="O95" s="34"/>
      <c r="P95" s="7">
        <v>0</v>
      </c>
      <c r="R95" s="7"/>
      <c r="S95" s="34">
        <v>0</v>
      </c>
      <c r="T95" s="34"/>
      <c r="U95" s="7">
        <v>2</v>
      </c>
      <c r="V95" s="34"/>
      <c r="W95" s="7">
        <v>0</v>
      </c>
    </row>
    <row r="96" spans="1:23" ht="20" x14ac:dyDescent="0.2">
      <c r="A96" s="3" t="s">
        <v>123</v>
      </c>
      <c r="B96" s="7" t="s">
        <v>19</v>
      </c>
      <c r="E96" s="26">
        <v>0</v>
      </c>
      <c r="F96" s="26"/>
      <c r="G96" s="7">
        <v>0</v>
      </c>
      <c r="H96" s="7"/>
      <c r="I96" s="7">
        <v>1</v>
      </c>
      <c r="J96" s="13"/>
      <c r="K96" s="7"/>
      <c r="L96" s="7">
        <v>1</v>
      </c>
      <c r="M96" s="34"/>
      <c r="N96" s="7">
        <v>2</v>
      </c>
      <c r="O96" s="34"/>
      <c r="P96" s="7">
        <v>0</v>
      </c>
      <c r="R96" s="7"/>
      <c r="S96" s="34">
        <v>0</v>
      </c>
      <c r="T96" s="34"/>
      <c r="U96" s="7">
        <v>2</v>
      </c>
      <c r="V96" s="34"/>
      <c r="W96" s="7">
        <v>0</v>
      </c>
    </row>
    <row r="97" spans="1:23" ht="20" x14ac:dyDescent="0.2">
      <c r="A97" s="3" t="s">
        <v>124</v>
      </c>
      <c r="B97" s="7" t="s">
        <v>19</v>
      </c>
      <c r="E97" s="26">
        <v>0</v>
      </c>
      <c r="F97" s="26"/>
      <c r="G97" s="7">
        <v>0</v>
      </c>
      <c r="H97" s="7"/>
      <c r="I97" s="7">
        <v>1</v>
      </c>
      <c r="J97" s="13"/>
      <c r="K97" s="7"/>
      <c r="L97" s="7">
        <v>1</v>
      </c>
      <c r="M97" s="34"/>
      <c r="N97" s="7">
        <v>2</v>
      </c>
      <c r="O97" s="34"/>
      <c r="P97" s="7">
        <v>0</v>
      </c>
      <c r="R97" s="7"/>
      <c r="S97" s="34">
        <v>0</v>
      </c>
      <c r="T97" s="34"/>
      <c r="U97" s="7">
        <v>2</v>
      </c>
      <c r="V97" s="34"/>
      <c r="W97" s="7">
        <v>0</v>
      </c>
    </row>
    <row r="98" spans="1:23" ht="20" x14ac:dyDescent="0.2">
      <c r="A98" s="3" t="s">
        <v>125</v>
      </c>
      <c r="B98" s="7" t="s">
        <v>19</v>
      </c>
      <c r="E98" s="26">
        <v>0</v>
      </c>
      <c r="F98" s="26"/>
      <c r="G98" s="7">
        <v>0</v>
      </c>
      <c r="H98" s="7"/>
      <c r="I98" s="7">
        <v>1</v>
      </c>
      <c r="J98" s="13"/>
      <c r="K98" s="7"/>
      <c r="L98" s="7">
        <v>1</v>
      </c>
      <c r="M98" s="34"/>
      <c r="N98" s="7">
        <v>2</v>
      </c>
      <c r="O98" s="34"/>
      <c r="P98" s="7">
        <v>0</v>
      </c>
      <c r="R98" s="7"/>
      <c r="S98" s="34">
        <v>0</v>
      </c>
      <c r="T98" s="34"/>
      <c r="U98" s="7">
        <v>2</v>
      </c>
      <c r="V98" s="34"/>
      <c r="W98" s="7">
        <v>0</v>
      </c>
    </row>
    <row r="99" spans="1:23" ht="34" x14ac:dyDescent="0.2">
      <c r="A99" s="4" t="s">
        <v>126</v>
      </c>
      <c r="B99" s="8" t="s">
        <v>20</v>
      </c>
      <c r="C99" s="51" t="s">
        <v>108</v>
      </c>
      <c r="E99" s="27">
        <v>1</v>
      </c>
      <c r="F99" s="27"/>
      <c r="G99" s="8">
        <v>0</v>
      </c>
      <c r="H99" s="8"/>
      <c r="I99" s="8">
        <v>1</v>
      </c>
      <c r="J99" s="13"/>
      <c r="K99" s="8"/>
      <c r="L99" s="8">
        <v>1</v>
      </c>
      <c r="M99" s="35"/>
      <c r="N99" s="8">
        <v>2</v>
      </c>
      <c r="O99" s="35"/>
      <c r="P99" s="8">
        <v>0</v>
      </c>
      <c r="R99" s="8"/>
      <c r="S99" s="35">
        <v>0</v>
      </c>
      <c r="T99" s="35"/>
      <c r="U99" s="8">
        <v>0</v>
      </c>
      <c r="V99" s="35"/>
      <c r="W99" s="8">
        <v>0</v>
      </c>
    </row>
    <row r="100" spans="1:23" ht="20" x14ac:dyDescent="0.2">
      <c r="A100" s="4" t="s">
        <v>5</v>
      </c>
      <c r="B100" s="8" t="s">
        <v>20</v>
      </c>
      <c r="E100" s="27">
        <v>1</v>
      </c>
      <c r="F100" s="27"/>
      <c r="G100" s="8">
        <v>0</v>
      </c>
      <c r="H100" s="8"/>
      <c r="I100" s="8">
        <v>1</v>
      </c>
      <c r="J100" s="13"/>
      <c r="K100" s="8"/>
      <c r="L100" s="8">
        <v>1</v>
      </c>
      <c r="M100" s="35"/>
      <c r="N100" s="8">
        <v>2</v>
      </c>
      <c r="O100" s="35"/>
      <c r="P100" s="8">
        <v>0</v>
      </c>
      <c r="R100" s="8"/>
      <c r="S100" s="35">
        <v>0</v>
      </c>
      <c r="T100" s="35"/>
      <c r="U100" s="8">
        <v>0</v>
      </c>
      <c r="V100" s="35"/>
      <c r="W100" s="8">
        <v>1</v>
      </c>
    </row>
    <row r="101" spans="1:23" ht="20" x14ac:dyDescent="0.2">
      <c r="A101" s="4" t="s">
        <v>127</v>
      </c>
      <c r="B101" s="8" t="s">
        <v>20</v>
      </c>
      <c r="E101" s="27">
        <v>1</v>
      </c>
      <c r="F101" s="27"/>
      <c r="G101" s="8">
        <v>0</v>
      </c>
      <c r="H101" s="8"/>
      <c r="I101" s="8">
        <v>1</v>
      </c>
      <c r="J101" s="13"/>
      <c r="K101" s="8"/>
      <c r="L101" s="8">
        <v>1</v>
      </c>
      <c r="M101" s="35"/>
      <c r="N101" s="8">
        <v>2</v>
      </c>
      <c r="O101" s="35"/>
      <c r="P101" s="8">
        <v>0</v>
      </c>
      <c r="R101" s="8"/>
      <c r="S101" s="35">
        <v>0</v>
      </c>
      <c r="T101" s="35"/>
      <c r="U101" s="8">
        <v>0</v>
      </c>
      <c r="V101" s="35"/>
      <c r="W101" s="8">
        <v>1</v>
      </c>
    </row>
    <row r="102" spans="1:23" ht="40" x14ac:dyDescent="0.2">
      <c r="A102" s="4" t="s">
        <v>128</v>
      </c>
      <c r="B102" s="8" t="s">
        <v>20</v>
      </c>
      <c r="E102" s="27">
        <v>1</v>
      </c>
      <c r="F102" s="27"/>
      <c r="G102" s="8">
        <v>1</v>
      </c>
      <c r="H102" s="8"/>
      <c r="I102" s="8">
        <v>2</v>
      </c>
      <c r="J102" s="13"/>
      <c r="K102" s="8"/>
      <c r="L102" s="8">
        <v>1</v>
      </c>
      <c r="M102" s="35"/>
      <c r="N102" s="8">
        <v>2</v>
      </c>
      <c r="O102" s="35"/>
      <c r="P102" s="8">
        <v>1</v>
      </c>
      <c r="R102" s="8"/>
      <c r="S102" s="35">
        <v>0</v>
      </c>
      <c r="T102" s="35"/>
      <c r="U102" s="8">
        <v>0</v>
      </c>
      <c r="V102" s="35"/>
      <c r="W102" s="8">
        <v>0</v>
      </c>
    </row>
    <row r="103" spans="1:23" ht="20" x14ac:dyDescent="0.2">
      <c r="A103" s="4" t="s">
        <v>129</v>
      </c>
      <c r="B103" s="8" t="s">
        <v>20</v>
      </c>
      <c r="E103" s="27">
        <v>1</v>
      </c>
      <c r="F103" s="27"/>
      <c r="G103" s="8">
        <v>1</v>
      </c>
      <c r="H103" s="8"/>
      <c r="I103" s="8">
        <v>1</v>
      </c>
      <c r="J103" s="13"/>
      <c r="K103" s="8"/>
      <c r="L103" s="8">
        <v>1</v>
      </c>
      <c r="M103" s="35"/>
      <c r="N103" s="8">
        <v>2</v>
      </c>
      <c r="O103" s="35"/>
      <c r="P103" s="8">
        <v>0</v>
      </c>
      <c r="R103" s="8"/>
      <c r="S103" s="35">
        <v>0</v>
      </c>
      <c r="T103" s="35"/>
      <c r="U103" s="8">
        <v>0</v>
      </c>
      <c r="V103" s="35"/>
      <c r="W103" s="8">
        <v>0</v>
      </c>
    </row>
    <row r="104" spans="1:23" ht="20" x14ac:dyDescent="0.2">
      <c r="A104" s="4" t="s">
        <v>130</v>
      </c>
      <c r="B104" s="8" t="s">
        <v>20</v>
      </c>
      <c r="E104" s="27">
        <v>1</v>
      </c>
      <c r="F104" s="27"/>
      <c r="G104" s="8">
        <v>1</v>
      </c>
      <c r="H104" s="8"/>
      <c r="I104" s="8">
        <v>1</v>
      </c>
      <c r="J104" s="13"/>
      <c r="K104" s="8"/>
      <c r="L104" s="8">
        <v>1</v>
      </c>
      <c r="M104" s="35"/>
      <c r="N104" s="8">
        <v>2</v>
      </c>
      <c r="O104" s="35"/>
      <c r="P104" s="8">
        <v>0</v>
      </c>
      <c r="R104" s="8"/>
      <c r="S104" s="35">
        <v>0</v>
      </c>
      <c r="T104" s="35"/>
      <c r="U104" s="8">
        <v>0</v>
      </c>
      <c r="V104" s="35"/>
      <c r="W104" s="8">
        <v>0</v>
      </c>
    </row>
    <row r="105" spans="1:23" ht="20" x14ac:dyDescent="0.2">
      <c r="A105" s="4" t="s">
        <v>131</v>
      </c>
      <c r="B105" s="8" t="s">
        <v>20</v>
      </c>
      <c r="E105" s="27">
        <v>1</v>
      </c>
      <c r="F105" s="27"/>
      <c r="G105" s="8">
        <v>1</v>
      </c>
      <c r="H105" s="8"/>
      <c r="I105" s="8">
        <v>1</v>
      </c>
      <c r="J105" s="13"/>
      <c r="K105" s="8"/>
      <c r="L105" s="8">
        <v>1</v>
      </c>
      <c r="M105" s="35"/>
      <c r="N105" s="8">
        <v>2</v>
      </c>
      <c r="O105" s="35"/>
      <c r="P105" s="8">
        <v>2</v>
      </c>
      <c r="R105" s="8"/>
      <c r="S105" s="35">
        <v>0</v>
      </c>
      <c r="T105" s="35"/>
      <c r="U105" s="8">
        <v>2</v>
      </c>
      <c r="V105" s="35"/>
      <c r="W105" s="8">
        <v>1</v>
      </c>
    </row>
    <row r="106" spans="1:23" ht="20" x14ac:dyDescent="0.2">
      <c r="A106" s="4" t="s">
        <v>132</v>
      </c>
      <c r="B106" s="8" t="s">
        <v>20</v>
      </c>
      <c r="E106" s="27">
        <v>1</v>
      </c>
      <c r="F106" s="27"/>
      <c r="G106" s="8">
        <v>1</v>
      </c>
      <c r="H106" s="8"/>
      <c r="I106" s="8">
        <v>1</v>
      </c>
      <c r="J106" s="13"/>
      <c r="K106" s="8"/>
      <c r="L106" s="8">
        <v>1</v>
      </c>
      <c r="M106" s="35"/>
      <c r="N106" s="8">
        <v>2</v>
      </c>
      <c r="O106" s="35"/>
      <c r="P106" s="8">
        <v>0</v>
      </c>
      <c r="R106" s="8"/>
      <c r="S106" s="35">
        <v>0</v>
      </c>
      <c r="T106" s="35"/>
      <c r="U106" s="8">
        <v>0</v>
      </c>
      <c r="V106" s="35"/>
      <c r="W106" s="8">
        <v>0</v>
      </c>
    </row>
    <row r="107" spans="1:23" ht="20" x14ac:dyDescent="0.2">
      <c r="A107" s="4" t="s">
        <v>133</v>
      </c>
      <c r="B107" s="8" t="s">
        <v>20</v>
      </c>
      <c r="E107" s="27">
        <v>1</v>
      </c>
      <c r="F107" s="27"/>
      <c r="G107" s="8">
        <v>1</v>
      </c>
      <c r="H107" s="8"/>
      <c r="I107" s="8">
        <v>1</v>
      </c>
      <c r="J107" s="13"/>
      <c r="K107" s="8"/>
      <c r="L107" s="8">
        <v>1</v>
      </c>
      <c r="M107" s="35"/>
      <c r="N107" s="8">
        <v>2</v>
      </c>
      <c r="O107" s="35"/>
      <c r="P107" s="8">
        <v>2</v>
      </c>
      <c r="R107" s="8"/>
      <c r="S107" s="35">
        <v>0</v>
      </c>
      <c r="T107" s="35"/>
      <c r="U107" s="8">
        <v>2</v>
      </c>
      <c r="V107" s="35"/>
      <c r="W107" s="8">
        <v>1</v>
      </c>
    </row>
    <row r="108" spans="1:23" ht="34" x14ac:dyDescent="0.2">
      <c r="A108" s="5" t="s">
        <v>7</v>
      </c>
      <c r="B108" s="9" t="s">
        <v>21</v>
      </c>
      <c r="C108" s="51" t="s">
        <v>109</v>
      </c>
      <c r="E108" s="28">
        <v>0</v>
      </c>
      <c r="F108" s="28"/>
      <c r="G108" s="9">
        <v>0</v>
      </c>
      <c r="H108" s="9"/>
      <c r="I108" s="9">
        <v>2</v>
      </c>
      <c r="J108" s="13"/>
      <c r="K108" s="9"/>
      <c r="L108" s="9">
        <v>1</v>
      </c>
      <c r="M108" s="36"/>
      <c r="N108" s="9">
        <v>2</v>
      </c>
      <c r="O108" s="36"/>
      <c r="P108" s="9">
        <v>0</v>
      </c>
      <c r="R108" s="9"/>
      <c r="S108" s="36">
        <v>0</v>
      </c>
      <c r="T108" s="36"/>
      <c r="U108" s="9">
        <v>0</v>
      </c>
      <c r="V108" s="36"/>
      <c r="W108" s="9">
        <v>0</v>
      </c>
    </row>
    <row r="109" spans="1:23" ht="20" x14ac:dyDescent="0.2">
      <c r="A109" s="5" t="s">
        <v>6</v>
      </c>
      <c r="B109" s="9" t="s">
        <v>21</v>
      </c>
      <c r="E109" s="28">
        <v>0</v>
      </c>
      <c r="F109" s="28"/>
      <c r="G109" s="9">
        <v>0</v>
      </c>
      <c r="H109" s="9"/>
      <c r="I109" s="9">
        <v>1</v>
      </c>
      <c r="J109" s="13"/>
      <c r="K109" s="9"/>
      <c r="L109" s="9">
        <v>1</v>
      </c>
      <c r="M109" s="36"/>
      <c r="N109" s="9">
        <v>2</v>
      </c>
      <c r="O109" s="36"/>
      <c r="P109" s="9">
        <v>0</v>
      </c>
      <c r="R109" s="9"/>
      <c r="S109" s="36">
        <v>0</v>
      </c>
      <c r="T109" s="36"/>
      <c r="U109" s="9">
        <v>0</v>
      </c>
      <c r="V109" s="36"/>
      <c r="W109" s="9">
        <v>1</v>
      </c>
    </row>
    <row r="110" spans="1:23" ht="20" x14ac:dyDescent="0.2">
      <c r="A110" s="5" t="s">
        <v>134</v>
      </c>
      <c r="B110" s="9" t="s">
        <v>21</v>
      </c>
      <c r="E110" s="28">
        <v>0</v>
      </c>
      <c r="F110" s="28"/>
      <c r="G110" s="9">
        <v>0</v>
      </c>
      <c r="H110" s="9"/>
      <c r="I110" s="9">
        <v>1</v>
      </c>
      <c r="J110" s="13"/>
      <c r="K110" s="9"/>
      <c r="L110" s="9">
        <v>1</v>
      </c>
      <c r="M110" s="36"/>
      <c r="N110" s="9">
        <v>2</v>
      </c>
      <c r="O110" s="36"/>
      <c r="P110" s="9">
        <v>0</v>
      </c>
      <c r="R110" s="9"/>
      <c r="S110" s="36">
        <v>0</v>
      </c>
      <c r="T110" s="36"/>
      <c r="U110" s="9">
        <v>0</v>
      </c>
      <c r="V110" s="36"/>
      <c r="W110" s="9">
        <v>0</v>
      </c>
    </row>
    <row r="111" spans="1:23" ht="20" x14ac:dyDescent="0.2">
      <c r="A111" s="5" t="s">
        <v>8</v>
      </c>
      <c r="B111" s="9" t="s">
        <v>21</v>
      </c>
      <c r="E111" s="28">
        <v>0</v>
      </c>
      <c r="F111" s="28"/>
      <c r="G111" s="9">
        <v>0</v>
      </c>
      <c r="H111" s="9"/>
      <c r="I111" s="9">
        <v>1</v>
      </c>
      <c r="J111" s="13"/>
      <c r="K111" s="9"/>
      <c r="L111" s="9">
        <v>1</v>
      </c>
      <c r="M111" s="36"/>
      <c r="N111" s="9">
        <v>2</v>
      </c>
      <c r="O111" s="36"/>
      <c r="P111" s="9">
        <v>1</v>
      </c>
      <c r="R111" s="9"/>
      <c r="S111" s="36">
        <v>0</v>
      </c>
      <c r="T111" s="36"/>
      <c r="U111" s="9">
        <v>0</v>
      </c>
      <c r="V111" s="36"/>
      <c r="W111" s="9">
        <v>1</v>
      </c>
    </row>
    <row r="112" spans="1:23" ht="20" x14ac:dyDescent="0.2">
      <c r="A112" s="5" t="s">
        <v>135</v>
      </c>
      <c r="B112" s="9" t="s">
        <v>21</v>
      </c>
      <c r="E112" s="28">
        <v>0</v>
      </c>
      <c r="F112" s="28"/>
      <c r="G112" s="9">
        <v>0</v>
      </c>
      <c r="H112" s="9"/>
      <c r="I112" s="9">
        <v>1</v>
      </c>
      <c r="J112" s="13"/>
      <c r="K112" s="9"/>
      <c r="L112" s="9">
        <v>0</v>
      </c>
      <c r="M112" s="36"/>
      <c r="N112" s="9">
        <v>2</v>
      </c>
      <c r="O112" s="36"/>
      <c r="P112" s="9">
        <v>0</v>
      </c>
      <c r="R112" s="9"/>
      <c r="S112" s="36">
        <v>0</v>
      </c>
      <c r="T112" s="36"/>
      <c r="U112" s="9">
        <v>0</v>
      </c>
      <c r="V112" s="36"/>
      <c r="W112" s="9">
        <v>0</v>
      </c>
    </row>
    <row r="113" spans="1:23" ht="20" x14ac:dyDescent="0.2">
      <c r="A113" s="5" t="s">
        <v>136</v>
      </c>
      <c r="B113" s="9" t="s">
        <v>21</v>
      </c>
      <c r="E113" s="28">
        <v>0</v>
      </c>
      <c r="F113" s="28"/>
      <c r="G113" s="9">
        <v>0</v>
      </c>
      <c r="H113" s="9"/>
      <c r="I113" s="9">
        <v>1</v>
      </c>
      <c r="J113" s="13"/>
      <c r="K113" s="9"/>
      <c r="L113" s="9">
        <v>0</v>
      </c>
      <c r="M113" s="36"/>
      <c r="N113" s="9">
        <v>2</v>
      </c>
      <c r="O113" s="36"/>
      <c r="P113" s="9">
        <v>0</v>
      </c>
      <c r="R113" s="9"/>
      <c r="S113" s="36">
        <v>0</v>
      </c>
      <c r="T113" s="36"/>
      <c r="U113" s="9">
        <v>0</v>
      </c>
      <c r="V113" s="36"/>
      <c r="W113" s="9">
        <v>0</v>
      </c>
    </row>
    <row r="114" spans="1:23" ht="20" x14ac:dyDescent="0.2">
      <c r="A114" s="5" t="s">
        <v>137</v>
      </c>
      <c r="B114" s="9" t="s">
        <v>21</v>
      </c>
      <c r="E114" s="28">
        <v>0</v>
      </c>
      <c r="F114" s="28"/>
      <c r="G114" s="9">
        <v>0</v>
      </c>
      <c r="H114" s="9"/>
      <c r="I114" s="9">
        <v>1</v>
      </c>
      <c r="J114" s="13"/>
      <c r="K114" s="9"/>
      <c r="L114" s="9">
        <v>1</v>
      </c>
      <c r="M114" s="36"/>
      <c r="N114" s="9">
        <v>2</v>
      </c>
      <c r="O114" s="36"/>
      <c r="P114" s="9">
        <v>0</v>
      </c>
      <c r="R114" s="9"/>
      <c r="S114" s="36">
        <v>0</v>
      </c>
      <c r="T114" s="36"/>
      <c r="U114" s="9">
        <v>0</v>
      </c>
      <c r="V114" s="36"/>
      <c r="W114" s="9">
        <v>0</v>
      </c>
    </row>
    <row r="115" spans="1:23" ht="20" x14ac:dyDescent="0.2">
      <c r="A115" s="5" t="s">
        <v>138</v>
      </c>
      <c r="B115" s="9" t="s">
        <v>21</v>
      </c>
      <c r="E115" s="28">
        <v>0</v>
      </c>
      <c r="F115" s="28"/>
      <c r="G115" s="9">
        <v>0</v>
      </c>
      <c r="H115" s="9"/>
      <c r="I115" s="9">
        <v>1</v>
      </c>
      <c r="J115" s="13"/>
      <c r="K115" s="9"/>
      <c r="L115" s="9">
        <v>0</v>
      </c>
      <c r="M115" s="36"/>
      <c r="N115" s="9">
        <v>2</v>
      </c>
      <c r="O115" s="36"/>
      <c r="P115" s="9">
        <v>0</v>
      </c>
      <c r="R115" s="9"/>
      <c r="S115" s="36">
        <v>0</v>
      </c>
      <c r="T115" s="36"/>
      <c r="U115" s="9">
        <v>0</v>
      </c>
      <c r="V115" s="36"/>
      <c r="W115" s="9">
        <v>0</v>
      </c>
    </row>
    <row r="116" spans="1:23" ht="20" x14ac:dyDescent="0.2">
      <c r="A116" s="5" t="s">
        <v>139</v>
      </c>
      <c r="B116" s="9" t="s">
        <v>21</v>
      </c>
      <c r="E116" s="28">
        <v>0</v>
      </c>
      <c r="F116" s="28"/>
      <c r="G116" s="9">
        <v>0</v>
      </c>
      <c r="H116" s="9"/>
      <c r="I116" s="9">
        <v>1</v>
      </c>
      <c r="J116" s="13"/>
      <c r="K116" s="9"/>
      <c r="L116" s="9">
        <v>1</v>
      </c>
      <c r="M116" s="36"/>
      <c r="N116" s="9">
        <v>2</v>
      </c>
      <c r="O116" s="36"/>
      <c r="P116" s="9">
        <v>0</v>
      </c>
      <c r="R116" s="9"/>
      <c r="S116" s="36">
        <v>0</v>
      </c>
      <c r="T116" s="36"/>
      <c r="U116" s="9">
        <v>0</v>
      </c>
      <c r="V116" s="36"/>
      <c r="W116" s="9">
        <v>0</v>
      </c>
    </row>
    <row r="117" spans="1:23" ht="34" x14ac:dyDescent="0.2">
      <c r="A117" s="3" t="s">
        <v>140</v>
      </c>
      <c r="B117" s="3" t="s">
        <v>46</v>
      </c>
      <c r="C117" s="51" t="s">
        <v>110</v>
      </c>
      <c r="E117" s="26">
        <v>0</v>
      </c>
      <c r="F117" s="26"/>
      <c r="G117" s="7">
        <v>0</v>
      </c>
      <c r="H117" s="7"/>
      <c r="I117" s="7">
        <v>1</v>
      </c>
      <c r="J117" s="13"/>
      <c r="K117" s="7"/>
      <c r="L117" s="7">
        <v>1</v>
      </c>
      <c r="M117" s="34"/>
      <c r="N117" s="7">
        <v>2</v>
      </c>
      <c r="O117" s="34"/>
      <c r="P117" s="7">
        <v>0</v>
      </c>
      <c r="R117" s="7"/>
      <c r="S117" s="34">
        <v>0</v>
      </c>
      <c r="T117" s="34"/>
      <c r="U117" s="7">
        <v>2</v>
      </c>
      <c r="V117" s="34"/>
      <c r="W117" s="7">
        <v>1</v>
      </c>
    </row>
    <row r="118" spans="1:23" ht="20" x14ac:dyDescent="0.2">
      <c r="A118" s="3" t="s">
        <v>141</v>
      </c>
      <c r="B118" s="3" t="s">
        <v>46</v>
      </c>
      <c r="E118" s="26">
        <v>0</v>
      </c>
      <c r="F118" s="26"/>
      <c r="G118" s="7">
        <v>0</v>
      </c>
      <c r="H118" s="7"/>
      <c r="I118" s="7">
        <v>1</v>
      </c>
      <c r="J118" s="13"/>
      <c r="K118" s="7"/>
      <c r="L118" s="7">
        <v>1</v>
      </c>
      <c r="M118" s="34"/>
      <c r="N118" s="7">
        <v>2</v>
      </c>
      <c r="O118" s="34"/>
      <c r="P118" s="7">
        <v>0</v>
      </c>
      <c r="R118" s="7"/>
      <c r="S118" s="34">
        <v>0</v>
      </c>
      <c r="T118" s="34"/>
      <c r="U118" s="7">
        <v>2</v>
      </c>
      <c r="V118" s="34"/>
      <c r="W118" s="7">
        <v>1</v>
      </c>
    </row>
    <row r="119" spans="1:23" ht="40" x14ac:dyDescent="0.2">
      <c r="A119" s="3" t="s">
        <v>142</v>
      </c>
      <c r="B119" s="3" t="s">
        <v>46</v>
      </c>
      <c r="E119" s="26">
        <v>0</v>
      </c>
      <c r="F119" s="26"/>
      <c r="G119" s="7">
        <v>0</v>
      </c>
      <c r="H119" s="7"/>
      <c r="I119" s="7">
        <v>1</v>
      </c>
      <c r="J119" s="13"/>
      <c r="K119" s="7"/>
      <c r="L119" s="7">
        <v>1</v>
      </c>
      <c r="M119" s="34"/>
      <c r="N119" s="7">
        <v>2</v>
      </c>
      <c r="O119" s="34"/>
      <c r="P119" s="7">
        <v>0</v>
      </c>
      <c r="R119" s="7"/>
      <c r="S119" s="34">
        <v>0</v>
      </c>
      <c r="T119" s="34"/>
      <c r="U119" s="7">
        <v>2</v>
      </c>
      <c r="V119" s="34"/>
      <c r="W119" s="7">
        <v>1</v>
      </c>
    </row>
    <row r="120" spans="1:23" ht="20" x14ac:dyDescent="0.2">
      <c r="A120" s="3" t="s">
        <v>143</v>
      </c>
      <c r="B120" s="3" t="s">
        <v>46</v>
      </c>
      <c r="E120" s="26">
        <v>0</v>
      </c>
      <c r="F120" s="26"/>
      <c r="G120" s="7">
        <v>0</v>
      </c>
      <c r="H120" s="7"/>
      <c r="I120" s="7">
        <v>1</v>
      </c>
      <c r="J120" s="13"/>
      <c r="K120" s="7"/>
      <c r="L120" s="7">
        <v>1</v>
      </c>
      <c r="M120" s="34"/>
      <c r="N120" s="7">
        <v>2</v>
      </c>
      <c r="O120" s="34"/>
      <c r="P120" s="7">
        <v>0</v>
      </c>
      <c r="R120" s="7"/>
      <c r="S120" s="34">
        <v>0</v>
      </c>
      <c r="T120" s="34"/>
      <c r="U120" s="7">
        <v>2</v>
      </c>
      <c r="V120" s="34"/>
      <c r="W120" s="7">
        <v>0</v>
      </c>
    </row>
    <row r="121" spans="1:23" ht="40" x14ac:dyDescent="0.2">
      <c r="A121" s="3" t="s">
        <v>144</v>
      </c>
      <c r="B121" s="3" t="s">
        <v>46</v>
      </c>
      <c r="E121" s="26">
        <v>0</v>
      </c>
      <c r="F121" s="26"/>
      <c r="G121" s="7">
        <v>0</v>
      </c>
      <c r="H121" s="7"/>
      <c r="I121" s="7">
        <v>1</v>
      </c>
      <c r="J121" s="13"/>
      <c r="K121" s="7"/>
      <c r="L121" s="7">
        <v>1</v>
      </c>
      <c r="M121" s="34"/>
      <c r="N121" s="7">
        <v>2</v>
      </c>
      <c r="O121" s="34"/>
      <c r="P121" s="7">
        <v>0</v>
      </c>
      <c r="R121" s="7"/>
      <c r="S121" s="34">
        <v>0</v>
      </c>
      <c r="T121" s="34"/>
      <c r="U121" s="7">
        <v>2</v>
      </c>
      <c r="V121" s="34"/>
      <c r="W121" s="7">
        <v>1</v>
      </c>
    </row>
    <row r="122" spans="1:23" ht="20" x14ac:dyDescent="0.2">
      <c r="A122" s="3" t="s">
        <v>145</v>
      </c>
      <c r="B122" s="3" t="s">
        <v>46</v>
      </c>
      <c r="E122" s="26">
        <v>0</v>
      </c>
      <c r="F122" s="26"/>
      <c r="G122" s="7">
        <v>0</v>
      </c>
      <c r="H122" s="7"/>
      <c r="I122" s="7">
        <v>1</v>
      </c>
      <c r="J122" s="13"/>
      <c r="K122" s="7"/>
      <c r="L122" s="7">
        <v>1</v>
      </c>
      <c r="M122" s="34"/>
      <c r="N122" s="7">
        <v>2</v>
      </c>
      <c r="O122" s="34"/>
      <c r="P122" s="7">
        <v>0</v>
      </c>
      <c r="R122" s="7"/>
      <c r="S122" s="34">
        <v>0</v>
      </c>
      <c r="T122" s="34"/>
      <c r="U122" s="7">
        <v>2</v>
      </c>
      <c r="V122" s="34"/>
      <c r="W122" s="7">
        <v>1</v>
      </c>
    </row>
    <row r="123" spans="1:23" ht="20" x14ac:dyDescent="0.2">
      <c r="A123" s="3" t="s">
        <v>146</v>
      </c>
      <c r="B123" s="3" t="s">
        <v>46</v>
      </c>
      <c r="E123" s="26">
        <v>0</v>
      </c>
      <c r="F123" s="26"/>
      <c r="G123" s="7">
        <v>0</v>
      </c>
      <c r="H123" s="7"/>
      <c r="I123" s="7">
        <v>1</v>
      </c>
      <c r="J123" s="13"/>
      <c r="K123" s="7"/>
      <c r="L123" s="7">
        <v>1</v>
      </c>
      <c r="M123" s="34"/>
      <c r="N123" s="7">
        <v>2</v>
      </c>
      <c r="O123" s="34"/>
      <c r="P123" s="7">
        <v>0</v>
      </c>
      <c r="R123" s="7"/>
      <c r="S123" s="34">
        <v>0</v>
      </c>
      <c r="T123" s="34"/>
      <c r="U123" s="7">
        <v>2</v>
      </c>
      <c r="V123" s="34"/>
      <c r="W123" s="7">
        <v>1</v>
      </c>
    </row>
    <row r="124" spans="1:23" ht="20" x14ac:dyDescent="0.2">
      <c r="A124" s="3" t="s">
        <v>147</v>
      </c>
      <c r="B124" s="3" t="s">
        <v>46</v>
      </c>
      <c r="E124" s="26">
        <v>0</v>
      </c>
      <c r="F124" s="26"/>
      <c r="G124" s="7">
        <v>0</v>
      </c>
      <c r="H124" s="7"/>
      <c r="I124" s="7">
        <v>1</v>
      </c>
      <c r="J124" s="13"/>
      <c r="K124" s="7"/>
      <c r="L124" s="7">
        <v>1</v>
      </c>
      <c r="M124" s="34"/>
      <c r="N124" s="7">
        <v>2</v>
      </c>
      <c r="O124" s="34"/>
      <c r="P124" s="7">
        <v>0</v>
      </c>
      <c r="R124" s="7"/>
      <c r="S124" s="34">
        <v>0</v>
      </c>
      <c r="T124" s="34"/>
      <c r="U124" s="7">
        <v>2</v>
      </c>
      <c r="V124" s="34"/>
      <c r="W124" s="7">
        <v>1</v>
      </c>
    </row>
    <row r="125" spans="1:23" ht="20" x14ac:dyDescent="0.2">
      <c r="A125" s="3" t="s">
        <v>148</v>
      </c>
      <c r="B125" s="3" t="s">
        <v>46</v>
      </c>
      <c r="E125" s="26">
        <v>0</v>
      </c>
      <c r="F125" s="26"/>
      <c r="G125" s="7">
        <v>0</v>
      </c>
      <c r="H125" s="7"/>
      <c r="I125" s="7">
        <v>1</v>
      </c>
      <c r="J125" s="13"/>
      <c r="K125" s="7"/>
      <c r="L125" s="7">
        <v>1</v>
      </c>
      <c r="M125" s="34"/>
      <c r="N125" s="7">
        <v>2</v>
      </c>
      <c r="O125" s="34"/>
      <c r="P125" s="7">
        <v>0</v>
      </c>
      <c r="R125" s="7"/>
      <c r="S125" s="34">
        <v>0</v>
      </c>
      <c r="T125" s="34"/>
      <c r="U125" s="7">
        <v>2</v>
      </c>
      <c r="V125" s="34"/>
      <c r="W125" s="7">
        <v>1</v>
      </c>
    </row>
    <row r="126" spans="1:23" ht="40" x14ac:dyDescent="0.2">
      <c r="A126" s="4" t="s">
        <v>149</v>
      </c>
      <c r="B126" s="8" t="s">
        <v>22</v>
      </c>
      <c r="C126" s="51" t="s">
        <v>111</v>
      </c>
      <c r="E126" s="27">
        <v>1</v>
      </c>
      <c r="F126" s="27"/>
      <c r="G126" s="8">
        <v>1</v>
      </c>
      <c r="H126" s="8"/>
      <c r="I126" s="8">
        <v>1</v>
      </c>
      <c r="J126" s="13"/>
      <c r="K126" s="8"/>
      <c r="L126" s="8">
        <v>1</v>
      </c>
      <c r="M126" s="35"/>
      <c r="N126" s="8">
        <v>2</v>
      </c>
      <c r="O126" s="35"/>
      <c r="P126" s="8">
        <v>0</v>
      </c>
      <c r="R126" s="8"/>
      <c r="S126" s="35">
        <v>0</v>
      </c>
      <c r="T126" s="35"/>
      <c r="U126" s="8">
        <v>0</v>
      </c>
      <c r="V126" s="35"/>
      <c r="W126" s="8">
        <v>0</v>
      </c>
    </row>
    <row r="127" spans="1:23" ht="20" x14ac:dyDescent="0.2">
      <c r="A127" s="4" t="s">
        <v>150</v>
      </c>
      <c r="B127" s="8" t="s">
        <v>22</v>
      </c>
      <c r="E127" s="27">
        <v>1</v>
      </c>
      <c r="F127" s="27"/>
      <c r="G127" s="8">
        <v>1</v>
      </c>
      <c r="H127" s="8"/>
      <c r="I127" s="8">
        <v>1</v>
      </c>
      <c r="J127" s="13"/>
      <c r="K127" s="8"/>
      <c r="L127" s="8">
        <v>1</v>
      </c>
      <c r="M127" s="35"/>
      <c r="N127" s="8">
        <v>2</v>
      </c>
      <c r="O127" s="35"/>
      <c r="P127" s="8">
        <v>0</v>
      </c>
      <c r="R127" s="8"/>
      <c r="S127" s="35">
        <v>0</v>
      </c>
      <c r="T127" s="35"/>
      <c r="U127" s="8">
        <v>0</v>
      </c>
      <c r="V127" s="35"/>
      <c r="W127" s="8">
        <v>0</v>
      </c>
    </row>
    <row r="128" spans="1:23" ht="20" x14ac:dyDescent="0.2">
      <c r="A128" s="4" t="s">
        <v>151</v>
      </c>
      <c r="B128" s="8" t="s">
        <v>22</v>
      </c>
      <c r="E128" s="27">
        <v>1</v>
      </c>
      <c r="F128" s="27"/>
      <c r="G128" s="8">
        <v>1</v>
      </c>
      <c r="H128" s="8"/>
      <c r="I128" s="8">
        <v>1</v>
      </c>
      <c r="J128" s="13"/>
      <c r="K128" s="8"/>
      <c r="L128" s="8">
        <v>1</v>
      </c>
      <c r="M128" s="35"/>
      <c r="N128" s="8">
        <v>2</v>
      </c>
      <c r="O128" s="35"/>
      <c r="P128" s="8">
        <v>0</v>
      </c>
      <c r="R128" s="8"/>
      <c r="S128" s="35">
        <v>0</v>
      </c>
      <c r="T128" s="35"/>
      <c r="U128" s="8">
        <v>0</v>
      </c>
      <c r="V128" s="35"/>
      <c r="W128" s="8">
        <v>0</v>
      </c>
    </row>
    <row r="129" spans="1:23" ht="40" x14ac:dyDescent="0.2">
      <c r="A129" s="4" t="s">
        <v>152</v>
      </c>
      <c r="B129" s="8" t="s">
        <v>22</v>
      </c>
      <c r="E129" s="27">
        <v>1</v>
      </c>
      <c r="F129" s="27"/>
      <c r="G129" s="8">
        <v>1</v>
      </c>
      <c r="H129" s="8"/>
      <c r="I129" s="8">
        <v>1</v>
      </c>
      <c r="J129" s="13"/>
      <c r="K129" s="8"/>
      <c r="L129" s="8">
        <v>1</v>
      </c>
      <c r="M129" s="35"/>
      <c r="N129" s="8">
        <v>2</v>
      </c>
      <c r="O129" s="35"/>
      <c r="P129" s="8">
        <v>0</v>
      </c>
      <c r="R129" s="8"/>
      <c r="S129" s="35">
        <v>0</v>
      </c>
      <c r="T129" s="35"/>
      <c r="U129" s="8">
        <v>0</v>
      </c>
      <c r="V129" s="35"/>
      <c r="W129" s="8">
        <v>0</v>
      </c>
    </row>
    <row r="130" spans="1:23" ht="20" x14ac:dyDescent="0.2">
      <c r="A130" s="4" t="s">
        <v>153</v>
      </c>
      <c r="B130" s="8" t="s">
        <v>22</v>
      </c>
      <c r="E130" s="27">
        <v>1</v>
      </c>
      <c r="F130" s="27"/>
      <c r="G130" s="8">
        <v>1</v>
      </c>
      <c r="H130" s="8"/>
      <c r="I130" s="8">
        <v>1</v>
      </c>
      <c r="J130" s="13"/>
      <c r="K130" s="8"/>
      <c r="L130" s="8">
        <v>1</v>
      </c>
      <c r="M130" s="35"/>
      <c r="N130" s="8">
        <v>2</v>
      </c>
      <c r="O130" s="35"/>
      <c r="P130" s="8">
        <v>0</v>
      </c>
      <c r="R130" s="8"/>
      <c r="S130" s="35">
        <v>0</v>
      </c>
      <c r="T130" s="35"/>
      <c r="U130" s="8">
        <v>0</v>
      </c>
      <c r="V130" s="35"/>
      <c r="W130" s="8">
        <v>0</v>
      </c>
    </row>
    <row r="131" spans="1:23" ht="20" x14ac:dyDescent="0.2">
      <c r="A131" s="4" t="s">
        <v>154</v>
      </c>
      <c r="B131" s="8" t="s">
        <v>22</v>
      </c>
      <c r="E131" s="27">
        <v>1</v>
      </c>
      <c r="F131" s="27"/>
      <c r="G131" s="8">
        <v>1</v>
      </c>
      <c r="H131" s="8"/>
      <c r="I131" s="8">
        <v>1</v>
      </c>
      <c r="J131" s="13"/>
      <c r="K131" s="8"/>
      <c r="L131" s="8">
        <v>1</v>
      </c>
      <c r="M131" s="35"/>
      <c r="N131" s="8">
        <v>2</v>
      </c>
      <c r="O131" s="35"/>
      <c r="P131" s="8">
        <v>0</v>
      </c>
      <c r="R131" s="8"/>
      <c r="S131" s="35">
        <v>0</v>
      </c>
      <c r="T131" s="35"/>
      <c r="U131" s="8">
        <v>0</v>
      </c>
      <c r="V131" s="35"/>
      <c r="W131" s="8">
        <v>0</v>
      </c>
    </row>
    <row r="132" spans="1:23" ht="20" x14ac:dyDescent="0.2">
      <c r="A132" s="4" t="s">
        <v>155</v>
      </c>
      <c r="B132" s="8" t="s">
        <v>22</v>
      </c>
      <c r="E132" s="27">
        <v>1</v>
      </c>
      <c r="F132" s="27"/>
      <c r="G132" s="8">
        <v>1</v>
      </c>
      <c r="H132" s="8"/>
      <c r="I132" s="8">
        <v>1</v>
      </c>
      <c r="J132" s="13"/>
      <c r="K132" s="8"/>
      <c r="L132" s="8">
        <v>1</v>
      </c>
      <c r="M132" s="35"/>
      <c r="N132" s="8">
        <v>2</v>
      </c>
      <c r="O132" s="35"/>
      <c r="P132" s="8">
        <v>0</v>
      </c>
      <c r="R132" s="8"/>
      <c r="S132" s="35">
        <v>0</v>
      </c>
      <c r="T132" s="35"/>
      <c r="U132" s="8">
        <v>0</v>
      </c>
      <c r="V132" s="35"/>
      <c r="W132" s="8">
        <v>0</v>
      </c>
    </row>
    <row r="133" spans="1:23" ht="40" x14ac:dyDescent="0.2">
      <c r="A133" s="4" t="s">
        <v>156</v>
      </c>
      <c r="B133" s="8" t="s">
        <v>22</v>
      </c>
      <c r="E133" s="27">
        <v>1</v>
      </c>
      <c r="F133" s="27"/>
      <c r="G133" s="8">
        <v>1</v>
      </c>
      <c r="H133" s="8"/>
      <c r="I133" s="8">
        <v>1</v>
      </c>
      <c r="J133" s="13"/>
      <c r="K133" s="8"/>
      <c r="L133" s="8">
        <v>1</v>
      </c>
      <c r="M133" s="35"/>
      <c r="N133" s="8">
        <v>2</v>
      </c>
      <c r="O133" s="35"/>
      <c r="P133" s="8">
        <v>0</v>
      </c>
      <c r="R133" s="8"/>
      <c r="S133" s="35">
        <v>0</v>
      </c>
      <c r="T133" s="35"/>
      <c r="U133" s="8">
        <v>0</v>
      </c>
      <c r="V133" s="35"/>
      <c r="W133" s="8">
        <v>0</v>
      </c>
    </row>
    <row r="134" spans="1:23" ht="20" x14ac:dyDescent="0.2">
      <c r="A134" s="4" t="s">
        <v>157</v>
      </c>
      <c r="B134" s="8" t="s">
        <v>22</v>
      </c>
      <c r="E134" s="27">
        <v>1</v>
      </c>
      <c r="F134" s="27"/>
      <c r="G134" s="8">
        <v>1</v>
      </c>
      <c r="H134" s="8"/>
      <c r="I134" s="8">
        <v>1</v>
      </c>
      <c r="J134" s="13"/>
      <c r="K134" s="8"/>
      <c r="L134" s="8">
        <v>1</v>
      </c>
      <c r="M134" s="35"/>
      <c r="N134" s="8">
        <v>2</v>
      </c>
      <c r="O134" s="35"/>
      <c r="P134" s="8">
        <v>0</v>
      </c>
      <c r="R134" s="8"/>
      <c r="S134" s="35">
        <v>0</v>
      </c>
      <c r="T134" s="35"/>
      <c r="U134" s="8">
        <v>0</v>
      </c>
      <c r="V134" s="35"/>
      <c r="W134" s="8">
        <v>0</v>
      </c>
    </row>
    <row r="135" spans="1:23" ht="40" x14ac:dyDescent="0.2">
      <c r="A135" s="5" t="s">
        <v>9</v>
      </c>
      <c r="B135" s="9" t="s">
        <v>23</v>
      </c>
      <c r="C135" s="51" t="s">
        <v>112</v>
      </c>
      <c r="E135" s="28">
        <v>0</v>
      </c>
      <c r="F135" s="28"/>
      <c r="G135" s="9">
        <v>0</v>
      </c>
      <c r="H135" s="9"/>
      <c r="I135" s="9">
        <v>1</v>
      </c>
      <c r="J135" s="13"/>
      <c r="K135" s="9"/>
      <c r="L135" s="9">
        <v>1</v>
      </c>
      <c r="M135" s="36"/>
      <c r="N135" s="9">
        <v>2</v>
      </c>
      <c r="O135" s="36"/>
      <c r="P135" s="9">
        <v>0</v>
      </c>
      <c r="R135" s="9"/>
      <c r="S135" s="36">
        <v>0</v>
      </c>
      <c r="T135" s="36"/>
      <c r="U135" s="9">
        <v>0</v>
      </c>
      <c r="V135" s="36"/>
      <c r="W135" s="9">
        <v>0</v>
      </c>
    </row>
    <row r="136" spans="1:23" ht="40" x14ac:dyDescent="0.2">
      <c r="A136" s="5" t="s">
        <v>158</v>
      </c>
      <c r="B136" s="9" t="s">
        <v>23</v>
      </c>
      <c r="E136" s="28">
        <v>0</v>
      </c>
      <c r="F136" s="28"/>
      <c r="G136" s="9">
        <v>0</v>
      </c>
      <c r="H136" s="9"/>
      <c r="I136" s="9">
        <v>1</v>
      </c>
      <c r="J136" s="13"/>
      <c r="K136" s="9"/>
      <c r="L136" s="9">
        <v>1</v>
      </c>
      <c r="M136" s="36"/>
      <c r="N136" s="9">
        <v>2</v>
      </c>
      <c r="O136" s="36"/>
      <c r="P136" s="9">
        <v>0</v>
      </c>
      <c r="R136" s="9"/>
      <c r="S136" s="36">
        <v>0</v>
      </c>
      <c r="T136" s="36"/>
      <c r="U136" s="9">
        <v>0</v>
      </c>
      <c r="V136" s="36"/>
      <c r="W136" s="9">
        <v>0</v>
      </c>
    </row>
    <row r="137" spans="1:23" ht="40" x14ac:dyDescent="0.2">
      <c r="A137" s="5" t="s">
        <v>159</v>
      </c>
      <c r="B137" s="9" t="s">
        <v>23</v>
      </c>
      <c r="E137" s="28">
        <v>0</v>
      </c>
      <c r="F137" s="28"/>
      <c r="G137" s="9">
        <v>0</v>
      </c>
      <c r="H137" s="9"/>
      <c r="I137" s="9">
        <v>1</v>
      </c>
      <c r="J137" s="13"/>
      <c r="K137" s="9"/>
      <c r="L137" s="9">
        <v>1</v>
      </c>
      <c r="M137" s="36"/>
      <c r="N137" s="9">
        <v>2</v>
      </c>
      <c r="O137" s="36"/>
      <c r="P137" s="9">
        <v>0</v>
      </c>
      <c r="R137" s="9"/>
      <c r="S137" s="36">
        <v>0</v>
      </c>
      <c r="T137" s="36"/>
      <c r="U137" s="9">
        <v>0</v>
      </c>
      <c r="V137" s="36"/>
      <c r="W137" s="9">
        <v>0</v>
      </c>
    </row>
    <row r="138" spans="1:23" ht="40" x14ac:dyDescent="0.2">
      <c r="A138" s="5" t="s">
        <v>160</v>
      </c>
      <c r="B138" s="9" t="s">
        <v>23</v>
      </c>
      <c r="E138" s="28">
        <v>0</v>
      </c>
      <c r="F138" s="28"/>
      <c r="G138" s="9">
        <v>0</v>
      </c>
      <c r="H138" s="9"/>
      <c r="I138" s="9">
        <v>1</v>
      </c>
      <c r="J138" s="13"/>
      <c r="K138" s="9"/>
      <c r="L138" s="9">
        <v>1</v>
      </c>
      <c r="M138" s="36"/>
      <c r="N138" s="9">
        <v>2</v>
      </c>
      <c r="O138" s="36"/>
      <c r="P138" s="9">
        <v>0</v>
      </c>
      <c r="R138" s="9"/>
      <c r="S138" s="36">
        <v>0</v>
      </c>
      <c r="T138" s="36"/>
      <c r="U138" s="9">
        <v>0</v>
      </c>
      <c r="V138" s="36"/>
      <c r="W138" s="9">
        <v>0</v>
      </c>
    </row>
    <row r="139" spans="1:23" ht="40" x14ac:dyDescent="0.2">
      <c r="A139" s="5" t="s">
        <v>161</v>
      </c>
      <c r="B139" s="9" t="s">
        <v>23</v>
      </c>
      <c r="E139" s="28">
        <v>0</v>
      </c>
      <c r="F139" s="28"/>
      <c r="G139" s="9">
        <v>0</v>
      </c>
      <c r="H139" s="9"/>
      <c r="I139" s="9">
        <v>1</v>
      </c>
      <c r="J139" s="13"/>
      <c r="K139" s="9"/>
      <c r="L139" s="9">
        <v>0</v>
      </c>
      <c r="M139" s="36"/>
      <c r="N139" s="9">
        <v>2</v>
      </c>
      <c r="O139" s="36"/>
      <c r="P139" s="9">
        <v>0</v>
      </c>
      <c r="R139" s="9"/>
      <c r="S139" s="36">
        <v>0</v>
      </c>
      <c r="T139" s="36"/>
      <c r="U139" s="9">
        <v>0</v>
      </c>
      <c r="V139" s="36"/>
      <c r="W139" s="9">
        <v>0</v>
      </c>
    </row>
    <row r="140" spans="1:23" ht="40" x14ac:dyDescent="0.2">
      <c r="A140" s="5" t="s">
        <v>162</v>
      </c>
      <c r="B140" s="9" t="s">
        <v>23</v>
      </c>
      <c r="E140" s="28">
        <v>0</v>
      </c>
      <c r="F140" s="28"/>
      <c r="G140" s="9">
        <v>0</v>
      </c>
      <c r="H140" s="9"/>
      <c r="I140" s="9">
        <v>1</v>
      </c>
      <c r="J140" s="13"/>
      <c r="K140" s="9"/>
      <c r="L140" s="9">
        <v>1</v>
      </c>
      <c r="M140" s="36"/>
      <c r="N140" s="9">
        <v>2</v>
      </c>
      <c r="O140" s="36"/>
      <c r="P140" s="9">
        <v>0</v>
      </c>
      <c r="R140" s="9"/>
      <c r="S140" s="36">
        <v>0</v>
      </c>
      <c r="T140" s="36"/>
      <c r="U140" s="9">
        <v>0</v>
      </c>
      <c r="V140" s="36"/>
      <c r="W140" s="9">
        <v>0</v>
      </c>
    </row>
    <row r="141" spans="1:23" ht="40" x14ac:dyDescent="0.2">
      <c r="A141" s="5" t="s">
        <v>163</v>
      </c>
      <c r="B141" s="9" t="s">
        <v>23</v>
      </c>
      <c r="E141" s="28">
        <v>0</v>
      </c>
      <c r="F141" s="28"/>
      <c r="G141" s="9">
        <v>0</v>
      </c>
      <c r="H141" s="9"/>
      <c r="I141" s="9">
        <v>1</v>
      </c>
      <c r="J141" s="13"/>
      <c r="K141" s="9"/>
      <c r="L141" s="9">
        <v>1</v>
      </c>
      <c r="M141" s="36"/>
      <c r="N141" s="9">
        <v>2</v>
      </c>
      <c r="O141" s="36"/>
      <c r="P141" s="9">
        <v>0</v>
      </c>
      <c r="R141" s="9"/>
      <c r="S141" s="36">
        <v>0</v>
      </c>
      <c r="T141" s="36"/>
      <c r="U141" s="9">
        <v>0</v>
      </c>
      <c r="V141" s="36"/>
      <c r="W141" s="9">
        <v>0</v>
      </c>
    </row>
    <row r="142" spans="1:23" ht="40" x14ac:dyDescent="0.2">
      <c r="A142" s="5" t="s">
        <v>164</v>
      </c>
      <c r="B142" s="9" t="s">
        <v>23</v>
      </c>
      <c r="E142" s="28">
        <v>0</v>
      </c>
      <c r="F142" s="28"/>
      <c r="G142" s="9">
        <v>0</v>
      </c>
      <c r="H142" s="9"/>
      <c r="I142" s="9">
        <v>1</v>
      </c>
      <c r="J142" s="13"/>
      <c r="K142" s="9"/>
      <c r="L142" s="9">
        <v>1</v>
      </c>
      <c r="M142" s="36"/>
      <c r="N142" s="9">
        <v>2</v>
      </c>
      <c r="O142" s="36"/>
      <c r="P142" s="9">
        <v>0</v>
      </c>
      <c r="R142" s="9"/>
      <c r="S142" s="36">
        <v>0</v>
      </c>
      <c r="T142" s="36"/>
      <c r="U142" s="9">
        <v>0</v>
      </c>
      <c r="V142" s="36"/>
      <c r="W142" s="9">
        <v>0</v>
      </c>
    </row>
    <row r="143" spans="1:23" ht="40" x14ac:dyDescent="0.2">
      <c r="A143" s="5" t="s">
        <v>165</v>
      </c>
      <c r="B143" s="9" t="s">
        <v>23</v>
      </c>
      <c r="E143" s="28">
        <v>0</v>
      </c>
      <c r="F143" s="28"/>
      <c r="G143" s="9">
        <v>0</v>
      </c>
      <c r="H143" s="9"/>
      <c r="I143" s="9">
        <v>1</v>
      </c>
      <c r="J143" s="13"/>
      <c r="K143" s="9"/>
      <c r="L143" s="9">
        <v>1</v>
      </c>
      <c r="M143" s="36"/>
      <c r="N143" s="9">
        <v>2</v>
      </c>
      <c r="O143" s="36"/>
      <c r="P143" s="9">
        <v>0</v>
      </c>
      <c r="R143" s="9"/>
      <c r="S143" s="36">
        <v>0</v>
      </c>
      <c r="T143" s="36"/>
      <c r="U143" s="9">
        <v>0</v>
      </c>
      <c r="V143" s="36"/>
      <c r="W143" s="9">
        <v>0</v>
      </c>
    </row>
    <row r="144" spans="1:23" ht="34" x14ac:dyDescent="0.2">
      <c r="A144" s="3" t="s">
        <v>166</v>
      </c>
      <c r="B144" s="7" t="s">
        <v>24</v>
      </c>
      <c r="C144" s="51" t="s">
        <v>113</v>
      </c>
      <c r="E144" s="26">
        <v>1</v>
      </c>
      <c r="F144" s="26"/>
      <c r="G144" s="7">
        <v>1</v>
      </c>
      <c r="H144" s="7"/>
      <c r="I144" s="7">
        <v>2</v>
      </c>
      <c r="J144" s="13"/>
      <c r="K144" s="7"/>
      <c r="L144" s="7">
        <v>1</v>
      </c>
      <c r="M144" s="34"/>
      <c r="N144" s="7">
        <v>2</v>
      </c>
      <c r="O144" s="34"/>
      <c r="P144" s="7">
        <v>2</v>
      </c>
      <c r="R144" s="7"/>
      <c r="S144" s="34">
        <v>0</v>
      </c>
      <c r="T144" s="34"/>
      <c r="U144" s="7">
        <v>2</v>
      </c>
      <c r="V144" s="34"/>
      <c r="W144" s="7">
        <v>1</v>
      </c>
    </row>
    <row r="145" spans="1:23" ht="20" x14ac:dyDescent="0.2">
      <c r="A145" s="3" t="s">
        <v>167</v>
      </c>
      <c r="B145" s="7" t="s">
        <v>24</v>
      </c>
      <c r="E145" s="26">
        <v>1</v>
      </c>
      <c r="F145" s="26"/>
      <c r="G145" s="7">
        <v>1</v>
      </c>
      <c r="H145" s="7"/>
      <c r="I145" s="7">
        <v>2</v>
      </c>
      <c r="J145" s="13"/>
      <c r="K145" s="7"/>
      <c r="L145" s="7">
        <v>1</v>
      </c>
      <c r="M145" s="34"/>
      <c r="N145" s="7">
        <v>2</v>
      </c>
      <c r="O145" s="34"/>
      <c r="P145" s="7">
        <v>2</v>
      </c>
      <c r="R145" s="7"/>
      <c r="S145" s="34">
        <v>0</v>
      </c>
      <c r="T145" s="34"/>
      <c r="U145" s="7">
        <v>2</v>
      </c>
      <c r="V145" s="34"/>
      <c r="W145" s="7">
        <v>1</v>
      </c>
    </row>
    <row r="146" spans="1:23" ht="40" x14ac:dyDescent="0.2">
      <c r="A146" s="3" t="s">
        <v>168</v>
      </c>
      <c r="B146" s="7" t="s">
        <v>24</v>
      </c>
      <c r="E146" s="26">
        <v>1</v>
      </c>
      <c r="F146" s="26"/>
      <c r="G146" s="7">
        <v>1</v>
      </c>
      <c r="H146" s="7"/>
      <c r="I146" s="7">
        <v>1</v>
      </c>
      <c r="J146" s="13"/>
      <c r="K146" s="7"/>
      <c r="L146" s="7">
        <v>1</v>
      </c>
      <c r="M146" s="34"/>
      <c r="N146" s="7">
        <v>2</v>
      </c>
      <c r="O146" s="34"/>
      <c r="P146" s="7">
        <v>0</v>
      </c>
      <c r="R146" s="7"/>
      <c r="S146" s="34">
        <v>0</v>
      </c>
      <c r="T146" s="34"/>
      <c r="U146" s="7">
        <v>0</v>
      </c>
      <c r="V146" s="34"/>
      <c r="W146" s="7">
        <v>0</v>
      </c>
    </row>
    <row r="147" spans="1:23" ht="20" x14ac:dyDescent="0.2">
      <c r="A147" s="3" t="s">
        <v>169</v>
      </c>
      <c r="B147" s="7" t="s">
        <v>24</v>
      </c>
      <c r="E147" s="26">
        <v>1</v>
      </c>
      <c r="F147" s="26"/>
      <c r="G147" s="7">
        <v>1</v>
      </c>
      <c r="H147" s="7"/>
      <c r="I147" s="7">
        <v>1</v>
      </c>
      <c r="J147" s="13"/>
      <c r="K147" s="7"/>
      <c r="L147" s="7">
        <v>1</v>
      </c>
      <c r="M147" s="34"/>
      <c r="N147" s="7">
        <v>2</v>
      </c>
      <c r="O147" s="34"/>
      <c r="P147" s="7">
        <v>0</v>
      </c>
      <c r="R147" s="7"/>
      <c r="S147" s="34">
        <v>0</v>
      </c>
      <c r="T147" s="34"/>
      <c r="U147" s="7">
        <v>0</v>
      </c>
      <c r="V147" s="34"/>
      <c r="W147" s="7">
        <v>0</v>
      </c>
    </row>
    <row r="148" spans="1:23" ht="20" x14ac:dyDescent="0.2">
      <c r="A148" s="3" t="s">
        <v>170</v>
      </c>
      <c r="B148" s="7" t="s">
        <v>24</v>
      </c>
      <c r="E148" s="26">
        <v>1</v>
      </c>
      <c r="F148" s="26"/>
      <c r="G148" s="7">
        <v>1</v>
      </c>
      <c r="H148" s="7"/>
      <c r="I148" s="7">
        <v>1</v>
      </c>
      <c r="J148" s="13"/>
      <c r="K148" s="7"/>
      <c r="L148" s="7">
        <v>1</v>
      </c>
      <c r="M148" s="34"/>
      <c r="N148" s="7">
        <v>2</v>
      </c>
      <c r="O148" s="34"/>
      <c r="P148" s="7">
        <v>0</v>
      </c>
      <c r="R148" s="7"/>
      <c r="S148" s="34">
        <v>0</v>
      </c>
      <c r="T148" s="34"/>
      <c r="U148" s="7">
        <v>0</v>
      </c>
      <c r="V148" s="34"/>
      <c r="W148" s="7">
        <v>0</v>
      </c>
    </row>
    <row r="149" spans="1:23" ht="40" x14ac:dyDescent="0.2">
      <c r="A149" s="3" t="s">
        <v>171</v>
      </c>
      <c r="B149" s="7" t="s">
        <v>24</v>
      </c>
      <c r="E149" s="26">
        <v>1</v>
      </c>
      <c r="F149" s="26"/>
      <c r="G149" s="7">
        <v>1</v>
      </c>
      <c r="H149" s="7"/>
      <c r="I149" s="7">
        <v>1</v>
      </c>
      <c r="J149" s="13"/>
      <c r="K149" s="7"/>
      <c r="L149" s="7">
        <v>1</v>
      </c>
      <c r="M149" s="34"/>
      <c r="N149" s="7">
        <v>2</v>
      </c>
      <c r="O149" s="34"/>
      <c r="P149" s="7">
        <v>0</v>
      </c>
      <c r="R149" s="7"/>
      <c r="S149" s="34">
        <v>0</v>
      </c>
      <c r="T149" s="34"/>
      <c r="U149" s="7">
        <v>0</v>
      </c>
      <c r="V149" s="34"/>
      <c r="W149" s="7">
        <v>0</v>
      </c>
    </row>
    <row r="150" spans="1:23" ht="20" x14ac:dyDescent="0.2">
      <c r="A150" s="3" t="s">
        <v>172</v>
      </c>
      <c r="B150" s="7" t="s">
        <v>24</v>
      </c>
      <c r="E150" s="26">
        <v>1</v>
      </c>
      <c r="F150" s="26"/>
      <c r="G150" s="7">
        <v>1</v>
      </c>
      <c r="H150" s="7"/>
      <c r="I150" s="7">
        <v>1</v>
      </c>
      <c r="J150" s="13"/>
      <c r="K150" s="7"/>
      <c r="L150" s="7">
        <v>1</v>
      </c>
      <c r="M150" s="34"/>
      <c r="N150" s="7">
        <v>2</v>
      </c>
      <c r="O150" s="34"/>
      <c r="P150" s="7">
        <v>0</v>
      </c>
      <c r="R150" s="7"/>
      <c r="S150" s="34">
        <v>0</v>
      </c>
      <c r="T150" s="34"/>
      <c r="U150" s="7">
        <v>0</v>
      </c>
      <c r="V150" s="34"/>
      <c r="W150" s="7">
        <v>0</v>
      </c>
    </row>
    <row r="151" spans="1:23" ht="20" x14ac:dyDescent="0.2">
      <c r="A151" s="3" t="s">
        <v>173</v>
      </c>
      <c r="B151" s="7" t="s">
        <v>24</v>
      </c>
      <c r="E151" s="26">
        <v>1</v>
      </c>
      <c r="F151" s="26"/>
      <c r="G151" s="7">
        <v>1</v>
      </c>
      <c r="H151" s="7"/>
      <c r="I151" s="7">
        <v>1</v>
      </c>
      <c r="J151" s="13"/>
      <c r="K151" s="7"/>
      <c r="L151" s="7">
        <v>1</v>
      </c>
      <c r="M151" s="34"/>
      <c r="N151" s="7">
        <v>2</v>
      </c>
      <c r="O151" s="34"/>
      <c r="P151" s="7">
        <v>0</v>
      </c>
      <c r="R151" s="7"/>
      <c r="S151" s="34">
        <v>0</v>
      </c>
      <c r="T151" s="34"/>
      <c r="U151" s="7">
        <v>0</v>
      </c>
      <c r="V151" s="34"/>
      <c r="W151" s="7">
        <v>0</v>
      </c>
    </row>
    <row r="152" spans="1:23" ht="20" x14ac:dyDescent="0.2">
      <c r="A152" s="3" t="s">
        <v>174</v>
      </c>
      <c r="B152" s="7" t="s">
        <v>24</v>
      </c>
      <c r="E152" s="26">
        <v>1</v>
      </c>
      <c r="F152" s="26"/>
      <c r="G152" s="7">
        <v>1</v>
      </c>
      <c r="H152" s="7"/>
      <c r="I152" s="7">
        <v>1</v>
      </c>
      <c r="J152" s="13"/>
      <c r="K152" s="7"/>
      <c r="L152" s="7">
        <v>1</v>
      </c>
      <c r="M152" s="34"/>
      <c r="N152" s="7">
        <v>2</v>
      </c>
      <c r="O152" s="34"/>
      <c r="P152" s="7">
        <v>0</v>
      </c>
      <c r="R152" s="7"/>
      <c r="S152" s="34">
        <v>0</v>
      </c>
      <c r="T152" s="34"/>
      <c r="U152" s="7">
        <v>0</v>
      </c>
      <c r="V152" s="34"/>
      <c r="W152" s="7">
        <v>0</v>
      </c>
    </row>
    <row r="153" spans="1:23" ht="34" x14ac:dyDescent="0.2">
      <c r="A153" s="4" t="s">
        <v>175</v>
      </c>
      <c r="B153" s="8" t="s">
        <v>25</v>
      </c>
      <c r="C153" s="51" t="s">
        <v>114</v>
      </c>
      <c r="E153" s="27">
        <v>1</v>
      </c>
      <c r="F153" s="27"/>
      <c r="G153" s="8">
        <v>1</v>
      </c>
      <c r="H153" s="8"/>
      <c r="I153" s="8">
        <v>2</v>
      </c>
      <c r="J153" s="13"/>
      <c r="K153" s="8"/>
      <c r="L153" s="8">
        <v>1</v>
      </c>
      <c r="M153" s="35"/>
      <c r="N153" s="8">
        <v>2</v>
      </c>
      <c r="O153" s="35"/>
      <c r="P153" s="8">
        <v>2</v>
      </c>
      <c r="R153" s="8"/>
      <c r="S153" s="35">
        <v>0</v>
      </c>
      <c r="T153" s="35"/>
      <c r="U153" s="8">
        <v>2</v>
      </c>
      <c r="V153" s="35"/>
      <c r="W153" s="8">
        <v>1</v>
      </c>
    </row>
    <row r="154" spans="1:23" ht="20" x14ac:dyDescent="0.2">
      <c r="A154" s="4" t="s">
        <v>176</v>
      </c>
      <c r="B154" s="8" t="s">
        <v>25</v>
      </c>
      <c r="E154" s="27">
        <v>1</v>
      </c>
      <c r="F154" s="27"/>
      <c r="G154" s="8">
        <v>1</v>
      </c>
      <c r="H154" s="8"/>
      <c r="I154" s="8">
        <v>2</v>
      </c>
      <c r="J154" s="13"/>
      <c r="K154" s="8"/>
      <c r="L154" s="8">
        <v>2</v>
      </c>
      <c r="M154" s="35"/>
      <c r="N154" s="8">
        <v>2</v>
      </c>
      <c r="O154" s="35"/>
      <c r="P154" s="8">
        <v>2</v>
      </c>
      <c r="R154" s="8"/>
      <c r="S154" s="35">
        <v>0</v>
      </c>
      <c r="T154" s="35"/>
      <c r="U154" s="8">
        <v>2</v>
      </c>
      <c r="V154" s="35"/>
      <c r="W154" s="8">
        <v>2</v>
      </c>
    </row>
    <row r="155" spans="1:23" ht="20" x14ac:dyDescent="0.2">
      <c r="A155" s="4" t="s">
        <v>177</v>
      </c>
      <c r="B155" s="8" t="s">
        <v>25</v>
      </c>
      <c r="E155" s="27">
        <v>1</v>
      </c>
      <c r="F155" s="27"/>
      <c r="G155" s="8">
        <v>0</v>
      </c>
      <c r="H155" s="8"/>
      <c r="I155" s="8">
        <v>1</v>
      </c>
      <c r="J155" s="13"/>
      <c r="K155" s="8"/>
      <c r="L155" s="8">
        <v>1</v>
      </c>
      <c r="M155" s="35"/>
      <c r="N155" s="8">
        <v>2</v>
      </c>
      <c r="O155" s="35"/>
      <c r="P155" s="8">
        <v>0</v>
      </c>
      <c r="R155" s="8"/>
      <c r="S155" s="35">
        <v>0</v>
      </c>
      <c r="T155" s="35"/>
      <c r="U155" s="8">
        <v>0</v>
      </c>
      <c r="V155" s="35"/>
      <c r="W155" s="8">
        <v>0</v>
      </c>
    </row>
    <row r="156" spans="1:23" ht="20" x14ac:dyDescent="0.2">
      <c r="A156" s="4" t="s">
        <v>178</v>
      </c>
      <c r="B156" s="8" t="s">
        <v>25</v>
      </c>
      <c r="E156" s="27">
        <v>1</v>
      </c>
      <c r="F156" s="27"/>
      <c r="G156" s="8">
        <v>0</v>
      </c>
      <c r="H156" s="8"/>
      <c r="I156" s="8">
        <v>1</v>
      </c>
      <c r="J156" s="13"/>
      <c r="K156" s="8"/>
      <c r="L156" s="8">
        <v>1</v>
      </c>
      <c r="M156" s="35"/>
      <c r="N156" s="8">
        <v>2</v>
      </c>
      <c r="O156" s="35"/>
      <c r="P156" s="8">
        <v>0</v>
      </c>
      <c r="R156" s="8"/>
      <c r="S156" s="35">
        <v>0</v>
      </c>
      <c r="T156" s="35"/>
      <c r="U156" s="8">
        <v>0</v>
      </c>
      <c r="V156" s="35"/>
      <c r="W156" s="8">
        <v>0</v>
      </c>
    </row>
    <row r="157" spans="1:23" ht="20" x14ac:dyDescent="0.2">
      <c r="A157" s="4" t="s">
        <v>179</v>
      </c>
      <c r="B157" s="8" t="s">
        <v>25</v>
      </c>
      <c r="E157" s="27">
        <v>1</v>
      </c>
      <c r="F157" s="27"/>
      <c r="G157" s="8">
        <v>0</v>
      </c>
      <c r="H157" s="8"/>
      <c r="I157" s="8">
        <v>1</v>
      </c>
      <c r="J157" s="13"/>
      <c r="K157" s="8"/>
      <c r="L157" s="8">
        <v>1</v>
      </c>
      <c r="M157" s="35"/>
      <c r="N157" s="8">
        <v>2</v>
      </c>
      <c r="O157" s="35"/>
      <c r="P157" s="8">
        <v>0</v>
      </c>
      <c r="R157" s="8"/>
      <c r="S157" s="35">
        <v>0</v>
      </c>
      <c r="T157" s="35"/>
      <c r="U157" s="8">
        <v>0</v>
      </c>
      <c r="V157" s="35"/>
      <c r="W157" s="8">
        <v>0</v>
      </c>
    </row>
    <row r="158" spans="1:23" ht="20" x14ac:dyDescent="0.2">
      <c r="A158" s="4" t="s">
        <v>180</v>
      </c>
      <c r="B158" s="8" t="s">
        <v>25</v>
      </c>
      <c r="E158" s="27">
        <v>1</v>
      </c>
      <c r="F158" s="27"/>
      <c r="G158" s="8">
        <v>0</v>
      </c>
      <c r="H158" s="8"/>
      <c r="I158" s="8">
        <v>1</v>
      </c>
      <c r="J158" s="13"/>
      <c r="K158" s="8"/>
      <c r="L158" s="8">
        <v>1</v>
      </c>
      <c r="M158" s="35"/>
      <c r="N158" s="8">
        <v>2</v>
      </c>
      <c r="O158" s="35"/>
      <c r="P158" s="8">
        <v>0</v>
      </c>
      <c r="R158" s="8"/>
      <c r="S158" s="35">
        <v>0</v>
      </c>
      <c r="T158" s="35"/>
      <c r="U158" s="8">
        <v>0</v>
      </c>
      <c r="V158" s="35"/>
      <c r="W158" s="8">
        <v>0</v>
      </c>
    </row>
    <row r="159" spans="1:23" ht="20" x14ac:dyDescent="0.2">
      <c r="A159" s="4" t="s">
        <v>181</v>
      </c>
      <c r="B159" s="8" t="s">
        <v>25</v>
      </c>
      <c r="E159" s="27">
        <v>1</v>
      </c>
      <c r="F159" s="27"/>
      <c r="G159" s="8">
        <v>0</v>
      </c>
      <c r="H159" s="8"/>
      <c r="I159" s="8">
        <v>1</v>
      </c>
      <c r="J159" s="13"/>
      <c r="K159" s="8"/>
      <c r="L159" s="8">
        <v>1</v>
      </c>
      <c r="M159" s="35"/>
      <c r="N159" s="8">
        <v>2</v>
      </c>
      <c r="O159" s="35"/>
      <c r="P159" s="8">
        <v>0</v>
      </c>
      <c r="R159" s="8"/>
      <c r="S159" s="35">
        <v>0</v>
      </c>
      <c r="T159" s="35"/>
      <c r="U159" s="8">
        <v>0</v>
      </c>
      <c r="V159" s="35"/>
      <c r="W159" s="8">
        <v>0</v>
      </c>
    </row>
    <row r="160" spans="1:23" ht="20" x14ac:dyDescent="0.2">
      <c r="A160" s="4" t="s">
        <v>182</v>
      </c>
      <c r="B160" s="8" t="s">
        <v>25</v>
      </c>
      <c r="E160" s="27">
        <v>1</v>
      </c>
      <c r="F160" s="27"/>
      <c r="G160" s="8">
        <v>0</v>
      </c>
      <c r="H160" s="8"/>
      <c r="I160" s="8">
        <v>1</v>
      </c>
      <c r="J160" s="13"/>
      <c r="K160" s="8"/>
      <c r="L160" s="8">
        <v>1</v>
      </c>
      <c r="M160" s="35"/>
      <c r="N160" s="8">
        <v>2</v>
      </c>
      <c r="O160" s="35"/>
      <c r="P160" s="8">
        <v>0</v>
      </c>
      <c r="R160" s="8"/>
      <c r="S160" s="35">
        <v>0</v>
      </c>
      <c r="T160" s="35"/>
      <c r="U160" s="8">
        <v>0</v>
      </c>
      <c r="V160" s="35"/>
      <c r="W160" s="8">
        <v>0</v>
      </c>
    </row>
    <row r="161" spans="1:23" ht="20" x14ac:dyDescent="0.2">
      <c r="A161" s="4" t="s">
        <v>183</v>
      </c>
      <c r="B161" s="8" t="s">
        <v>25</v>
      </c>
      <c r="E161" s="27">
        <v>1</v>
      </c>
      <c r="F161" s="27"/>
      <c r="G161" s="8">
        <v>0</v>
      </c>
      <c r="H161" s="8"/>
      <c r="I161" s="8">
        <v>1</v>
      </c>
      <c r="J161" s="13"/>
      <c r="K161" s="8"/>
      <c r="L161" s="8">
        <v>1</v>
      </c>
      <c r="M161" s="35"/>
      <c r="N161" s="8">
        <v>2</v>
      </c>
      <c r="O161" s="35"/>
      <c r="P161" s="8">
        <v>0</v>
      </c>
      <c r="R161" s="8"/>
      <c r="S161" s="35">
        <v>0</v>
      </c>
      <c r="T161" s="35"/>
      <c r="U161" s="8">
        <v>0</v>
      </c>
      <c r="V161" s="35"/>
      <c r="W161" s="8">
        <v>0</v>
      </c>
    </row>
    <row r="162" spans="1:23" ht="34" x14ac:dyDescent="0.2">
      <c r="A162" s="5" t="s">
        <v>184</v>
      </c>
      <c r="B162" s="9" t="s">
        <v>26</v>
      </c>
      <c r="C162" s="51" t="s">
        <v>115</v>
      </c>
      <c r="E162" s="28">
        <v>1</v>
      </c>
      <c r="F162" s="28"/>
      <c r="G162" s="9">
        <v>1</v>
      </c>
      <c r="H162" s="9"/>
      <c r="I162" s="9">
        <v>1</v>
      </c>
      <c r="J162" s="13"/>
      <c r="K162" s="9"/>
      <c r="L162" s="9">
        <v>1</v>
      </c>
      <c r="M162" s="36"/>
      <c r="N162" s="9">
        <v>2</v>
      </c>
      <c r="O162" s="36"/>
      <c r="P162" s="9">
        <v>0</v>
      </c>
      <c r="R162" s="9"/>
      <c r="S162" s="36">
        <v>0</v>
      </c>
      <c r="T162" s="36"/>
      <c r="U162" s="9">
        <v>2</v>
      </c>
      <c r="V162" s="36"/>
      <c r="W162" s="9">
        <v>1</v>
      </c>
    </row>
    <row r="163" spans="1:23" ht="20" x14ac:dyDescent="0.2">
      <c r="A163" s="5" t="s">
        <v>185</v>
      </c>
      <c r="B163" s="9" t="s">
        <v>26</v>
      </c>
      <c r="E163" s="28">
        <v>1</v>
      </c>
      <c r="F163" s="28"/>
      <c r="G163" s="9">
        <v>1</v>
      </c>
      <c r="H163" s="9"/>
      <c r="I163" s="9">
        <v>1</v>
      </c>
      <c r="J163" s="13"/>
      <c r="K163" s="9"/>
      <c r="L163" s="9">
        <v>1</v>
      </c>
      <c r="M163" s="36"/>
      <c r="N163" s="9">
        <v>2</v>
      </c>
      <c r="O163" s="36"/>
      <c r="P163" s="9">
        <v>0</v>
      </c>
      <c r="R163" s="9"/>
      <c r="S163" s="36">
        <v>0</v>
      </c>
      <c r="T163" s="36"/>
      <c r="U163" s="9">
        <v>2</v>
      </c>
      <c r="V163" s="36"/>
      <c r="W163" s="9">
        <v>0</v>
      </c>
    </row>
    <row r="164" spans="1:23" ht="20" x14ac:dyDescent="0.2">
      <c r="A164" s="5" t="s">
        <v>186</v>
      </c>
      <c r="B164" s="9" t="s">
        <v>26</v>
      </c>
      <c r="E164" s="28">
        <v>1</v>
      </c>
      <c r="F164" s="28"/>
      <c r="G164" s="9">
        <v>1</v>
      </c>
      <c r="H164" s="9"/>
      <c r="I164" s="9">
        <v>1</v>
      </c>
      <c r="J164" s="13"/>
      <c r="K164" s="9"/>
      <c r="L164" s="9">
        <v>1</v>
      </c>
      <c r="M164" s="36"/>
      <c r="N164" s="9">
        <v>2</v>
      </c>
      <c r="O164" s="36"/>
      <c r="P164" s="9">
        <v>0</v>
      </c>
      <c r="R164" s="9"/>
      <c r="S164" s="36">
        <v>0</v>
      </c>
      <c r="T164" s="36"/>
      <c r="U164" s="9">
        <v>2</v>
      </c>
      <c r="V164" s="36"/>
      <c r="W164" s="9">
        <v>0</v>
      </c>
    </row>
    <row r="165" spans="1:23" ht="20" x14ac:dyDescent="0.2">
      <c r="A165" s="5" t="s">
        <v>187</v>
      </c>
      <c r="B165" s="9" t="s">
        <v>26</v>
      </c>
      <c r="E165" s="28">
        <v>1</v>
      </c>
      <c r="F165" s="28"/>
      <c r="G165" s="9">
        <v>1</v>
      </c>
      <c r="H165" s="9"/>
      <c r="I165" s="9">
        <v>1</v>
      </c>
      <c r="J165" s="13"/>
      <c r="K165" s="9"/>
      <c r="L165" s="9">
        <v>0</v>
      </c>
      <c r="M165" s="36"/>
      <c r="N165" s="9">
        <v>2</v>
      </c>
      <c r="O165" s="36"/>
      <c r="P165" s="9">
        <v>0</v>
      </c>
      <c r="R165" s="9"/>
      <c r="S165" s="36">
        <v>0</v>
      </c>
      <c r="T165" s="36"/>
      <c r="U165" s="9">
        <v>2</v>
      </c>
      <c r="V165" s="36"/>
      <c r="W165" s="9">
        <v>0</v>
      </c>
    </row>
    <row r="166" spans="1:23" ht="20" x14ac:dyDescent="0.2">
      <c r="A166" s="5" t="s">
        <v>188</v>
      </c>
      <c r="B166" s="9" t="s">
        <v>26</v>
      </c>
      <c r="E166" s="28">
        <v>1</v>
      </c>
      <c r="F166" s="28"/>
      <c r="G166" s="9">
        <v>1</v>
      </c>
      <c r="H166" s="9"/>
      <c r="I166" s="9">
        <v>1</v>
      </c>
      <c r="J166" s="13"/>
      <c r="K166" s="9"/>
      <c r="L166" s="9">
        <v>1</v>
      </c>
      <c r="M166" s="36"/>
      <c r="N166" s="9">
        <v>2</v>
      </c>
      <c r="O166" s="36"/>
      <c r="P166" s="9">
        <v>0</v>
      </c>
      <c r="R166" s="9"/>
      <c r="S166" s="36">
        <v>0</v>
      </c>
      <c r="T166" s="36"/>
      <c r="U166" s="9">
        <v>2</v>
      </c>
      <c r="V166" s="36"/>
      <c r="W166" s="9">
        <v>0</v>
      </c>
    </row>
    <row r="167" spans="1:23" ht="20" x14ac:dyDescent="0.2">
      <c r="A167" s="5" t="s">
        <v>189</v>
      </c>
      <c r="B167" s="9" t="s">
        <v>26</v>
      </c>
      <c r="E167" s="28">
        <v>1</v>
      </c>
      <c r="F167" s="28"/>
      <c r="G167" s="9">
        <v>1</v>
      </c>
      <c r="H167" s="9"/>
      <c r="I167" s="9">
        <v>1</v>
      </c>
      <c r="J167" s="13"/>
      <c r="K167" s="9"/>
      <c r="L167" s="9">
        <v>1</v>
      </c>
      <c r="M167" s="36"/>
      <c r="N167" s="9">
        <v>2</v>
      </c>
      <c r="O167" s="36"/>
      <c r="P167" s="9">
        <v>0</v>
      </c>
      <c r="R167" s="9"/>
      <c r="S167" s="36">
        <v>0</v>
      </c>
      <c r="T167" s="36"/>
      <c r="U167" s="9">
        <v>2</v>
      </c>
      <c r="V167" s="36"/>
      <c r="W167" s="9">
        <v>0</v>
      </c>
    </row>
    <row r="168" spans="1:23" ht="20" x14ac:dyDescent="0.2">
      <c r="A168" s="5" t="s">
        <v>190</v>
      </c>
      <c r="B168" s="9" t="s">
        <v>26</v>
      </c>
      <c r="E168" s="28">
        <v>1</v>
      </c>
      <c r="F168" s="28"/>
      <c r="G168" s="9">
        <v>1</v>
      </c>
      <c r="H168" s="9"/>
      <c r="I168" s="9">
        <v>1</v>
      </c>
      <c r="J168" s="13"/>
      <c r="K168" s="9"/>
      <c r="L168" s="9">
        <v>1</v>
      </c>
      <c r="M168" s="36"/>
      <c r="N168" s="9">
        <v>2</v>
      </c>
      <c r="O168" s="36"/>
      <c r="P168" s="9">
        <v>0</v>
      </c>
      <c r="R168" s="9"/>
      <c r="S168" s="36">
        <v>0</v>
      </c>
      <c r="T168" s="36"/>
      <c r="U168" s="9">
        <v>2</v>
      </c>
      <c r="V168" s="36"/>
      <c r="W168" s="9">
        <v>1</v>
      </c>
    </row>
    <row r="169" spans="1:23" ht="20" x14ac:dyDescent="0.2">
      <c r="A169" s="5" t="s">
        <v>191</v>
      </c>
      <c r="B169" s="9" t="s">
        <v>26</v>
      </c>
      <c r="E169" s="28">
        <v>1</v>
      </c>
      <c r="F169" s="28"/>
      <c r="G169" s="9">
        <v>1</v>
      </c>
      <c r="H169" s="9"/>
      <c r="I169" s="9">
        <v>1</v>
      </c>
      <c r="J169" s="13"/>
      <c r="K169" s="9"/>
      <c r="L169" s="9">
        <v>1</v>
      </c>
      <c r="M169" s="36"/>
      <c r="N169" s="9">
        <v>2</v>
      </c>
      <c r="O169" s="36"/>
      <c r="P169" s="9">
        <v>0</v>
      </c>
      <c r="R169" s="9"/>
      <c r="S169" s="36">
        <v>0</v>
      </c>
      <c r="T169" s="36"/>
      <c r="U169" s="9">
        <v>2</v>
      </c>
      <c r="V169" s="36"/>
      <c r="W169" s="9">
        <v>0</v>
      </c>
    </row>
    <row r="170" spans="1:23" ht="20" x14ac:dyDescent="0.2">
      <c r="A170" s="5" t="s">
        <v>192</v>
      </c>
      <c r="B170" s="9" t="s">
        <v>26</v>
      </c>
      <c r="E170" s="28">
        <v>1</v>
      </c>
      <c r="F170" s="28"/>
      <c r="G170" s="9">
        <v>1</v>
      </c>
      <c r="H170" s="9"/>
      <c r="I170" s="9">
        <v>1</v>
      </c>
      <c r="J170" s="13"/>
      <c r="K170" s="9"/>
      <c r="L170" s="9">
        <v>1</v>
      </c>
      <c r="M170" s="36"/>
      <c r="N170" s="9">
        <v>2</v>
      </c>
      <c r="O170" s="36"/>
      <c r="P170" s="9">
        <v>0</v>
      </c>
      <c r="R170" s="9"/>
      <c r="S170" s="36">
        <v>0</v>
      </c>
      <c r="T170" s="36"/>
      <c r="U170" s="9">
        <v>2</v>
      </c>
      <c r="V170" s="36"/>
      <c r="W170" s="9">
        <v>0</v>
      </c>
    </row>
    <row r="171" spans="1:23" ht="34" x14ac:dyDescent="0.2">
      <c r="A171" s="3" t="s">
        <v>161</v>
      </c>
      <c r="B171" s="7" t="s">
        <v>47</v>
      </c>
      <c r="C171" s="51" t="s">
        <v>116</v>
      </c>
      <c r="E171" s="26">
        <v>1</v>
      </c>
      <c r="F171" s="26"/>
      <c r="G171" s="7">
        <v>0</v>
      </c>
      <c r="H171" s="7"/>
      <c r="I171" s="7">
        <v>1</v>
      </c>
      <c r="J171" s="13"/>
      <c r="K171" s="7"/>
      <c r="L171" s="7">
        <v>0</v>
      </c>
      <c r="M171" s="34"/>
      <c r="N171" s="7">
        <v>2</v>
      </c>
      <c r="O171" s="34"/>
      <c r="P171" s="7">
        <v>0</v>
      </c>
      <c r="R171" s="7"/>
      <c r="S171" s="34">
        <v>0</v>
      </c>
      <c r="T171" s="34"/>
      <c r="U171" s="7">
        <v>0</v>
      </c>
      <c r="V171" s="34"/>
      <c r="W171" s="7">
        <v>0</v>
      </c>
    </row>
    <row r="172" spans="1:23" ht="20" x14ac:dyDescent="0.2">
      <c r="A172" s="3" t="s">
        <v>193</v>
      </c>
      <c r="B172" s="7" t="s">
        <v>47</v>
      </c>
      <c r="E172" s="26">
        <v>1</v>
      </c>
      <c r="F172" s="26"/>
      <c r="G172" s="7">
        <v>0</v>
      </c>
      <c r="H172" s="7"/>
      <c r="I172" s="7">
        <v>2</v>
      </c>
      <c r="J172" s="13"/>
      <c r="K172" s="7"/>
      <c r="L172" s="7">
        <v>1</v>
      </c>
      <c r="M172" s="34"/>
      <c r="N172" s="7">
        <v>2</v>
      </c>
      <c r="O172" s="34"/>
      <c r="P172" s="7">
        <v>2</v>
      </c>
      <c r="R172" s="7"/>
      <c r="S172" s="34">
        <v>0</v>
      </c>
      <c r="T172" s="34"/>
      <c r="U172" s="7">
        <v>0</v>
      </c>
      <c r="V172" s="34"/>
      <c r="W172" s="7">
        <v>0</v>
      </c>
    </row>
    <row r="173" spans="1:23" ht="20" x14ac:dyDescent="0.2">
      <c r="A173" s="3" t="s">
        <v>194</v>
      </c>
      <c r="B173" s="7" t="s">
        <v>47</v>
      </c>
      <c r="E173" s="26">
        <v>1</v>
      </c>
      <c r="F173" s="26"/>
      <c r="G173" s="7">
        <v>0</v>
      </c>
      <c r="H173" s="7"/>
      <c r="I173" s="7">
        <v>1</v>
      </c>
      <c r="J173" s="13"/>
      <c r="K173" s="7"/>
      <c r="L173" s="7">
        <v>1</v>
      </c>
      <c r="M173" s="34"/>
      <c r="N173" s="7">
        <v>2</v>
      </c>
      <c r="O173" s="34"/>
      <c r="P173" s="7">
        <v>2</v>
      </c>
      <c r="R173" s="7"/>
      <c r="S173" s="34">
        <v>0</v>
      </c>
      <c r="T173" s="34"/>
      <c r="U173" s="7">
        <v>0</v>
      </c>
      <c r="V173" s="34"/>
      <c r="W173" s="7">
        <v>0</v>
      </c>
    </row>
    <row r="174" spans="1:23" ht="20" x14ac:dyDescent="0.2">
      <c r="A174" s="3" t="s">
        <v>195</v>
      </c>
      <c r="B174" s="7" t="s">
        <v>47</v>
      </c>
      <c r="E174" s="26">
        <v>1</v>
      </c>
      <c r="F174" s="26"/>
      <c r="G174" s="7">
        <v>0</v>
      </c>
      <c r="H174" s="7"/>
      <c r="I174" s="7">
        <v>1</v>
      </c>
      <c r="J174" s="13"/>
      <c r="K174" s="7"/>
      <c r="L174" s="7">
        <v>1</v>
      </c>
      <c r="M174" s="34"/>
      <c r="N174" s="7">
        <v>2</v>
      </c>
      <c r="O174" s="34"/>
      <c r="P174" s="7">
        <v>0</v>
      </c>
      <c r="R174" s="7"/>
      <c r="S174" s="34">
        <v>0</v>
      </c>
      <c r="T174" s="34"/>
      <c r="U174" s="7">
        <v>0</v>
      </c>
      <c r="V174" s="34"/>
      <c r="W174" s="7">
        <v>0</v>
      </c>
    </row>
    <row r="175" spans="1:23" ht="20" x14ac:dyDescent="0.2">
      <c r="A175" s="3" t="s">
        <v>196</v>
      </c>
      <c r="B175" s="7" t="s">
        <v>47</v>
      </c>
      <c r="E175" s="26">
        <v>1</v>
      </c>
      <c r="F175" s="26"/>
      <c r="G175" s="7">
        <v>0</v>
      </c>
      <c r="H175" s="7"/>
      <c r="I175" s="7">
        <v>1</v>
      </c>
      <c r="J175" s="13"/>
      <c r="K175" s="7"/>
      <c r="L175" s="7">
        <v>1</v>
      </c>
      <c r="M175" s="34"/>
      <c r="N175" s="7">
        <v>2</v>
      </c>
      <c r="O175" s="34"/>
      <c r="P175" s="7">
        <v>0</v>
      </c>
      <c r="R175" s="7"/>
      <c r="S175" s="34">
        <v>0</v>
      </c>
      <c r="T175" s="34"/>
      <c r="U175" s="7">
        <v>0</v>
      </c>
      <c r="V175" s="34"/>
      <c r="W175" s="7">
        <v>0</v>
      </c>
    </row>
    <row r="176" spans="1:23" ht="20" x14ac:dyDescent="0.2">
      <c r="A176" s="3" t="s">
        <v>197</v>
      </c>
      <c r="B176" s="7" t="s">
        <v>47</v>
      </c>
      <c r="E176" s="26">
        <v>1</v>
      </c>
      <c r="F176" s="26"/>
      <c r="G176" s="7">
        <v>0</v>
      </c>
      <c r="H176" s="7"/>
      <c r="I176" s="7">
        <v>1</v>
      </c>
      <c r="J176" s="13"/>
      <c r="K176" s="7"/>
      <c r="L176" s="7">
        <v>1</v>
      </c>
      <c r="M176" s="34"/>
      <c r="N176" s="7">
        <v>2</v>
      </c>
      <c r="O176" s="34"/>
      <c r="P176" s="7">
        <v>0</v>
      </c>
      <c r="R176" s="7"/>
      <c r="S176" s="34">
        <v>0</v>
      </c>
      <c r="T176" s="34"/>
      <c r="U176" s="7">
        <v>0</v>
      </c>
      <c r="V176" s="34"/>
      <c r="W176" s="7">
        <v>0</v>
      </c>
    </row>
    <row r="177" spans="1:23" ht="20" x14ac:dyDescent="0.2">
      <c r="A177" s="3" t="s">
        <v>198</v>
      </c>
      <c r="B177" s="7" t="s">
        <v>47</v>
      </c>
      <c r="E177" s="26">
        <v>1</v>
      </c>
      <c r="F177" s="26"/>
      <c r="G177" s="7">
        <v>0</v>
      </c>
      <c r="H177" s="7"/>
      <c r="I177" s="7">
        <v>1</v>
      </c>
      <c r="J177" s="13"/>
      <c r="K177" s="7"/>
      <c r="L177" s="7">
        <v>1</v>
      </c>
      <c r="M177" s="34"/>
      <c r="N177" s="7">
        <v>2</v>
      </c>
      <c r="O177" s="34"/>
      <c r="P177" s="7">
        <v>0</v>
      </c>
      <c r="R177" s="7"/>
      <c r="S177" s="34">
        <v>0</v>
      </c>
      <c r="T177" s="34"/>
      <c r="U177" s="7">
        <v>0</v>
      </c>
      <c r="V177" s="34"/>
      <c r="W177" s="7">
        <v>0</v>
      </c>
    </row>
    <row r="178" spans="1:23" ht="40" x14ac:dyDescent="0.2">
      <c r="A178" s="3" t="s">
        <v>199</v>
      </c>
      <c r="B178" s="7" t="s">
        <v>47</v>
      </c>
      <c r="E178" s="26">
        <v>1</v>
      </c>
      <c r="F178" s="26"/>
      <c r="G178" s="7">
        <v>0</v>
      </c>
      <c r="H178" s="7"/>
      <c r="I178" s="7">
        <v>1</v>
      </c>
      <c r="J178" s="13"/>
      <c r="K178" s="7"/>
      <c r="L178" s="7">
        <v>1</v>
      </c>
      <c r="M178" s="34"/>
      <c r="N178" s="7">
        <v>2</v>
      </c>
      <c r="O178" s="34"/>
      <c r="P178" s="7">
        <v>0</v>
      </c>
      <c r="R178" s="7"/>
      <c r="S178" s="34">
        <v>0</v>
      </c>
      <c r="T178" s="34"/>
      <c r="U178" s="7">
        <v>0</v>
      </c>
      <c r="V178" s="34"/>
      <c r="W178" s="7">
        <v>0</v>
      </c>
    </row>
    <row r="179" spans="1:23" ht="20" x14ac:dyDescent="0.2">
      <c r="A179" s="3" t="s">
        <v>200</v>
      </c>
      <c r="B179" s="7" t="s">
        <v>47</v>
      </c>
      <c r="E179" s="26">
        <v>1</v>
      </c>
      <c r="F179" s="26"/>
      <c r="G179" s="7">
        <v>0</v>
      </c>
      <c r="H179" s="7"/>
      <c r="I179" s="7">
        <v>1</v>
      </c>
      <c r="J179" s="13"/>
      <c r="K179" s="7"/>
      <c r="L179" s="7">
        <v>1</v>
      </c>
      <c r="M179" s="34"/>
      <c r="N179" s="7">
        <v>2</v>
      </c>
      <c r="O179" s="34"/>
      <c r="P179" s="7">
        <v>0</v>
      </c>
      <c r="R179" s="7"/>
      <c r="S179" s="34">
        <v>0</v>
      </c>
      <c r="T179" s="34"/>
      <c r="U179" s="7">
        <v>0</v>
      </c>
      <c r="V179" s="34"/>
      <c r="W179" s="7">
        <v>0</v>
      </c>
    </row>
    <row r="180" spans="1:23" ht="51" x14ac:dyDescent="0.2">
      <c r="A180" s="4" t="s">
        <v>201</v>
      </c>
      <c r="B180" s="8" t="s">
        <v>27</v>
      </c>
      <c r="C180" s="51" t="s">
        <v>202</v>
      </c>
      <c r="E180" s="27">
        <v>2</v>
      </c>
      <c r="F180" s="27"/>
      <c r="G180" s="8">
        <v>2</v>
      </c>
      <c r="H180" s="8"/>
      <c r="I180" s="8">
        <v>1</v>
      </c>
      <c r="J180" s="13"/>
      <c r="K180" s="8"/>
      <c r="L180" s="8">
        <v>1</v>
      </c>
      <c r="M180" s="35"/>
      <c r="N180" s="8">
        <v>2</v>
      </c>
      <c r="O180" s="35"/>
      <c r="P180" s="8">
        <v>0</v>
      </c>
      <c r="R180" s="8"/>
      <c r="S180" s="35">
        <v>0</v>
      </c>
      <c r="T180" s="35"/>
      <c r="U180" s="8">
        <v>0</v>
      </c>
      <c r="V180" s="35"/>
      <c r="W180" s="8">
        <v>1</v>
      </c>
    </row>
    <row r="181" spans="1:23" ht="20" x14ac:dyDescent="0.2">
      <c r="A181" s="4" t="s">
        <v>10</v>
      </c>
      <c r="B181" s="8" t="s">
        <v>27</v>
      </c>
      <c r="C181" s="51" t="s">
        <v>203</v>
      </c>
      <c r="E181" s="27">
        <v>1</v>
      </c>
      <c r="F181" s="27"/>
      <c r="G181" s="8">
        <v>0</v>
      </c>
      <c r="H181" s="8"/>
      <c r="I181" s="8">
        <v>2</v>
      </c>
      <c r="J181" s="13"/>
      <c r="K181" s="8"/>
      <c r="L181" s="8">
        <v>2</v>
      </c>
      <c r="M181" s="35"/>
      <c r="N181" s="8">
        <v>2</v>
      </c>
      <c r="O181" s="35"/>
      <c r="P181" s="8">
        <v>0</v>
      </c>
      <c r="R181" s="8"/>
      <c r="S181" s="35">
        <v>2</v>
      </c>
      <c r="T181" s="35"/>
      <c r="U181" s="8">
        <v>2</v>
      </c>
      <c r="V181" s="35"/>
      <c r="W181" s="8">
        <v>2</v>
      </c>
    </row>
    <row r="182" spans="1:23" ht="34" x14ac:dyDescent="0.2">
      <c r="A182" s="4" t="s">
        <v>11</v>
      </c>
      <c r="B182" s="8" t="s">
        <v>27</v>
      </c>
      <c r="C182" s="51" t="s">
        <v>204</v>
      </c>
      <c r="E182" s="27">
        <v>1</v>
      </c>
      <c r="F182" s="27"/>
      <c r="G182" s="8">
        <v>0</v>
      </c>
      <c r="H182" s="8"/>
      <c r="I182" s="8">
        <v>1</v>
      </c>
      <c r="J182" s="13"/>
      <c r="K182" s="8"/>
      <c r="L182" s="8">
        <v>1</v>
      </c>
      <c r="M182" s="35"/>
      <c r="N182" s="8">
        <v>1</v>
      </c>
      <c r="O182" s="35"/>
      <c r="P182" s="8">
        <v>2</v>
      </c>
      <c r="R182" s="8"/>
      <c r="S182" s="35">
        <v>0</v>
      </c>
      <c r="T182" s="35"/>
      <c r="U182" s="8">
        <v>2</v>
      </c>
      <c r="V182" s="35"/>
      <c r="W182" s="8">
        <v>0</v>
      </c>
    </row>
    <row r="183" spans="1:23" ht="34" x14ac:dyDescent="0.2">
      <c r="A183" s="4" t="s">
        <v>12</v>
      </c>
      <c r="B183" s="8" t="s">
        <v>27</v>
      </c>
      <c r="C183" s="51" t="s">
        <v>205</v>
      </c>
      <c r="E183" s="27">
        <v>1</v>
      </c>
      <c r="F183" s="27"/>
      <c r="G183" s="8">
        <v>2</v>
      </c>
      <c r="H183" s="8"/>
      <c r="I183" s="8">
        <v>2</v>
      </c>
      <c r="J183" s="13"/>
      <c r="K183" s="8"/>
      <c r="L183" s="8">
        <v>1</v>
      </c>
      <c r="M183" s="35"/>
      <c r="N183" s="8">
        <v>1</v>
      </c>
      <c r="O183" s="35"/>
      <c r="P183" s="8">
        <v>0</v>
      </c>
      <c r="R183" s="8"/>
      <c r="S183" s="35">
        <v>0</v>
      </c>
      <c r="T183" s="35"/>
      <c r="U183" s="8">
        <v>0</v>
      </c>
      <c r="V183" s="35"/>
      <c r="W183" s="8">
        <v>0</v>
      </c>
    </row>
    <row r="184" spans="1:23" ht="34" x14ac:dyDescent="0.2">
      <c r="A184" s="4" t="s">
        <v>18</v>
      </c>
      <c r="B184" s="8" t="s">
        <v>27</v>
      </c>
      <c r="C184" s="51" t="s">
        <v>206</v>
      </c>
      <c r="E184" s="27">
        <v>1</v>
      </c>
      <c r="F184" s="27"/>
      <c r="G184" s="8">
        <v>2</v>
      </c>
      <c r="H184" s="8"/>
      <c r="I184" s="8">
        <v>2</v>
      </c>
      <c r="J184" s="13"/>
      <c r="K184" s="8"/>
      <c r="L184" s="8">
        <v>1</v>
      </c>
      <c r="M184" s="35"/>
      <c r="N184" s="8">
        <v>1</v>
      </c>
      <c r="O184" s="35"/>
      <c r="P184" s="8">
        <v>2</v>
      </c>
      <c r="R184" s="8"/>
      <c r="S184" s="35">
        <v>0</v>
      </c>
      <c r="T184" s="35"/>
      <c r="U184" s="8">
        <v>0</v>
      </c>
      <c r="V184" s="35"/>
      <c r="W184" s="8">
        <v>1</v>
      </c>
    </row>
    <row r="185" spans="1:23" ht="34" x14ac:dyDescent="0.2">
      <c r="A185" s="4" t="s">
        <v>16</v>
      </c>
      <c r="B185" s="8" t="s">
        <v>27</v>
      </c>
      <c r="C185" s="51" t="s">
        <v>207</v>
      </c>
      <c r="E185" s="27">
        <v>2</v>
      </c>
      <c r="F185" s="27"/>
      <c r="G185" s="8">
        <v>1</v>
      </c>
      <c r="H185" s="8"/>
      <c r="I185" s="8">
        <v>1</v>
      </c>
      <c r="J185" s="13"/>
      <c r="K185" s="8"/>
      <c r="L185" s="8">
        <v>1</v>
      </c>
      <c r="M185" s="35"/>
      <c r="N185" s="8">
        <v>2</v>
      </c>
      <c r="O185" s="35"/>
      <c r="P185" s="8">
        <v>0</v>
      </c>
      <c r="R185" s="8"/>
      <c r="S185" s="35">
        <v>0</v>
      </c>
      <c r="T185" s="35"/>
      <c r="U185" s="8">
        <v>0</v>
      </c>
      <c r="V185" s="35"/>
      <c r="W185" s="8">
        <v>0</v>
      </c>
    </row>
    <row r="186" spans="1:23" ht="51" x14ac:dyDescent="0.2">
      <c r="A186" s="4" t="s">
        <v>17</v>
      </c>
      <c r="B186" s="8" t="s">
        <v>27</v>
      </c>
      <c r="C186" s="51" t="s">
        <v>208</v>
      </c>
      <c r="E186" s="27">
        <v>2</v>
      </c>
      <c r="F186" s="27"/>
      <c r="G186" s="8">
        <v>2</v>
      </c>
      <c r="H186" s="8"/>
      <c r="I186" s="8">
        <v>1</v>
      </c>
      <c r="J186" s="13"/>
      <c r="K186" s="8"/>
      <c r="L186" s="8">
        <v>1</v>
      </c>
      <c r="M186" s="35"/>
      <c r="N186" s="8">
        <v>2</v>
      </c>
      <c r="O186" s="35"/>
      <c r="P186" s="8">
        <v>0</v>
      </c>
      <c r="R186" s="8"/>
      <c r="S186" s="35">
        <v>0</v>
      </c>
      <c r="T186" s="35"/>
      <c r="U186" s="8">
        <v>0</v>
      </c>
      <c r="V186" s="35"/>
      <c r="W186" s="8">
        <v>1</v>
      </c>
    </row>
    <row r="187" spans="1:23" ht="34" x14ac:dyDescent="0.2">
      <c r="A187" s="4" t="s">
        <v>13</v>
      </c>
      <c r="B187" s="8" t="s">
        <v>27</v>
      </c>
      <c r="C187" s="51" t="s">
        <v>209</v>
      </c>
      <c r="E187" s="27">
        <v>1</v>
      </c>
      <c r="F187" s="27"/>
      <c r="G187" s="8">
        <v>2</v>
      </c>
      <c r="H187" s="8"/>
      <c r="I187" s="8">
        <v>1</v>
      </c>
      <c r="J187" s="13"/>
      <c r="K187" s="8"/>
      <c r="L187" s="8">
        <v>1</v>
      </c>
      <c r="M187" s="35"/>
      <c r="N187" s="8">
        <v>2</v>
      </c>
      <c r="O187" s="35"/>
      <c r="P187" s="8">
        <v>2</v>
      </c>
      <c r="R187" s="8"/>
      <c r="S187" s="35">
        <v>0</v>
      </c>
      <c r="T187" s="35"/>
      <c r="U187" s="8">
        <v>0</v>
      </c>
      <c r="V187" s="35"/>
      <c r="W187" s="8">
        <v>2</v>
      </c>
    </row>
    <row r="188" spans="1:23" ht="34" x14ac:dyDescent="0.2">
      <c r="A188" s="4" t="s">
        <v>14</v>
      </c>
      <c r="B188" s="8" t="s">
        <v>27</v>
      </c>
      <c r="C188" s="51" t="s">
        <v>210</v>
      </c>
      <c r="E188" s="27">
        <v>2</v>
      </c>
      <c r="F188" s="27"/>
      <c r="G188" s="8">
        <v>1</v>
      </c>
      <c r="H188" s="8"/>
      <c r="I188" s="8">
        <v>1</v>
      </c>
      <c r="J188" s="13"/>
      <c r="K188" s="8"/>
      <c r="L188" s="8">
        <v>1</v>
      </c>
      <c r="M188" s="35"/>
      <c r="N188" s="8">
        <v>2</v>
      </c>
      <c r="O188" s="35"/>
      <c r="P188" s="8">
        <v>1</v>
      </c>
      <c r="R188" s="8"/>
      <c r="S188" s="35">
        <v>0</v>
      </c>
      <c r="T188" s="35"/>
      <c r="U188" s="8">
        <v>0</v>
      </c>
      <c r="V188" s="35"/>
      <c r="W188" s="8">
        <v>2</v>
      </c>
    </row>
    <row r="189" spans="1:23" ht="34" x14ac:dyDescent="0.2">
      <c r="A189" s="4" t="s">
        <v>15</v>
      </c>
      <c r="B189" s="8" t="s">
        <v>27</v>
      </c>
      <c r="C189" s="51" t="s">
        <v>211</v>
      </c>
      <c r="E189" s="27">
        <v>1</v>
      </c>
      <c r="F189" s="27"/>
      <c r="G189" s="8">
        <v>2</v>
      </c>
      <c r="H189" s="8"/>
      <c r="I189" s="8">
        <v>1</v>
      </c>
      <c r="J189" s="13"/>
      <c r="K189" s="8"/>
      <c r="L189" s="8">
        <v>1</v>
      </c>
      <c r="M189" s="35"/>
      <c r="N189" s="8">
        <v>2</v>
      </c>
      <c r="O189" s="35"/>
      <c r="P189" s="8">
        <v>2</v>
      </c>
      <c r="R189" s="8"/>
      <c r="S189" s="35">
        <v>0</v>
      </c>
      <c r="T189" s="35"/>
      <c r="U189" s="8">
        <v>0</v>
      </c>
      <c r="V189" s="35"/>
      <c r="W189" s="8">
        <v>1</v>
      </c>
    </row>
  </sheetData>
  <mergeCells count="14">
    <mergeCell ref="G30:L30"/>
    <mergeCell ref="G34:L34"/>
    <mergeCell ref="A39:C39"/>
    <mergeCell ref="G6:L6"/>
    <mergeCell ref="G10:L10"/>
    <mergeCell ref="G14:L14"/>
    <mergeCell ref="G18:L18"/>
    <mergeCell ref="G22:L22"/>
    <mergeCell ref="G26:L26"/>
    <mergeCell ref="AF1:AH1"/>
    <mergeCell ref="G1:L1"/>
    <mergeCell ref="T1:V1"/>
    <mergeCell ref="X1:Z1"/>
    <mergeCell ref="AB1:AD1"/>
  </mergeCells>
  <hyperlinks>
    <hyperlink ref="C90" r:id="rId1" xr:uid="{5EDA38AC-1039-5241-8C57-9BA2C84CDC88}"/>
    <hyperlink ref="C99" r:id="rId2" xr:uid="{BA7D9420-04D6-0243-9F45-B1DB3C139B3D}"/>
    <hyperlink ref="C108" r:id="rId3" xr:uid="{C071243C-FFB6-F446-B541-E9E7E1439276}"/>
    <hyperlink ref="C117" r:id="rId4" xr:uid="{3C261B22-AC4C-C740-AE35-889A40E1B375}"/>
    <hyperlink ref="C126" r:id="rId5" xr:uid="{97325B60-B493-5E44-9FAC-0B1D4FE46CEA}"/>
    <hyperlink ref="C135" r:id="rId6" xr:uid="{32C04B3C-DCFD-224A-A401-0ED468284728}"/>
    <hyperlink ref="C144" r:id="rId7" xr:uid="{50B0058A-A0D6-EC4F-BF4D-D9B30E539813}"/>
    <hyperlink ref="C153" r:id="rId8" xr:uid="{03751892-9B14-DB41-8AB7-7E9128C04568}"/>
    <hyperlink ref="C162" r:id="rId9" xr:uid="{CF0878DA-30A3-454F-82DF-40B4ED0232DE}"/>
    <hyperlink ref="C171" r:id="rId10" xr:uid="{F257B3FC-3CB9-FB4B-8C26-097800BD0EAF}"/>
    <hyperlink ref="C180" r:id="rId11" xr:uid="{9947E6E8-C9A4-8043-828E-99D161DD4EFE}"/>
    <hyperlink ref="C181" r:id="rId12" xr:uid="{9AAA38C0-6F3A-0B4A-A1E9-BB4E51A50656}"/>
    <hyperlink ref="C182" r:id="rId13" xr:uid="{AC59DC9C-2C5F-E348-9E8A-A2028C17C6DD}"/>
    <hyperlink ref="C183" r:id="rId14" xr:uid="{5E647794-E86F-3143-AA14-2019BE84C3E7}"/>
    <hyperlink ref="C184" r:id="rId15" xr:uid="{5D501B6D-ABDB-2A4A-B562-28D5533F5851}"/>
    <hyperlink ref="C185" r:id="rId16" xr:uid="{55AD4492-0DBB-3B49-8974-317B1D59DB7C}"/>
    <hyperlink ref="C186" r:id="rId17" xr:uid="{906C26C8-D7EE-6E49-8EE3-036B828DB3DF}"/>
    <hyperlink ref="C187" r:id="rId18" xr:uid="{45629E11-0E31-2C43-9289-42EDA3FAB8B3}"/>
    <hyperlink ref="C188" r:id="rId19" xr:uid="{51772C7A-DC57-E645-86EF-443ACAEE86BA}"/>
    <hyperlink ref="C189" r:id="rId20" xr:uid="{D6CD735A-9679-7A4E-ACC4-F4FC94DFE5A8}"/>
  </hyperlinks>
  <pageMargins left="0.7" right="0.7" top="0.75" bottom="0.75" header="0.3" footer="0.3"/>
  <drawing r:id="rId21"/>
</worksheet>
</file>

<file path=docMetadata/LabelInfo.xml><?xml version="1.0" encoding="utf-8"?>
<clbl:labelList xmlns:clbl="http://schemas.microsoft.com/office/2020/mipLabelMetadata">
  <clbl:label id="{f6b6dd5b-f02f-441a-99a0-162ac5060bd2}" enabled="0" method="" siteId="{f6b6dd5b-f02f-441a-99a0-162ac5060bd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1st-1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Barack Liu</dc:creator>
  <cp:lastModifiedBy>Barack Liu</cp:lastModifiedBy>
  <dcterms:created xsi:type="dcterms:W3CDTF">2024-01-15T19:45:53Z</dcterms:created>
  <dcterms:modified xsi:type="dcterms:W3CDTF">2024-08-01T19:24:37Z</dcterms:modified>
</cp:coreProperties>
</file>