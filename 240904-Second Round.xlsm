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700-Capstone-CSS -595/231006-Research-Progress- Excel/"/>
    </mc:Choice>
  </mc:AlternateContent>
  <xr:revisionPtr revIDLastSave="1640" documentId="8_{2E567EC8-8EDB-5847-A50D-74DD9F2937A4}" xr6:coauthVersionLast="47" xr6:coauthVersionMax="47" xr10:uidLastSave="{814E0830-9EA5-254A-8419-FB5703EC10F5}"/>
  <bookViews>
    <workbookView xWindow="-23360" yWindow="560" windowWidth="23360" windowHeight="14540" xr2:uid="{18342DF9-798A-DA42-BBC4-C755067F6B3B}"/>
  </bookViews>
  <sheets>
    <sheet name="2nd-1" sheetId="5" r:id="rId1"/>
    <sheet name="2nd-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2" i="1" l="1"/>
  <c r="C162" i="1"/>
  <c r="C152" i="1"/>
  <c r="C142" i="1"/>
  <c r="C132" i="1"/>
  <c r="C122" i="1"/>
  <c r="C112" i="1"/>
  <c r="C102" i="1"/>
  <c r="C92" i="1"/>
  <c r="C82" i="1"/>
  <c r="W78" i="1" l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P78" i="1" l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E77" i="1"/>
  <c r="E76" i="1"/>
  <c r="E68" i="1"/>
  <c r="E67" i="1"/>
  <c r="E59" i="1"/>
  <c r="E58" i="1"/>
  <c r="E78" i="1"/>
  <c r="E52" i="1"/>
  <c r="E75" i="1" l="1"/>
  <c r="E74" i="1"/>
  <c r="E73" i="1"/>
  <c r="E72" i="1"/>
  <c r="E71" i="1"/>
  <c r="E70" i="1"/>
  <c r="E69" i="1"/>
  <c r="E66" i="1"/>
  <c r="E65" i="1"/>
  <c r="E64" i="1"/>
  <c r="E63" i="1"/>
  <c r="E62" i="1"/>
  <c r="E61" i="1"/>
  <c r="E60" i="1"/>
  <c r="E57" i="1"/>
  <c r="E56" i="1"/>
  <c r="E55" i="1"/>
  <c r="E54" i="1"/>
  <c r="E53" i="1"/>
  <c r="E79" i="1" l="1"/>
  <c r="C126" i="5"/>
  <c r="C125" i="5"/>
  <c r="C124" i="5"/>
  <c r="C123" i="5"/>
  <c r="C122" i="5"/>
  <c r="C121" i="5"/>
  <c r="C120" i="5"/>
  <c r="C119" i="5"/>
  <c r="C118" i="5"/>
  <c r="C54" i="5"/>
  <c r="C53" i="5"/>
  <c r="C52" i="5"/>
  <c r="C51" i="5"/>
  <c r="C50" i="5"/>
  <c r="C49" i="5"/>
  <c r="C48" i="5"/>
  <c r="C47" i="5"/>
  <c r="C46" i="5"/>
  <c r="C72" i="5"/>
  <c r="C71" i="5"/>
  <c r="C70" i="5"/>
  <c r="C69" i="5"/>
  <c r="C68" i="5"/>
  <c r="C67" i="5"/>
  <c r="C66" i="5"/>
  <c r="C65" i="5"/>
  <c r="C64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36" i="5"/>
  <c r="C35" i="5"/>
  <c r="C34" i="5"/>
  <c r="C33" i="5"/>
  <c r="C32" i="5"/>
  <c r="C31" i="5"/>
  <c r="C30" i="5"/>
  <c r="C29" i="5"/>
  <c r="C28" i="5"/>
  <c r="C45" i="5"/>
  <c r="C99" i="5"/>
  <c r="C81" i="5"/>
  <c r="C63" i="5"/>
  <c r="C90" i="5"/>
  <c r="C44" i="5"/>
  <c r="C43" i="5"/>
  <c r="C42" i="5"/>
  <c r="C41" i="5"/>
  <c r="C40" i="5"/>
  <c r="C39" i="5"/>
  <c r="C38" i="5"/>
  <c r="C37" i="5"/>
  <c r="C98" i="5"/>
  <c r="C97" i="5"/>
  <c r="C96" i="5"/>
  <c r="C95" i="5"/>
  <c r="C94" i="5"/>
  <c r="C93" i="5"/>
  <c r="C92" i="5"/>
  <c r="C91" i="5"/>
  <c r="C80" i="5"/>
  <c r="C79" i="5"/>
  <c r="C78" i="5"/>
  <c r="C77" i="5"/>
  <c r="C76" i="5"/>
  <c r="C75" i="5"/>
  <c r="C74" i="5"/>
  <c r="C73" i="5"/>
  <c r="C62" i="5"/>
  <c r="C61" i="5"/>
  <c r="C60" i="5"/>
  <c r="C59" i="5"/>
  <c r="C58" i="5"/>
  <c r="C57" i="5"/>
  <c r="C56" i="5"/>
  <c r="C55" i="5"/>
  <c r="C89" i="5"/>
  <c r="C88" i="5"/>
  <c r="C87" i="5"/>
  <c r="C86" i="5"/>
  <c r="C85" i="5"/>
  <c r="C84" i="5"/>
  <c r="C83" i="5"/>
  <c r="C82" i="5"/>
  <c r="C127" i="5" l="1"/>
  <c r="W79" i="1"/>
  <c r="U79" i="1"/>
  <c r="S79" i="1"/>
  <c r="P79" i="1" l="1"/>
  <c r="N79" i="1"/>
  <c r="L79" i="1"/>
  <c r="I79" i="1"/>
  <c r="G79" i="1"/>
</calcChain>
</file>

<file path=xl/sharedStrings.xml><?xml version="1.0" encoding="utf-8"?>
<sst xmlns="http://schemas.openxmlformats.org/spreadsheetml/2006/main" count="755" uniqueCount="323">
  <si>
    <t>Game name</t>
  </si>
  <si>
    <t>x</t>
  </si>
  <si>
    <t>y</t>
  </si>
  <si>
    <t>Name</t>
  </si>
  <si>
    <t>X</t>
  </si>
  <si>
    <t>Y</t>
  </si>
  <si>
    <t>Zork</t>
  </si>
  <si>
    <t>AI Dungeon</t>
  </si>
  <si>
    <t>A Dark Room</t>
  </si>
  <si>
    <t>Façade</t>
  </si>
  <si>
    <t>皇帝成长计划</t>
  </si>
  <si>
    <t>明月依旧</t>
  </si>
  <si>
    <t>中国式家长</t>
  </si>
  <si>
    <t>Game Count</t>
  </si>
  <si>
    <t>潜伏之赤途</t>
  </si>
  <si>
    <t>隐形守护者</t>
  </si>
  <si>
    <t>太吾绘卷</t>
  </si>
  <si>
    <t>Twine</t>
  </si>
  <si>
    <t>Development System</t>
  </si>
  <si>
    <t>Ren'Py</t>
  </si>
  <si>
    <t>Inform 7</t>
  </si>
  <si>
    <t>Quest</t>
  </si>
  <si>
    <t>Text Adventure Development System</t>
  </si>
  <si>
    <t>inklewriter</t>
  </si>
  <si>
    <t>Unity</t>
  </si>
  <si>
    <t>Others</t>
  </si>
  <si>
    <t>Y: Publish Year</t>
  </si>
  <si>
    <t>Before 2000</t>
  </si>
  <si>
    <t>Publish Year</t>
  </si>
  <si>
    <t>Story Ending</t>
  </si>
  <si>
    <t>Sum</t>
  </si>
  <si>
    <t>Game Engine</t>
  </si>
  <si>
    <t>Instance</t>
  </si>
  <si>
    <t>C1: Human Computer Interaction</t>
  </si>
  <si>
    <t>C2: Visual Support</t>
  </si>
  <si>
    <t>C1 X</t>
  </si>
  <si>
    <t>C2 X</t>
  </si>
  <si>
    <t>C4: Action Time</t>
  </si>
  <si>
    <t>C5: Story ending</t>
  </si>
  <si>
    <t>C6: Stats System</t>
  </si>
  <si>
    <t>C3 X</t>
  </si>
  <si>
    <t>C4 X</t>
  </si>
  <si>
    <t>C5 X</t>
  </si>
  <si>
    <t>C6 X</t>
  </si>
  <si>
    <t>C7: Platform Compatibility</t>
  </si>
  <si>
    <t>C9: Monetization Model</t>
  </si>
  <si>
    <t>C7 X</t>
  </si>
  <si>
    <t>C8 X</t>
  </si>
  <si>
    <t>C9 X</t>
  </si>
  <si>
    <t>Platform Compatibility</t>
  </si>
  <si>
    <t xml:space="preserve">Monetization Model </t>
  </si>
  <si>
    <t>X: Game Engine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</si>
  <si>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</si>
  <si>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</si>
  <si>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</si>
  <si>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</si>
  <si>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</si>
  <si>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</si>
  <si>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</si>
  <si>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</si>
  <si>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ChoiceScript</t>
  </si>
  <si>
    <t>Adrift</t>
  </si>
  <si>
    <t>StoryNexus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</si>
  <si>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</si>
  <si>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</si>
  <si>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</si>
  <si>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</si>
  <si>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</si>
  <si>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</si>
  <si>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</si>
  <si>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</si>
  <si>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</si>
  <si>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</si>
  <si>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Keyboard</t>
  </si>
  <si>
    <t>Mouse</t>
  </si>
  <si>
    <t>Mouse only</t>
  </si>
  <si>
    <t>Text</t>
  </si>
  <si>
    <t>Picture</t>
  </si>
  <si>
    <t>Video</t>
  </si>
  <si>
    <t>C3: Game option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</si>
  <si>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</si>
  <si>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</si>
  <si>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</si>
  <si>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</si>
  <si>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</si>
  <si>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</si>
  <si>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</si>
  <si>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</si>
  <si>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</si>
  <si>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</si>
  <si>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</si>
  <si>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</si>
  <si>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</si>
  <si>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</si>
  <si>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</si>
  <si>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C8: Player Count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</si>
  <si>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</si>
  <si>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</si>
  <si>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</si>
  <si>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</si>
  <si>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</si>
  <si>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</si>
  <si>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</si>
  <si>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</si>
  <si>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</si>
  <si>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</si>
  <si>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>https://ifdb.org/search?sortby=old&amp;searchfor=system%3ATwine</t>
  </si>
  <si>
    <t>Afternoon in the House of Secrets</t>
  </si>
  <si>
    <t>https://ifdb.org/search?sortby=old&amp;searchfor=system%3ARen%27Py</t>
  </si>
  <si>
    <t>Digital: A Love Story</t>
  </si>
  <si>
    <t>https://ifdb.org/search?sortby=old&amp;searchfor=system%3Ainform+7</t>
  </si>
  <si>
    <t>Child's Play</t>
  </si>
  <si>
    <t>https://ifdb.org/search?sortby=old&amp;searchfor=system%3AChoiceScript</t>
  </si>
  <si>
    <t>Choice of the Dragon</t>
  </si>
  <si>
    <t>https://ifdb.org/search?sortby=old&amp;searchfor=system%3Aquest</t>
  </si>
  <si>
    <t>https://ifdb.org/search?sortby=old&amp;searchfor=system%3ATADS</t>
  </si>
  <si>
    <t>The Golden Fleece</t>
  </si>
  <si>
    <t>https://ifdb.org/search?sortby=old&amp;searchfor=system%3Ainklewriter</t>
  </si>
  <si>
    <t>https://ifdb.org/search?sortby=old&amp;searchfor=system%3AStorynexus</t>
  </si>
  <si>
    <t>Fallen London</t>
  </si>
  <si>
    <t>https://ifdb.org/search?sortby=old&amp;searchfor=system%3Aunity</t>
  </si>
  <si>
    <t>https://ifdb.org/search?sortby=old&amp;searchfor=system%3AAdrift</t>
  </si>
  <si>
    <t>House of the Damned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</si>
  <si>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</si>
  <si>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</si>
  <si>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</si>
  <si>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</si>
  <si>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</si>
  <si>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</si>
  <si>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</si>
  <si>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</si>
  <si>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</si>
  <si>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https://ifdb.org/viewgame?id=0dbnusxunq7fw5ro</t>
  </si>
  <si>
    <t>User Input</t>
  </si>
  <si>
    <t>Visual Output</t>
  </si>
  <si>
    <t>Story option</t>
  </si>
  <si>
    <t>Time to Respond</t>
  </si>
  <si>
    <t>Stats &amp; Resource</t>
  </si>
  <si>
    <t>Number of Players</t>
  </si>
  <si>
    <t>Story Option</t>
  </si>
  <si>
    <t>Platform Compatability</t>
  </si>
  <si>
    <t>RenPy</t>
  </si>
  <si>
    <t>Inform</t>
  </si>
  <si>
    <t>Choice</t>
  </si>
  <si>
    <t>Inkle</t>
  </si>
  <si>
    <t>Nexus</t>
  </si>
  <si>
    <t>The Uncle Who Works for Nintendo</t>
  </si>
  <si>
    <t>The Temple of No</t>
  </si>
  <si>
    <t>Tavern Crawler</t>
  </si>
  <si>
    <t>The Good Ghost</t>
  </si>
  <si>
    <t>Dysfluent</t>
  </si>
  <si>
    <t>Rendition</t>
  </si>
  <si>
    <t>The King of Shreds and Patches</t>
  </si>
  <si>
    <t>Kerkerkruip</t>
  </si>
  <si>
    <t>Coloratura</t>
  </si>
  <si>
    <t>Out</t>
  </si>
  <si>
    <t>What Heart Heard Of, Ghost Guessed</t>
  </si>
  <si>
    <t>Never Gives Up Her Dead</t>
  </si>
  <si>
    <t>Treasure Seekers of Lady Luck</t>
  </si>
  <si>
    <t>The Hero of Kendrickstone</t>
  </si>
  <si>
    <t>Runt of the Litter</t>
  </si>
  <si>
    <t>Pirates of Donkey Island</t>
  </si>
  <si>
    <t>The nascent Necromancer</t>
  </si>
  <si>
    <t>Bali B&amp;B</t>
  </si>
  <si>
    <t>Alone in the Void</t>
  </si>
  <si>
    <t>80 Days</t>
  </si>
  <si>
    <t>Heaven's Vault</t>
  </si>
  <si>
    <t>Pendragon</t>
  </si>
  <si>
    <t>Overboard!</t>
  </si>
  <si>
    <t>A Highland Song</t>
  </si>
  <si>
    <t xml:space="preserve">Dragon Age: The Last Court </t>
  </si>
  <si>
    <t>Sunless Sea</t>
  </si>
  <si>
    <t>Sunless Skies</t>
  </si>
  <si>
    <t xml:space="preserve">Codename: Sugarplum </t>
  </si>
  <si>
    <t>The House Abandon</t>
  </si>
  <si>
    <t>Prison of Word</t>
  </si>
  <si>
    <t>Secret Little Haven</t>
  </si>
  <si>
    <t>Homebound</t>
  </si>
  <si>
    <t>The Sisters</t>
  </si>
  <si>
    <t>Grandpa's Ranch</t>
  </si>
  <si>
    <t>Magor Investigates…</t>
  </si>
  <si>
    <t>Game Name</t>
  </si>
  <si>
    <t>https://ifdb.org/viewgame?id=6jzbwcc1wdolvmz0</t>
  </si>
  <si>
    <t>https://ifdb.org/viewgame?id=dwgm9le9d8uh2ibq</t>
  </si>
  <si>
    <t>Harrison Squared Dies Early</t>
  </si>
  <si>
    <t>https://ifdb.org/viewgame?id=lb3uyjuzft8ieks</t>
  </si>
  <si>
    <t>Night City 2020</t>
  </si>
  <si>
    <t>https://ifdb.org/viewgame?id=91v31yb8bzba2ap7</t>
  </si>
  <si>
    <t>https://ifdb.org/viewgame?id=4bddum51nb6c568t</t>
  </si>
  <si>
    <t>https://ifdb.org/viewgame?id=4iny0hu41p1wmpkf</t>
  </si>
  <si>
    <t>Fish &amp; Dagger</t>
  </si>
  <si>
    <t>https://ifdb.org/viewgame?id=oyzb0cngd92t8fcz</t>
  </si>
  <si>
    <t>https://ifdb.org/viewgame?id=w5dn22eu7rijykis</t>
  </si>
  <si>
    <t>https://ifdb.org/viewgame?id=1bwq5dgmy4vukzez</t>
  </si>
  <si>
    <t>https://ifdb.org/viewgame?id=az2clhanuen4lbx0</t>
  </si>
  <si>
    <t>Save the Date</t>
  </si>
  <si>
    <t>13 Minutes of Light</t>
  </si>
  <si>
    <t>https://ifdb.org/viewgame?id=b6a290if1z91pdv9</t>
  </si>
  <si>
    <t>Doki Doki Literature Club</t>
  </si>
  <si>
    <t>https://ifdb.org/viewgame?id=c8auic1vy228nonf</t>
  </si>
  <si>
    <t>Budacanta</t>
  </si>
  <si>
    <t>https://ifdb.org/viewgame?id=9ffeaiuhsjtgzhia</t>
  </si>
  <si>
    <t>The Moon Looks Beautiful Tonight</t>
  </si>
  <si>
    <t>https://ifdb.org/viewgame?id=g7p7pb184rd06lij</t>
  </si>
  <si>
    <t>https://ifdb.org/viewgame?id=6a23xff9er4s83pl</t>
  </si>
  <si>
    <t>https://ifdb.org/viewgame?id=uamh4vrhqkcfdsu</t>
  </si>
  <si>
    <t>https://ifdb.org/viewgame?id=9ntef9expou18abv</t>
  </si>
  <si>
    <t>https://ifdb.org/viewgame?id=f7zdhxmiraht53d1</t>
  </si>
  <si>
    <t>https://ifdb.org/viewgame?id=g0fl99ovcrq2sqzk</t>
  </si>
  <si>
    <t>https://ifdb.org/viewgame?id=xf5y04yekcrqtnc</t>
  </si>
  <si>
    <t>Toby's Nose</t>
  </si>
  <si>
    <t>https://ifdb.org/viewgame?id=f99kibzl2391pe02</t>
  </si>
  <si>
    <t>https://ifdb.org/viewgame?id=nob419tqvifcsqwd</t>
  </si>
  <si>
    <t>https://ifdb.org/viewgame?id=94fj4mfrxzhzpp9s</t>
  </si>
  <si>
    <t>https://ifdb.org/viewgame?id=y6act0sdadab6l1n</t>
  </si>
  <si>
    <t>https://ifdb.org/viewgame?id=l9d5cqg3em10s3g4</t>
  </si>
  <si>
    <t>Marine Raider</t>
  </si>
  <si>
    <t>https://ifdb.org/viewgame?id=c9fqfetyrcqxl85h</t>
  </si>
  <si>
    <t>https://ifdb.org/viewgame?id=gcv3am5y3y44a0yy</t>
  </si>
  <si>
    <t>https://ifdb.org/viewgame?id=hq9rlhpvsuur2fx8</t>
  </si>
  <si>
    <t>Chronicon Apocalyptica</t>
  </si>
  <si>
    <t>https://ifdb.org/viewgame?id=ftnncasmsxsjnwpv</t>
  </si>
  <si>
    <t>https://ifdb.org/viewgame?id=pdls96pgs65cjgz7</t>
  </si>
  <si>
    <t>https://ifdb.org/viewgame?id=spnpp47q971owsq6</t>
  </si>
  <si>
    <t>https://ifdb.org/viewgame?id=v2w3rp2ypz3t8rn8</t>
  </si>
  <si>
    <t>https://ifdb.org/viewgame?id=jtf6d4uqss732g1o</t>
  </si>
  <si>
    <t>Mitchell Quest</t>
  </si>
  <si>
    <t>Poisonous Rainbow: The Power of Memories</t>
  </si>
  <si>
    <t>https://ifdb.org/viewgame?id=k9ltbrgwbapcehcf</t>
  </si>
  <si>
    <t>Dysnomia</t>
  </si>
  <si>
    <t>https://ifdb.org/viewgame?id=27cqned21bebmupi</t>
  </si>
  <si>
    <t>Dream Pieces 2</t>
  </si>
  <si>
    <t>https://ifdb.org/viewgame?id=nnm45wpavnq45f3r</t>
  </si>
  <si>
    <t>I Contain Multitudes</t>
  </si>
  <si>
    <t>https://ifdb.org/viewgame?id=fjom2a5xjhr9cqag</t>
  </si>
  <si>
    <t>https://ifdb.org/viewgame?id=86caj69w2dc0ci</t>
  </si>
  <si>
    <t>https://ifdb.org/viewgame?id=zcgjkl8dpeza1yh6</t>
  </si>
  <si>
    <t>Desert Heat</t>
  </si>
  <si>
    <t>https://ifdb.org/viewgame?id=ddw7exaodcxdbuiv</t>
  </si>
  <si>
    <t>Who Created That Monster?</t>
  </si>
  <si>
    <t>https://ifdb.org/viewgame?id=sz95aalidgzq05io</t>
  </si>
  <si>
    <t>Gun Mute</t>
  </si>
  <si>
    <t>https://ifdb.org/viewgame?id=xwedbibfksczn7eq</t>
  </si>
  <si>
    <t>Indigo</t>
  </si>
  <si>
    <t>https://ifdb.org/viewgame?id=vva8s4r00b3zli59</t>
  </si>
  <si>
    <t>Fake News</t>
  </si>
  <si>
    <t>https://ifdb.org/viewgame?id=pjvpa5u0sej5enyf</t>
  </si>
  <si>
    <t>Jay Schilling's Edge of Chaos</t>
  </si>
  <si>
    <t>https://ifdb.org/viewgame?id=ddlf93z4rlhahkjf</t>
  </si>
  <si>
    <t>The Intercept</t>
  </si>
  <si>
    <t>https://ifdb.org/viewgame?id=6oq1zke93clq1me9</t>
  </si>
  <si>
    <t>Sorcery! 2</t>
  </si>
  <si>
    <t>https://ifdb.org/viewgame?id=a3559c86fe59c4on</t>
  </si>
  <si>
    <t>https://ifdb.org/viewgame?id=du51t0qrhjqlnbij</t>
  </si>
  <si>
    <t>The Man Who Killed Time</t>
  </si>
  <si>
    <t>https://ifdb.org/viewgame?id=s7lsibhtyx7piqqi</t>
  </si>
  <si>
    <t>Li You's Secret Admirer</t>
  </si>
  <si>
    <t>https://ifdb.org/viewgame?id=81av33q1tn3smq8a</t>
  </si>
  <si>
    <t>https://store.steampowered.com/app/774201/Heavens_Vault/</t>
  </si>
  <si>
    <t>https://store.steampowered.com/app/1240050/Pendragon_Narrative_Tactics/</t>
  </si>
  <si>
    <t>https://store.steampowered.com/app/1546920/Overboard/</t>
  </si>
  <si>
    <t>https://store.steampowered.com/app/1240060/A_Highland_Song/</t>
  </si>
  <si>
    <t>https://ifdb.org/viewgame?id=y9m60ythcj2xn9r</t>
  </si>
  <si>
    <t>Samsara</t>
  </si>
  <si>
    <t>https://ifdb.org/viewgame?id=x9ipiw4nwpuwikr8</t>
  </si>
  <si>
    <t>https://ifdb.org/viewgame?id=g32t5f67wpytqnyv</t>
  </si>
  <si>
    <t>https://ifdb.org/viewgame?id=4a8gei7egnz7tsaw</t>
  </si>
  <si>
    <t>https://ifdb.org/viewgame?id=gnhrsgzyjae1lva5</t>
  </si>
  <si>
    <t>HOJOTOHO!</t>
  </si>
  <si>
    <t>https://ifdb.org/viewgame?id=12kc1kn0745bak1c</t>
  </si>
  <si>
    <t>Paisley</t>
  </si>
  <si>
    <t>https://ifdb.org/viewgame?id=cef7jagmw41spnx3</t>
  </si>
  <si>
    <t>https://ifdb.org/viewgame?id=4o8tp96v8nei7hrn</t>
  </si>
  <si>
    <t>The Bloody Wallpaper</t>
  </si>
  <si>
    <t>https://ifdb.org/viewgame?id=8f7ulsvgjqd9qdnf</t>
  </si>
  <si>
    <t>https://ifdb.org/viewgame?id=3a27dvcapc5fg3cz</t>
  </si>
  <si>
    <t>https://ifdb.org/viewgame?id=pxbfs9fzshfwex77</t>
  </si>
  <si>
    <t>https://ifdb.org/viewgame?id=in8giqgcsqcbvgbp</t>
  </si>
  <si>
    <t>https://ifdb.org/viewgame?id=54qm1xyxe8a05v41</t>
  </si>
  <si>
    <t>Celestial Tear Experince</t>
  </si>
  <si>
    <t>https://ifdb.org/viewgame?id=g0wfi19ktwwjqcjt</t>
  </si>
  <si>
    <t>https://ifdb.org/viewgame?id=wnyq6948ojskzryy</t>
  </si>
  <si>
    <t>Sophie's Adventure</t>
  </si>
  <si>
    <t>https://ifdb.org/viewgame?id=clpc8d5s70z8v63j</t>
  </si>
  <si>
    <t>https://ifdb.org/viewgame?id=lle9g3oep6s1kqh1</t>
  </si>
  <si>
    <t>Yon Astounding Castle! of some sort</t>
  </si>
  <si>
    <t>https://ifdb.org/viewgame?id=uwnfzme9h7jmoeaz</t>
  </si>
  <si>
    <t>Irvine Quik &amp; the Search for the Fish of Traglea</t>
  </si>
  <si>
    <t>https://ifdb.org/viewgame?id=qiso9f9dphdlcrk</t>
  </si>
  <si>
    <t>The Spectre of Castle Coris [2015 ADRIFT version]</t>
  </si>
  <si>
    <t>https://ifdb.org/viewgame?id=3915i340rkbnb38l</t>
  </si>
  <si>
    <t>Six Silver Bullets</t>
  </si>
  <si>
    <t>https://ifdb.org/viewgame?id=osaqoppea2bdvvpf</t>
  </si>
  <si>
    <t>https://ifdb.org/viewgame?id=auocp18rdh3uxzp9</t>
  </si>
  <si>
    <t>https://ifdb.org/viewgame?id=5epqcy3j2mrvlnad</t>
  </si>
  <si>
    <t>\</t>
  </si>
  <si>
    <t>https://ifdb.org/viewgame?id=69q5074l0pa3</t>
  </si>
  <si>
    <t>https://ifdb.org/viewgame?id=4trgav5u5si4l79m</t>
  </si>
  <si>
    <t>https://ifdb.org/viewgame?id=h8w15bqlswmyc2jw</t>
  </si>
  <si>
    <t>Black Closet</t>
  </si>
  <si>
    <t>https://ifdb.org/viewgame?id=vfbbupdlcvhffzvh</t>
  </si>
  <si>
    <t>her tears were my light</t>
  </si>
  <si>
    <t>https://ifdb.org/viewgame?id=l49bnyq7ccb4y65l</t>
  </si>
  <si>
    <t>The Mansion</t>
  </si>
  <si>
    <t>https://ifdb.org/viewgame?id=ek7pmhyiecx6tqv6</t>
  </si>
  <si>
    <t>Easy Money</t>
  </si>
  <si>
    <t>https://ifdb.org/viewgame?id=al3jba4m0m5c5zfm</t>
  </si>
  <si>
    <t>Metal Sonic's Quest</t>
  </si>
  <si>
    <t>https://ifdb.org/viewgame?id=xqjirackndbzvyk</t>
  </si>
  <si>
    <t>TARDIS Escape</t>
  </si>
  <si>
    <t>https://ifdb.org/viewgame?id=50n2v8hyyqd55dya</t>
  </si>
  <si>
    <t>Dead Man's Party</t>
  </si>
  <si>
    <t>Key words: inventory, status</t>
  </si>
  <si>
    <t>https://ifdb.org/viewgame?id=1vaafzgrqf4m8yvr</t>
  </si>
  <si>
    <t>I Am Prey</t>
  </si>
  <si>
    <t>https://ifdb.org/viewgame?id=r0pl0x6grumps6pw</t>
  </si>
  <si>
    <t>Eravola</t>
  </si>
  <si>
    <t>https://ifdb.org/viewgame?id=ejdl5w7g4qrawga5</t>
  </si>
  <si>
    <t>Missed Messages</t>
  </si>
  <si>
    <t>https://ifdb.org/viewgame?id=mh4d2nkewl5o4we0</t>
  </si>
  <si>
    <t>The Vaults</t>
  </si>
  <si>
    <t>https://ifdb.org/viewgame?id=u6fvnpiod22exm14</t>
  </si>
  <si>
    <t>The Roottrees are Dead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</si>
</sst>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b/>
      <sz val="15"/>
      <color rgb="FF000000"/>
      <name val="Times New Roman"/>
      <family val="1"/>
    </font>
    <font>
      <b/>
      <i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  <font>
      <sz val="15"/>
      <color rgb="FFFF0000"/>
      <name val="Times New Roman"/>
      <family val="1"/>
    </font>
    <font>
      <u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6" fillId="6" borderId="6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9" fillId="0" borderId="0" xfId="1" applyAlignment="1">
      <alignment wrapText="1"/>
    </xf>
    <xf numFmtId="0" fontId="10" fillId="0" borderId="0" xfId="0" applyFont="1" applyAlignment="1">
      <alignment wrapText="1"/>
    </xf>
    <xf numFmtId="0" fontId="11" fillId="0" borderId="0" xfId="1" applyFont="1" applyAlignment="1">
      <alignment wrapText="1"/>
    </xf>
    <xf numFmtId="0" fontId="10" fillId="0" borderId="1" xfId="0" applyFont="1" applyBorder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6" fillId="7" borderId="2" xfId="0" applyFont="1" applyFill="1" applyBorder="1" applyAlignment="1">
      <alignment horizontal="center" wrapText="1"/>
    </xf>
    <xf numFmtId="0" fontId="6" fillId="7" borderId="4" xfId="0" applyFont="1" applyFill="1" applyBorder="1" applyAlignment="1">
      <alignment horizontal="center" wrapText="1"/>
    </xf>
    <xf numFmtId="0" fontId="6" fillId="7" borderId="7" xfId="0" applyFont="1" applyFill="1" applyBorder="1" applyAlignment="1">
      <alignment horizontal="center" wrapText="1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2" fontId="10" fillId="0" borderId="0" xfId="0" applyNumberFormat="1" applyFont="1" applyAlignment="1">
      <alignment wrapText="1"/>
    </xf>
    <xf numFmtId="0" fontId="1" fillId="4" borderId="2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wrapText="1"/>
    </xf>
    <xf numFmtId="0" fontId="2" fillId="4" borderId="1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Game Engine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23000027959452"/>
          <c:y val="0.14597224316170523"/>
          <c:w val="0.85336562527134407"/>
          <c:h val="0.64922525456814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'2nd-1'!$C$27</c:f>
              <c:strCache>
                <c:ptCount val="1"/>
                <c:pt idx="0">
                  <c:v>Game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F22-D84E-98BA-1386FE876284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F22-D84E-98BA-1386FE876284}"/>
              </c:ext>
            </c:extLst>
          </c:dPt>
          <c:dPt>
            <c:idx val="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F22-D84E-98BA-1386FE876284}"/>
              </c:ext>
            </c:extLst>
          </c:dPt>
          <c:dPt>
            <c:idx val="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F22-D84E-98BA-1386FE876284}"/>
              </c:ext>
            </c:extLst>
          </c:dPt>
          <c:dPt>
            <c:idx val="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F22-D84E-98BA-1386FE876284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F22-D84E-98BA-1386FE876284}"/>
              </c:ext>
            </c:extLst>
          </c:dPt>
          <c:dPt>
            <c:idx val="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F22-D84E-98BA-1386FE876284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F22-D84E-98BA-1386FE876284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F22-D84E-98BA-1386FE876284}"/>
              </c:ext>
            </c:extLst>
          </c:dPt>
          <c:dPt>
            <c:idx val="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F22-D84E-98BA-1386FE876284}"/>
              </c:ext>
            </c:extLst>
          </c:dPt>
          <c:dPt>
            <c:idx val="1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F22-D84E-98BA-1386FE876284}"/>
              </c:ext>
            </c:extLst>
          </c:dPt>
          <c:dPt>
            <c:idx val="1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F22-D84E-98BA-1386FE876284}"/>
              </c:ext>
            </c:extLst>
          </c:dPt>
          <c:dPt>
            <c:idx val="1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F22-D84E-98BA-1386FE876284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F22-D84E-98BA-1386FE876284}"/>
              </c:ext>
            </c:extLst>
          </c:dPt>
          <c:dPt>
            <c:idx val="1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F22-D84E-98BA-1386FE876284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F22-D84E-98BA-1386FE876284}"/>
              </c:ext>
            </c:extLst>
          </c:dPt>
          <c:dPt>
            <c:idx val="1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F22-D84E-98BA-1386FE876284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F22-D84E-98BA-1386FE876284}"/>
              </c:ext>
            </c:extLst>
          </c:dPt>
          <c:dPt>
            <c:idx val="1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F22-D84E-98BA-1386FE876284}"/>
              </c:ext>
            </c:extLst>
          </c:dPt>
          <c:dPt>
            <c:idx val="1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F22-D84E-98BA-1386FE876284}"/>
              </c:ext>
            </c:extLst>
          </c:dPt>
          <c:dPt>
            <c:idx val="2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F22-D84E-98BA-1386FE876284}"/>
              </c:ext>
            </c:extLst>
          </c:dPt>
          <c:dPt>
            <c:idx val="2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F22-D84E-98BA-1386FE876284}"/>
              </c:ext>
            </c:extLst>
          </c:dPt>
          <c:dPt>
            <c:idx val="2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F22-D84E-98BA-1386FE876284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FF22-D84E-98BA-1386FE876284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FF22-D84E-98BA-1386FE876284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F22-D84E-98BA-1386FE876284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FF22-D84E-98BA-1386FE876284}"/>
              </c:ext>
            </c:extLst>
          </c:dPt>
          <c:dPt>
            <c:idx val="2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F22-D84E-98BA-1386FE876284}"/>
              </c:ext>
            </c:extLst>
          </c:dPt>
          <c:dPt>
            <c:idx val="2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FF22-D84E-98BA-1386FE876284}"/>
              </c:ext>
            </c:extLst>
          </c:dPt>
          <c:dPt>
            <c:idx val="2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FF22-D84E-98BA-1386FE876284}"/>
              </c:ext>
            </c:extLst>
          </c:dPt>
          <c:dPt>
            <c:idx val="3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FF22-D84E-98BA-1386FE876284}"/>
              </c:ext>
            </c:extLst>
          </c:dPt>
          <c:dPt>
            <c:idx val="3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FF22-D84E-98BA-1386FE876284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FF22-D84E-98BA-1386FE876284}"/>
              </c:ext>
            </c:extLst>
          </c:dPt>
          <c:dPt>
            <c:idx val="3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B53-BE45-B8BC-71552C36B2F8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B53-BE45-B8BC-71552C36B2F8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B53-BE45-B8BC-71552C36B2F8}"/>
              </c:ext>
            </c:extLst>
          </c:dPt>
          <c:dPt>
            <c:idx val="3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B53-BE45-B8BC-71552C36B2F8}"/>
              </c:ext>
            </c:extLst>
          </c:dPt>
          <c:dPt>
            <c:idx val="3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B53-BE45-B8BC-71552C36B2F8}"/>
              </c:ext>
            </c:extLst>
          </c:dPt>
          <c:dPt>
            <c:idx val="3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B53-BE45-B8BC-71552C36B2F8}"/>
              </c:ext>
            </c:extLst>
          </c:dPt>
          <c:dPt>
            <c:idx val="3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B53-BE45-B8BC-71552C36B2F8}"/>
              </c:ext>
            </c:extLst>
          </c:dPt>
          <c:dPt>
            <c:idx val="4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B53-BE45-B8BC-71552C36B2F8}"/>
              </c:ext>
            </c:extLst>
          </c:dPt>
          <c:dPt>
            <c:idx val="41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B53-BE45-B8BC-71552C36B2F8}"/>
              </c:ext>
            </c:extLst>
          </c:dPt>
          <c:dPt>
            <c:idx val="4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B53-BE45-B8BC-71552C36B2F8}"/>
              </c:ext>
            </c:extLst>
          </c:dPt>
          <c:dPt>
            <c:idx val="43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B53-BE45-B8BC-71552C36B2F8}"/>
              </c:ext>
            </c:extLst>
          </c:dPt>
          <c:dPt>
            <c:idx val="4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B53-BE45-B8BC-71552C36B2F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74E5084-75E3-1D4A-8ACB-218EB99D44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665E36-3937-4A44-8773-925E003D0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60A95A-B3AE-0D48-86EF-06B679C42E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1A99B-68D7-1844-9206-7EB234E8A8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F3CD51-1A78-7747-9ABB-630C51D16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E52677-5CD0-C144-AB4E-1AC45023C7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DAD96C-D2D7-A245-A361-254E2055F3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4C56F1-ADD8-254A-ABCB-16FEA7022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21183B-74A0-A548-9F46-3CD94D72E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426A1E-9B04-DD48-AF1C-EEDE7D797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99FB37-0BB8-5D4B-B465-C260BD954A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22-D84E-98BA-1386FE8762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768F16-5143-1B43-AAD5-8F4D64210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22-D84E-98BA-1386FE8762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B03F5A-84A0-E945-B146-4DEEF9BF6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22-D84E-98BA-1386FE8762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0934EF-B39A-C741-A991-C0E458E26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22-D84E-98BA-1386FE8762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411D6B-B4B0-7D43-ACD6-80EB2E6985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22-D84E-98BA-1386FE8762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311266-4AA2-1B4E-BAB2-69055AE6F3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22-D84E-98BA-1386FE8762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789340-A113-4E4D-835D-97D0CE5D00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22-D84E-98BA-1386FE8762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A9A8A7-ED5E-2F45-A6D1-A75AC7D9D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22-D84E-98BA-1386FE8762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E99840-7AB0-D44C-8C0C-4E3E79036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22-D84E-98BA-1386FE8762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BDE31D-BDA7-E740-B116-7CFCE7581E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22-D84E-98BA-1386FE8762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8F9E78-2004-5643-A275-C2617507C7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22-D84E-98BA-1386FE8762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42D17D-AB1E-F64D-A644-553396B189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22-D84E-98BA-1386FE8762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B4204D-90FF-7E41-A22E-3DC838D53F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22-D84E-98BA-1386FE8762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01D11E-6ACC-D44E-A64E-3D7B00ACE6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22-D84E-98BA-1386FE8762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CDCAC0-2541-5B4B-9342-D6512EFCA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22-D84E-98BA-1386FE8762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2FCC9E-AAB4-574C-A7AA-22BDC79B1B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22-D84E-98BA-1386FE8762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919C54-110D-EE42-97C4-B404EE3E29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22-D84E-98BA-1386FE8762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23D2A2-692C-0548-9809-777E4E111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22-D84E-98BA-1386FE8762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FE49F9-6741-A94A-9ABE-DCECCB8E0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22-D84E-98BA-1386FE8762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49C551-B99D-4343-9D87-114C2F35D1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22-D84E-98BA-1386FE8762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8218BF-6BBE-4E4F-9351-1F3C3E5A14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22-D84E-98BA-1386FE8762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BCE2A1-9CCC-4E4D-B733-CBC6A3B52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22-D84E-98BA-1386FE8762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10410D-4BBE-024C-BBBB-730706751F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22-D84E-98BA-1386FE8762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7B3FDA-CF72-654C-85E2-52260C2AFF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53-BE45-B8BC-71552C36B2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D5E10B-F94F-AF48-94F5-5D9030E76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53-BE45-B8BC-71552C36B2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4CDBE5-5C8A-8A47-8B14-9C2259275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53-BE45-B8BC-71552C36B2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2138C2-7930-024F-907E-F2865B07A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53-BE45-B8BC-71552C36B2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023FA2-9DC7-ED43-8A9D-3900279012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53-BE45-B8BC-71552C36B2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93999A-5669-A948-8D87-740C8A3857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53-BE45-B8BC-71552C36B2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54B172-D4D2-564F-92E0-8899765B85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53-BE45-B8BC-71552C36B2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05B196-A609-5C40-9217-DBDEF41D4B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53-BE45-B8BC-71552C36B2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8D1BFA-60AD-D447-B8F7-E72D31979F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53-BE45-B8BC-71552C36B2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647160-D38B-714B-83E0-071DAF48B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53-BE45-B8BC-71552C36B2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10BF5F-E296-7A46-A420-E5DDF0A167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53-BE45-B8BC-71552C36B2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AD5482-E365-AE4E-A558-AEC123D88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'2nd-1'!$B$82:$B$126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</c:numCache>
            </c:numRef>
          </c:xVal>
          <c:yVal>
            <c:numRef>
              <c:f>'2nd-1'!$D$82:$D$126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8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7</c:v>
                </c:pt>
                <c:pt idx="44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'2nd-1'!$C$82:$C$126</c15:f>
                <c15:dlblRangeCache>
                  <c:ptCount val="4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2</c:v>
                  </c:pt>
                  <c:pt idx="14">
                    <c:v>1</c:v>
                  </c:pt>
                  <c:pt idx="15">
                    <c:v>2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1</c:v>
                  </c:pt>
                  <c:pt idx="37">
                    <c:v>0</c:v>
                  </c:pt>
                  <c:pt idx="38">
                    <c:v>1</c:v>
                  </c:pt>
                  <c:pt idx="39">
                    <c:v>0</c:v>
                  </c:pt>
                  <c:pt idx="40">
                    <c:v>0</c:v>
                  </c:pt>
                  <c:pt idx="41">
                    <c:v>4</c:v>
                  </c:pt>
                  <c:pt idx="42">
                    <c:v>0</c:v>
                  </c:pt>
                  <c:pt idx="43">
                    <c:v>4</c:v>
                  </c:pt>
                  <c:pt idx="44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FF22-D84E-98BA-1386FE876284}"/>
            </c:ext>
          </c:extLst>
        </c:ser>
        <c:ser>
          <c:idx val="1"/>
          <c:order val="1"/>
          <c:tx>
            <c:strRef>
              <c:f>'2nd-1'!$B$15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0CE155-248A-3641-A7D7-CF85A43B4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41E2EF-CB14-8E40-B0AF-D0A08B4975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CC6D98-6699-AF40-8B46-65D25C3CE1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C70466-D4F5-8748-AFFC-5640F0B72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53-BE45-B8BC-71552C36B2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4C53BD-98E4-404D-B1BB-FA05F11BF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53-BE45-B8BC-71552C36B2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4195CF-8350-9044-A426-B0B3F7753D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53-BE45-B8BC-71552C36B2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8F6763-BD7D-8F4C-97AD-AFE819C038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53-BE45-B8BC-71552C36B2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1F9834-28AF-1E45-8884-89452C5A66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53-BE45-B8BC-71552C36B2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0CA230-605D-7243-82F6-96A5591E05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'2nd-1'!$D$17:$D$25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'2nd-1'!$C$17:$C$25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'2nd-1'!$B$17:$B$25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F22-D84E-98BA-1386FE876284}"/>
            </c:ext>
          </c:extLst>
        </c:ser>
        <c:ser>
          <c:idx val="2"/>
          <c:order val="2"/>
          <c:tx>
            <c:strRef>
              <c:f>'2nd-1'!$B$1</c:f>
              <c:strCache>
                <c:ptCount val="1"/>
                <c:pt idx="0">
                  <c:v>X: Game Engine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737B28-0FF5-A347-B450-E9FC3EE5D1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E27995-CE97-9E4B-9CCA-A1D770741A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2F4017-9910-9145-9E70-ACCDF4733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730512-6730-9F4D-96F1-77B96DE3F5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0E8EB7-AC97-C44E-9F1C-857F55902E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AA8241-EC2D-5441-A39E-58F6664B0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285560-0664-2F46-891E-ACB11FD654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4236474491754957E-2"/>
                      <c:h val="5.708451843606356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222268-3F33-ED49-BC35-70711292F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83E4E8-A910-9642-A9DC-AC50747F1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2A7D2C-43D9-034C-839B-39F63D8EE6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C97292-5B05-EF4E-9562-01E8E1245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22-D84E-98BA-1386FE876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'2nd-1'!$D$3:$D$13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'2nd-1'!$C$3:$C$13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'2nd-1'!$B$3:$B$13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F22-D84E-98BA-1386FE876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Catogories - Publish Year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0249249323895"/>
          <c:y val="0.12620593218904078"/>
          <c:w val="0.8683296055524784"/>
          <c:h val="0.7430208994026031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'2nd-2'!$A$39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280C99-72D9-034A-B8DA-C5F70BBF9F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4C-D04C-AE99-BAAC509DFC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07EB7F-ED72-7A4E-A764-CEE2E1A5FF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4C-D04C-AE99-BAAC509DFC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C2D312-5CAE-BE4F-B00C-86413BE515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4C-D04C-AE99-BAAC509DFC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CA31E8-4556-3D45-8D43-01DAAE3DD1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86-BC4A-BD0D-C19D06370E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1E2036-55BF-8D40-8029-AB2F178236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86-BC4A-BD0D-C19D06370E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B12250-0350-AF4B-ADC0-4E9A56DEFD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86-BC4A-BD0D-C19D06370E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5C17A6-1582-7347-AF91-160995A221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86-BC4A-BD0D-C19D06370E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A4FB1-02A4-0947-8DFA-D5FD5C3980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86-BC4A-BD0D-C19D06370E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A06F3B-E501-E44B-94F3-4075F6A3A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'2nd-2'!$B$41:$B$49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'2nd-2'!$C$41:$C$49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'2nd-2'!$A$41:$A$49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34C-D04C-AE99-BAAC509DFCB0}"/>
            </c:ext>
          </c:extLst>
        </c:ser>
        <c:ser>
          <c:idx val="0"/>
          <c:order val="1"/>
          <c:tx>
            <c:strRef>
              <c:f>'2nd-2'!$E$51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FE-1349-B1FD-7537C9ECF7B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24FE-1349-B1FD-7537C9ECF7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1-75D9-BE4B-9B38-1298BC4DABB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2-75D9-BE4B-9B38-1298BC4DABB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75D9-BE4B-9B38-1298BC4DABB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4-75D9-BE4B-9B38-1298BC4DABB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5-75D9-BE4B-9B38-1298BC4DABB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75D9-BE4B-9B38-1298BC4DABB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7-75D9-BE4B-9B38-1298BC4DABB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F-3486-BC4A-BD0D-C19D06370E1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0-3486-BC4A-BD0D-C19D06370E1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1-3486-BC4A-BD0D-C19D06370E1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2-3486-BC4A-BD0D-C19D06370E10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3-3486-BC4A-BD0D-C19D06370E10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4-3486-BC4A-BD0D-C19D06370E10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5-3486-BC4A-BD0D-C19D06370E1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6-3486-BC4A-BD0D-C19D06370E10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7-3486-BC4A-BD0D-C19D06370E10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8-3486-BC4A-BD0D-C19D06370E10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9-3486-BC4A-BD0D-C19D06370E10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1A-3486-BC4A-BD0D-C19D06370E10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1B-3486-BC4A-BD0D-C19D06370E10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1C-3486-BC4A-BD0D-C19D06370E10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1D-3486-BC4A-BD0D-C19D06370E1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1E-3486-BC4A-BD0D-C19D06370E10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1F-3486-BC4A-BD0D-C19D06370E10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20-3486-BC4A-BD0D-C19D06370E1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C86E9E9-C4D2-A541-9FBF-7204B270F4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FE-1349-B1FD-7537C9ECF7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75922A-6656-1849-A307-1161034CB0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FE-1349-B1FD-7537C9ECF7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F6FDFF-4541-474F-B9C2-56D4BC7859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9-BE4B-9B38-1298BC4DAB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75A4A9-FA81-E549-92C4-416EDAD3C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9-BE4B-9B38-1298BC4DAB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60CA32-3BEF-984E-A333-4BF9BDB99C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9-BE4B-9B38-1298BC4DAB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9B55DD-DA97-5941-A523-14F165091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9-BE4B-9B38-1298BC4DAB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2A6355-40AC-B84B-9C73-ED1A58E873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9-BE4B-9B38-1298BC4DAB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A3BCD9-E81F-FE41-8B0B-D561A3A6A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9-BE4B-9B38-1298BC4DAB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5E2FE3-B793-8B4A-9E6D-768099BAC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9-BE4B-9B38-1298BC4DAB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7F1ADD-0CA7-E240-8251-26F3F336B4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86-BC4A-BD0D-C19D06370E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60A980-30A2-3C44-8743-532BCD9A2E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86-BC4A-BD0D-C19D06370E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D1FFBD-9C86-AD4C-BC89-487DC634B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86-BC4A-BD0D-C19D06370E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F9E526-91E1-B847-BB4A-20E7E817E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86-BC4A-BD0D-C19D06370E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CD0D57-4084-AD4F-B0A8-0D2DA5557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86-BC4A-BD0D-C19D06370E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1888BE-B985-D246-A70B-6643EC172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86-BC4A-BD0D-C19D06370E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B56894-E6E9-7D41-A2EC-945F0F4AC1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86-BC4A-BD0D-C19D06370E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BF3B3D-6DF6-B344-BB9B-4C65F7A5AB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86-BC4A-BD0D-C19D06370E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5C4EC5-C750-484D-A3E1-F426E8296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86-BC4A-BD0D-C19D06370E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C03EAC-A09C-0642-A46F-7904EF22CA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86-BC4A-BD0D-C19D06370E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3B38D4-0907-2A46-8497-887F21C65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86-BC4A-BD0D-C19D06370E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110CEC-2530-F641-AE90-8423EE1C9C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86-BC4A-BD0D-C19D06370E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78735D-AA81-A44D-BC8E-E2AAA95C1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86-BC4A-BD0D-C19D06370E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8ED033-E458-3548-B949-EBD77C525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86-BC4A-BD0D-C19D06370E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927CEA-397A-D94B-B80A-EDB204882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86-BC4A-BD0D-C19D06370E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143AD4-FF02-234A-BD91-1280DAC68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86-BC4A-BD0D-C19D06370E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580528-0987-1746-8FE4-9ADFBF2FF9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86-BC4A-BD0D-C19D06370E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B9E68C-8CBC-FE40-B364-93F280AE5D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'2nd-2'!$D$52:$D$78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'2nd-2'!$E$52:$E$78</c15:f>
                <c15:dlblRangeCache>
                  <c:ptCount val="27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4</c:v>
                  </c:pt>
                  <c:pt idx="4">
                    <c:v>4</c:v>
                  </c:pt>
                  <c:pt idx="5">
                    <c:v>3</c:v>
                  </c:pt>
                  <c:pt idx="6">
                    <c:v>3</c:v>
                  </c:pt>
                  <c:pt idx="7">
                    <c:v>3</c:v>
                  </c:pt>
                  <c:pt idx="8">
                    <c:v>5</c:v>
                  </c:pt>
                  <c:pt idx="9">
                    <c:v>0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3</c:v>
                  </c:pt>
                  <c:pt idx="14">
                    <c:v>5</c:v>
                  </c:pt>
                  <c:pt idx="15">
                    <c:v>3</c:v>
                  </c:pt>
                  <c:pt idx="16">
                    <c:v>4</c:v>
                  </c:pt>
                  <c:pt idx="17">
                    <c:v>8</c:v>
                  </c:pt>
                  <c:pt idx="18">
                    <c:v>0</c:v>
                  </c:pt>
                  <c:pt idx="19">
                    <c:v>0</c:v>
                  </c:pt>
                  <c:pt idx="20">
                    <c:v>1</c:v>
                  </c:pt>
                  <c:pt idx="21">
                    <c:v>0</c:v>
                  </c:pt>
                  <c:pt idx="22">
                    <c:v>3</c:v>
                  </c:pt>
                  <c:pt idx="23">
                    <c:v>9</c:v>
                  </c:pt>
                  <c:pt idx="24">
                    <c:v>12</c:v>
                  </c:pt>
                  <c:pt idx="25">
                    <c:v>13</c:v>
                  </c:pt>
                  <c:pt idx="26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0DB-6547-BD35-E943DA5F087F}"/>
            </c:ext>
          </c:extLst>
        </c:ser>
        <c:ser>
          <c:idx val="2"/>
          <c:order val="2"/>
          <c:tx>
            <c:strRef>
              <c:f>'2nd-2'!$G$1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8B811E-EB32-2641-B757-26963BA90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4C-D04C-AE99-BAAC509DFCB0}"/>
                </c:ext>
              </c:extLst>
            </c:dLbl>
            <c:dLbl>
              <c:idx val="1"/>
              <c:layout>
                <c:manualLayout>
                  <c:x val="-4.1805940592821118E-2"/>
                  <c:y val="7.3693591449217E-2"/>
                </c:manualLayout>
              </c:layout>
              <c:tx>
                <c:rich>
                  <a:bodyPr/>
                  <a:lstStyle/>
                  <a:p>
                    <a:fld id="{B7DD0383-C3DD-5540-8BAA-623DAA5355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4C-D04C-AE99-BAAC509DFCB0}"/>
                </c:ext>
              </c:extLst>
            </c:dLbl>
            <c:dLbl>
              <c:idx val="2"/>
              <c:layout>
                <c:manualLayout>
                  <c:x val="-5.0338720754429682E-2"/>
                  <c:y val="0.10417188003896302"/>
                </c:manualLayout>
              </c:layout>
              <c:tx>
                <c:rich>
                  <a:bodyPr/>
                  <a:lstStyle/>
                  <a:p>
                    <a:fld id="{3204D51A-D15F-3646-8D6C-D644917E2D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4C-D04C-AE99-BAAC509DFC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'2nd-2'!$L$3:$L$5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'2nd-2'!$G$3:$G$9</c15:f>
                <c15:dlblRangeCache>
                  <c:ptCount val="7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  <c:pt idx="3">
                    <c:v>C2: Visual Support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4C-D04C-AE99-BAAC509DFCB0}"/>
            </c:ext>
          </c:extLst>
        </c:ser>
        <c:ser>
          <c:idx val="3"/>
          <c:order val="3"/>
          <c:tx>
            <c:strRef>
              <c:f>'2nd-2'!$G$6:$L$6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D595D98-81CF-8F40-9818-1BA322B1C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FCA-B549-B69C-7FC0A3D376F5}"/>
                </c:ext>
              </c:extLst>
            </c:dLbl>
            <c:dLbl>
              <c:idx val="1"/>
              <c:layout>
                <c:manualLayout>
                  <c:x val="-5.4499741814632754E-2"/>
                  <c:y val="7.7366472373181908E-2"/>
                </c:manualLayout>
              </c:layout>
              <c:tx>
                <c:rich>
                  <a:bodyPr/>
                  <a:lstStyle/>
                  <a:p>
                    <a:fld id="{623770BA-3C24-2343-8AD7-7ECEC97F5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FCA-B549-B69C-7FC0A3D376F5}"/>
                </c:ext>
              </c:extLst>
            </c:dLbl>
            <c:dLbl>
              <c:idx val="2"/>
              <c:layout>
                <c:manualLayout>
                  <c:x val="-4.9273774510608583E-2"/>
                  <c:y val="9.5256044281428906E-2"/>
                </c:manualLayout>
              </c:layout>
              <c:tx>
                <c:rich>
                  <a:bodyPr/>
                  <a:lstStyle/>
                  <a:p>
                    <a:fld id="{EBE5635D-4458-B745-9C88-BD85084AD2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'2nd-2'!$L$7:$L$9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FCA-B549-B69C-7FC0A3D376F5}"/>
            </c:ext>
          </c:extLst>
        </c:ser>
        <c:ser>
          <c:idx val="4"/>
          <c:order val="4"/>
          <c:tx>
            <c:strRef>
              <c:f>'2nd-2'!$G$51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>
              <a:outerShdw blurRad="50800" dist="50800" dir="5400000" algn="ctr" rotWithShape="0">
                <a:schemeClr val="accent2">
                  <a:lumMod val="20000"/>
                  <a:lumOff val="80000"/>
                </a:schemeClr>
              </a:outerShdw>
            </a:effectLst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25-6FCA-B549-B69C-7FC0A3D376F5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6-6FCA-B549-B69C-7FC0A3D376F5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7-6FCA-B549-B69C-7FC0A3D376F5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8-6FCA-B549-B69C-7FC0A3D376F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9-6FCA-B549-B69C-7FC0A3D376F5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A-6FCA-B549-B69C-7FC0A3D376F5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2B-6FCA-B549-B69C-7FC0A3D376F5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2C-6FCA-B549-B69C-7FC0A3D376F5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2D-6FCA-B549-B69C-7FC0A3D376F5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2E-6FCA-B549-B69C-7FC0A3D376F5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2F-6FCA-B549-B69C-7FC0A3D376F5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30-6FCA-B549-B69C-7FC0A3D376F5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31-6FCA-B549-B69C-7FC0A3D376F5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32-6FCA-B549-B69C-7FC0A3D376F5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33-6FCA-B549-B69C-7FC0A3D376F5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34-6FCA-B549-B69C-7FC0A3D376F5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35-6FCA-B549-B69C-7FC0A3D376F5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36-6FCA-B549-B69C-7FC0A3D376F5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37-6FCA-B549-B69C-7FC0A3D376F5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38-6FCA-B549-B69C-7FC0A3D376F5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39-6FCA-B549-B69C-7FC0A3D376F5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3A-6FCA-B549-B69C-7FC0A3D376F5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3B-6FCA-B549-B69C-7FC0A3D376F5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3C-6FCA-B549-B69C-7FC0A3D376F5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3D-6FCA-B549-B69C-7FC0A3D376F5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3E-6FCA-B549-B69C-7FC0A3D376F5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3F-6FCA-B549-B69C-7FC0A3D376F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D4066D1-532D-4846-A2F6-987244B30B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CA-B549-B69C-7FC0A3D376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3E968A-C49A-7C41-B953-20B475787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CA-B549-B69C-7FC0A3D376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265B64-65C1-F548-BB66-43D5265FE1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CA-B549-B69C-7FC0A3D376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B67796-ABA0-3D43-9FFB-AF05C3F53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CA-B549-B69C-7FC0A3D376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43A690-F268-5447-82D5-C67B6580CB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CA-B549-B69C-7FC0A3D376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57D7FE-C006-2C4B-87DE-24D098436B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CA-B549-B69C-7FC0A3D376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EFBB01-5EC6-9546-9738-DAA544448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CA-B549-B69C-7FC0A3D376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A53BED-AA36-4E41-B517-D08F35DA6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CA-B549-B69C-7FC0A3D376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877719-D821-CB48-91FB-229E312293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CA-B549-B69C-7FC0A3D376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8150F0-DB45-414D-A351-E75409975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CA-B549-B69C-7FC0A3D376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E99E83-DC73-CA42-9441-18D49781B6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CA-B549-B69C-7FC0A3D376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514241-4B5B-D04D-ABC9-444F6FA48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CA-B549-B69C-7FC0A3D376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AED321-02D4-BC4C-8FA4-D7407F4490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CA-B549-B69C-7FC0A3D376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493E52-49A4-6640-B36E-770CB182F3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CA-B549-B69C-7FC0A3D376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26DF12-FC6B-3842-8ECC-DAE283C7A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CA-B549-B69C-7FC0A3D376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287CFA-CB0A-CC42-A7BD-6F539E50AF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CA-B549-B69C-7FC0A3D376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9F646B-F83B-0647-91E6-ED0FB06AA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CA-B549-B69C-7FC0A3D376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A30AE6-DF33-8441-A19D-BFC40ABE8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CA-B549-B69C-7FC0A3D376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622B3A-7A98-6848-B238-0F81A23EA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CA-B549-B69C-7FC0A3D376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F41D2E-552D-2544-8EBB-2D763B5BEC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CA-B549-B69C-7FC0A3D376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6F8548-DCD5-F342-ACC6-F3C9526747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CA-B549-B69C-7FC0A3D376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B52703-9DA0-0345-8ACF-E993D0B843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CA-B549-B69C-7FC0A3D376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82C6B0-8783-C240-982F-268335B91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CA-B549-B69C-7FC0A3D376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DB7599-6D4C-E04A-870D-57C1E5E823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CA-B549-B69C-7FC0A3D376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7C62BB-1A07-D043-9E76-C74AE9F8B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CA-B549-B69C-7FC0A3D376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BD5394-2D3E-5448-81ED-C7FFF949BC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CA-B549-B69C-7FC0A3D376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CBED7D-CE47-B948-B616-7B8C5EA981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'2nd-2'!$F$52:$F$78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'2nd-2'!$G$52:$G$78</c15:f>
                <c15:dlblRangeCache>
                  <c:ptCount val="27"/>
                  <c:pt idx="0">
                    <c:v>1</c:v>
                  </c:pt>
                  <c:pt idx="1">
                    <c:v>3</c:v>
                  </c:pt>
                  <c:pt idx="2">
                    <c:v>2</c:v>
                  </c:pt>
                  <c:pt idx="3">
                    <c:v>5</c:v>
                  </c:pt>
                  <c:pt idx="4">
                    <c:v>8</c:v>
                  </c:pt>
                  <c:pt idx="5">
                    <c:v>5</c:v>
                  </c:pt>
                  <c:pt idx="6">
                    <c:v>8</c:v>
                  </c:pt>
                  <c:pt idx="7">
                    <c:v>8</c:v>
                  </c:pt>
                  <c:pt idx="8">
                    <c:v>8</c:v>
                  </c:pt>
                  <c:pt idx="9">
                    <c:v>1</c:v>
                  </c:pt>
                  <c:pt idx="10">
                    <c:v>0</c:v>
                  </c:pt>
                  <c:pt idx="11">
                    <c:v>2</c:v>
                  </c:pt>
                  <c:pt idx="12">
                    <c:v>0</c:v>
                  </c:pt>
                  <c:pt idx="13">
                    <c:v>2</c:v>
                  </c:pt>
                  <c:pt idx="14">
                    <c:v>8</c:v>
                  </c:pt>
                  <c:pt idx="15">
                    <c:v>6</c:v>
                  </c:pt>
                  <c:pt idx="16">
                    <c:v>4</c:v>
                  </c:pt>
                  <c:pt idx="17">
                    <c:v>7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4</c:v>
                  </c:pt>
                  <c:pt idx="24">
                    <c:v>4</c:v>
                  </c:pt>
                  <c:pt idx="25">
                    <c:v>8</c:v>
                  </c:pt>
                  <c:pt idx="26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6FCA-B549-B69C-7FC0A3D376F5}"/>
            </c:ext>
          </c:extLst>
        </c:ser>
        <c:ser>
          <c:idx val="5"/>
          <c:order val="5"/>
          <c:tx>
            <c:strRef>
              <c:f>'2nd-2'!$G$10:$L$10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FDC452A-2682-F346-B3E4-1C81221BD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E8-5246-B856-04BBD6A00148}"/>
                </c:ext>
              </c:extLst>
            </c:dLbl>
            <c:dLbl>
              <c:idx val="1"/>
              <c:layout>
                <c:manualLayout>
                  <c:x val="-5.2368481405729042E-2"/>
                  <c:y val="6.9815007419003219E-2"/>
                </c:manualLayout>
              </c:layout>
              <c:tx>
                <c:rich>
                  <a:bodyPr/>
                  <a:lstStyle/>
                  <a:p>
                    <a:fld id="{1E0B8A2C-08B2-D64D-8B2A-F814BAE519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25E8-5246-B856-04BBD6A00148}"/>
                </c:ext>
              </c:extLst>
            </c:dLbl>
            <c:dLbl>
              <c:idx val="2"/>
              <c:layout>
                <c:manualLayout>
                  <c:x val="-4.884182405968701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79AEB120-E783-0244-B8E6-DDE0601C7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'2nd-2'!$L$11:$L$13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25E8-5246-B856-04BBD6A00148}"/>
            </c:ext>
          </c:extLst>
        </c:ser>
        <c:ser>
          <c:idx val="6"/>
          <c:order val="6"/>
          <c:tx>
            <c:strRef>
              <c:f>'2nd-2'!$G$14:$L$14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B3F010-B83E-D046-9699-2B62895BBB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328778-A1A2-8C45-A75D-D62D0C80D5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25E8-5246-B856-04BBD6A00148}"/>
                </c:ext>
              </c:extLst>
            </c:dLbl>
            <c:dLbl>
              <c:idx val="2"/>
              <c:layout>
                <c:manualLayout>
                  <c:x val="-3.227332723943952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5CFC7F58-D851-3D4E-A60F-91EE46F79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'2nd-2'!$L$15:$L$17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'2nd-2'!$G$15:$G$17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25E8-5246-B856-04BBD6A00148}"/>
            </c:ext>
          </c:extLst>
        </c:ser>
        <c:ser>
          <c:idx val="7"/>
          <c:order val="7"/>
          <c:tx>
            <c:strRef>
              <c:f>'2nd-2'!$G$18:$L$18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AC9F0E-A278-FA44-8557-92A5F8760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E8-5246-B856-04BBD6A00148}"/>
                </c:ext>
              </c:extLst>
            </c:dLbl>
            <c:dLbl>
              <c:idx val="1"/>
              <c:layout>
                <c:manualLayout>
                  <c:x val="-4.8645781401179727E-2"/>
                  <c:y val="7.1909978910070463E-2"/>
                </c:manualLayout>
              </c:layout>
              <c:tx>
                <c:rich>
                  <a:bodyPr/>
                  <a:lstStyle/>
                  <a:p>
                    <a:fld id="{6010695D-3B59-694B-9E5E-2CAE60D9C7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25E8-5246-B856-04BBD6A00148}"/>
                </c:ext>
              </c:extLst>
            </c:dLbl>
            <c:dLbl>
              <c:idx val="2"/>
              <c:layout>
                <c:manualLayout>
                  <c:x val="-3.5219204301307323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ED3F2C8F-A05A-1C49-AE4B-B30E6EAEB9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'2nd-2'!$L$19:$L$21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'2nd-2'!$G$19:$G$21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25E8-5246-B856-04BBD6A00148}"/>
            </c:ext>
          </c:extLst>
        </c:ser>
        <c:ser>
          <c:idx val="8"/>
          <c:order val="8"/>
          <c:tx>
            <c:strRef>
              <c:f>'2nd-2'!$G$22:$L$22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4150F9-1290-7B4B-88E7-5573CF6D0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E8-5246-B856-04BBD6A00148}"/>
                </c:ext>
              </c:extLst>
            </c:dLbl>
            <c:dLbl>
              <c:idx val="1"/>
              <c:layout>
                <c:manualLayout>
                  <c:x val="-5.7119662781613949E-2"/>
                  <c:y val="8.4867047665550172E-2"/>
                </c:manualLayout>
              </c:layout>
              <c:tx>
                <c:rich>
                  <a:bodyPr/>
                  <a:lstStyle/>
                  <a:p>
                    <a:fld id="{C4CB91F7-1962-3E48-8334-9D0232A39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8189102058"/>
                      <c:h val="5.87007712629296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25E8-5246-B856-04BBD6A00148}"/>
                </c:ext>
              </c:extLst>
            </c:dLbl>
            <c:dLbl>
              <c:idx val="2"/>
              <c:layout>
                <c:manualLayout>
                  <c:x val="-7.2127126941686062E-2"/>
                  <c:y val="0.11079487672247484"/>
                </c:manualLayout>
              </c:layout>
              <c:tx>
                <c:rich>
                  <a:bodyPr/>
                  <a:lstStyle/>
                  <a:p>
                    <a:fld id="{43B47C9C-C688-3946-AC1E-B964720F5A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93272337221127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'2nd-2'!$L$23:$L$25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25E8-5246-B856-04BBD6A00148}"/>
            </c:ext>
          </c:extLst>
        </c:ser>
        <c:ser>
          <c:idx val="9"/>
          <c:order val="9"/>
          <c:tx>
            <c:strRef>
              <c:f>'2nd-2'!$G$26:$L$26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5A0F28-71D7-B14B-8A00-FDF9BD811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E8-5246-B856-04BBD6A00148}"/>
                </c:ext>
              </c:extLst>
            </c:dLbl>
            <c:dLbl>
              <c:idx val="1"/>
              <c:layout>
                <c:manualLayout>
                  <c:x val="-4.3406721136509632E-2"/>
                  <c:y val="8.2384836365405764E-2"/>
                </c:manualLayout>
              </c:layout>
              <c:tx>
                <c:rich>
                  <a:bodyPr/>
                  <a:lstStyle/>
                  <a:p>
                    <a:fld id="{D145F471-8EAA-4349-94C6-F8BB0BE2A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25E8-5246-B856-04BBD6A00148}"/>
                </c:ext>
              </c:extLst>
            </c:dLbl>
            <c:dLbl>
              <c:idx val="2"/>
              <c:layout>
                <c:manualLayout>
                  <c:x val="-2.8850944576989501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854F1153-A4F2-E349-A008-4826B6F658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'2nd-2'!$L$27:$L$29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'2nd-2'!$G$27:$G$29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5E8-5246-B856-04BBD6A00148}"/>
            </c:ext>
          </c:extLst>
        </c:ser>
        <c:ser>
          <c:idx val="10"/>
          <c:order val="10"/>
          <c:tx>
            <c:strRef>
              <c:f>'2nd-2'!$G$30:$L$30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7CA134-59DD-7C45-9946-BA19C52470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E8-5246-B856-04BBD6A00148}"/>
                </c:ext>
              </c:extLst>
            </c:dLbl>
            <c:dLbl>
              <c:idx val="1"/>
              <c:layout>
                <c:manualLayout>
                  <c:x val="-1.843731176426355E-2"/>
                  <c:y val="6.5625064436869038E-2"/>
                </c:manualLayout>
              </c:layout>
              <c:tx>
                <c:rich>
                  <a:bodyPr rot="0" vert="horz"/>
                  <a:lstStyle/>
                  <a:p>
                    <a:pPr>
                      <a:defRPr sz="1200">
                        <a:solidFill>
                          <a:schemeClr val="accent5"/>
                        </a:solidFill>
                      </a:defRPr>
                    </a:pPr>
                    <a:fld id="{B0B2400F-1F13-BB46-8563-0F7A17BCE659}" type="CELLRANGE">
                      <a:rPr lang="en-US">
                        <a:solidFill>
                          <a:schemeClr val="accent5"/>
                        </a:solidFill>
                      </a:rPr>
                      <a:pPr>
                        <a:defRPr sz="1200"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25E8-5246-B856-04BBD6A00148}"/>
                </c:ext>
              </c:extLst>
            </c:dLbl>
            <c:dLbl>
              <c:idx val="2"/>
              <c:layout>
                <c:manualLayout>
                  <c:x val="-6.6003451538927047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B81169AD-BEB5-3842-834D-D15BF8A5D5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'2nd-2'!$L$31:$L$33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'2nd-2'!$G$31:$G$33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25E8-5246-B856-04BBD6A00148}"/>
            </c:ext>
          </c:extLst>
        </c:ser>
        <c:ser>
          <c:idx val="11"/>
          <c:order val="11"/>
          <c:tx>
            <c:strRef>
              <c:f>'2nd-2'!$G$34:$L$34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F2F9D-B0D2-1046-A69D-20AE3FFAEE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E8-5246-B856-04BBD6A00148}"/>
                </c:ext>
              </c:extLst>
            </c:dLbl>
            <c:dLbl>
              <c:idx val="1"/>
              <c:layout>
                <c:manualLayout>
                  <c:x val="0"/>
                  <c:y val="6.5625064436869038E-2"/>
                </c:manualLayout>
              </c:layout>
              <c:tx>
                <c:rich>
                  <a:bodyPr/>
                  <a:lstStyle/>
                  <a:p>
                    <a:fld id="{0FD5BBF8-8FAC-8748-9FB0-8B6A87C766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25E8-5246-B856-04BBD6A00148}"/>
                </c:ext>
              </c:extLst>
            </c:dLbl>
            <c:dLbl>
              <c:idx val="2"/>
              <c:layout>
                <c:manualLayout>
                  <c:x val="-1.4559725155938779E-16"/>
                  <c:y val="0.11171443724034504"/>
                </c:manualLayout>
              </c:layout>
              <c:tx>
                <c:rich>
                  <a:bodyPr/>
                  <a:lstStyle/>
                  <a:p>
                    <a:fld id="{9C465F69-74D2-5D49-87ED-42C510D857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'2nd-2'!$L$35:$L$37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25E8-5246-B856-04BBD6A00148}"/>
            </c:ext>
          </c:extLst>
        </c:ser>
        <c:ser>
          <c:idx val="12"/>
          <c:order val="12"/>
          <c:tx>
            <c:strRef>
              <c:f>'2nd-2'!$I$51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F8D20A-8ECE-AE4A-8FB0-771A157CD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A8640E-14DA-3747-8016-6B363DB3CE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AB2E41-AAC5-C242-9321-D28FDA347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1ABD3D-25D0-074D-866A-84B3051D2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7BAFB1-C09A-AA4B-8BD3-CF66C72801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B52D9A-864E-BC43-882F-68C06CB71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F2296B-9E96-604F-89F2-6B27AC8D4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EAB541-2066-7547-92C5-56FA5679D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F88FD2-A5FD-344C-B257-E27916C9B8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86A6A5-C401-874F-8720-4AB2B5DB2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90D0BE-FB45-D646-8288-F81677B0A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19662A-B156-D64D-9699-EDBF51BE4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2AA605-9E46-4A4F-8490-0E3142941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D3E118-18BE-194D-BEF4-D109BB9B4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FBC895-317D-6845-AA5D-4C878CC99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E9C61F-A323-7845-A7C6-FAB59F450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C54DD5-BC4C-BC4B-AA97-E04922D0E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5EB734-F514-0548-B369-85943276A9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315DBA-C2D1-CB41-8930-F1FED9133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55D819-F534-DE4F-8A6D-FF79232FB9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76333E-BA1A-A445-A90F-83EDE17A8D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5B15F0-010D-4042-945C-9B4956354C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F665BE-B844-2F40-8B84-58DB919D6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0480A7-84C9-B84D-A587-4D3892A9A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979289-C2E9-2C45-BC14-4D92C61338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6C7682-46D9-BE46-AF15-4A7C2D30F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EA50DF-BEB2-984E-8749-CA67BC384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'2nd-2'!$H$52:$H$78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'2nd-2'!$I$52:$I$78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2</c:v>
                  </c:pt>
                  <c:pt idx="5">
                    <c:v>3</c:v>
                  </c:pt>
                  <c:pt idx="6">
                    <c:v>4</c:v>
                  </c:pt>
                  <c:pt idx="7">
                    <c:v>3</c:v>
                  </c:pt>
                  <c:pt idx="8">
                    <c:v>2</c:v>
                  </c:pt>
                  <c:pt idx="9">
                    <c:v>1</c:v>
                  </c:pt>
                  <c:pt idx="10">
                    <c:v>3</c:v>
                  </c:pt>
                  <c:pt idx="11">
                    <c:v>4</c:v>
                  </c:pt>
                  <c:pt idx="12">
                    <c:v>5</c:v>
                  </c:pt>
                  <c:pt idx="13">
                    <c:v>8</c:v>
                  </c:pt>
                  <c:pt idx="14">
                    <c:v>12</c:v>
                  </c:pt>
                  <c:pt idx="15">
                    <c:v>11</c:v>
                  </c:pt>
                  <c:pt idx="16">
                    <c:v>14</c:v>
                  </c:pt>
                  <c:pt idx="17">
                    <c:v>16</c:v>
                  </c:pt>
                  <c:pt idx="18">
                    <c:v>1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2</c:v>
                  </c:pt>
                  <c:pt idx="24">
                    <c:v>3</c:v>
                  </c:pt>
                  <c:pt idx="25">
                    <c:v>3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25E8-5246-B856-04BBD6A00148}"/>
            </c:ext>
          </c:extLst>
        </c:ser>
        <c:ser>
          <c:idx val="13"/>
          <c:order val="13"/>
          <c:tx>
            <c:strRef>
              <c:f>'2nd-2'!$L$51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E2B7E0-8EDB-4244-A43C-92F6E13EB5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ADDC3B-E97B-3546-A291-35E7AD0249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A52B8E-31B5-5F45-9820-D34258D88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B55665-F7D7-C841-A9C1-979970A143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E6BE62-4DED-4B40-9E6E-320824F3BF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691F7B-2C08-D649-9DF4-1A034DB37C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17339C-0F78-CC4B-9D9C-E29D720D34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969B4D-966B-1F46-B6FD-AC2015DBFB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526B29-4471-DC49-AF1C-312B54AE9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17C194-21A6-9E48-A472-98D142673A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A393B-B016-8147-AE60-1719B011A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3EA70D-F2B0-9D4E-81D2-4A4855DBF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70DE56-57F7-4342-B687-87F5389B72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7E39D9-FB7C-1247-9DAC-B3A78277D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A4C860-CFAC-5F41-91C6-A98C15BD80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478B53-118F-5348-AE21-69F2C562CE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05038B-3CDC-DF42-8111-23D356A8B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6ACDBD-905E-444D-BCBE-52E142C9CE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EC94B1-4749-0B49-8A6E-9FED8B49E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8D4B43-DE82-DF41-B510-7B8825E11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7FD004-BD47-C740-B1D8-750F5C175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C0F902-4DF6-7748-B0CB-E4BAF558A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F0D3A8-63DC-0740-9E3D-C3E0B9968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89B23E-3C06-B944-8C81-E2D7919E3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62696F-80E2-B14B-B9A4-2ACC4CDC7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55CECA-5250-1E4F-871D-F66CB3FFAF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601CD4-1585-7C40-BDC7-4D1C39CCC9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'2nd-2'!$K$52:$K$78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'2nd-2'!$L$52:$L$78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</c:v>
                  </c:pt>
                  <c:pt idx="5">
                    <c:v>1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5</c:v>
                  </c:pt>
                  <c:pt idx="13">
                    <c:v>9</c:v>
                  </c:pt>
                  <c:pt idx="14">
                    <c:v>15</c:v>
                  </c:pt>
                  <c:pt idx="15">
                    <c:v>18</c:v>
                  </c:pt>
                  <c:pt idx="16">
                    <c:v>19</c:v>
                  </c:pt>
                  <c:pt idx="17">
                    <c:v>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1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25E8-5246-B856-04BBD6A00148}"/>
            </c:ext>
          </c:extLst>
        </c:ser>
        <c:ser>
          <c:idx val="14"/>
          <c:order val="14"/>
          <c:tx>
            <c:strRef>
              <c:f>'2nd-2'!$N$51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EA68CC-DA3D-5A4B-B0F6-29F90CAEA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6B9E5A-835C-9347-975B-FEE9A93FAD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3BB589-DEA7-674C-A573-5A526C7993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A1E5A6-7E61-EF47-B9FB-C64AD9E13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80C1B1-AE6F-D14A-88F7-70034AF13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F8DFFA-8695-B541-A24E-715B5FF8D7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47969C-CF00-6E42-8E73-C630515ECA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F93D7C-FC83-FC40-80CB-E7CF92EE6D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15A4C7-B126-CD4D-9D69-5EE48862CB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97D5A0-8A14-974B-8F4B-272788064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218A2B-9D68-964F-8895-C37881413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AA73B3-3312-9C45-B3D6-35742C52F8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0E51D3-9747-1543-B321-5EAF95348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0FBD2E-8D6D-E742-A1DF-745E7DF757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DF80A1-3677-9A45-8166-382EB18F58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ACFE17-6540-6547-BD39-5C3B2D2232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B593A6-B545-2644-8580-6B231CBE89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353344-D2A6-2D44-B213-377FCC93F3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FE0AE2-6130-D449-8BD6-E489FAAF2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54CAAC-35BC-5B4E-B20C-A48BC9E6B7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7ECD18-0509-C844-B422-7D4A0AA300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3502BD-BD9B-8943-84DC-923B63830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BDF09C-4D9A-0547-B43E-0245AA622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6DE1FF-80A8-9348-9A84-0343966F03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89E0CD-7D5E-8543-8FFB-416415037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0DEDFC-F891-0649-BF2D-920502E60F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8B6B23-EEDF-654E-B759-E938C8E277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'2nd-2'!$M$52:$M$78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'2nd-2'!$N$52:$N$78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1</c:v>
                  </c:pt>
                  <c:pt idx="14">
                    <c:v>3</c:v>
                  </c:pt>
                  <c:pt idx="15">
                    <c:v>2</c:v>
                  </c:pt>
                  <c:pt idx="16">
                    <c:v>3</c:v>
                  </c:pt>
                  <c:pt idx="17">
                    <c:v>2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9</c:v>
                  </c:pt>
                  <c:pt idx="23">
                    <c:v>14</c:v>
                  </c:pt>
                  <c:pt idx="24">
                    <c:v>16</c:v>
                  </c:pt>
                  <c:pt idx="25">
                    <c:v>17</c:v>
                  </c:pt>
                  <c:pt idx="26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25E8-5246-B856-04BBD6A00148}"/>
            </c:ext>
          </c:extLst>
        </c:ser>
        <c:ser>
          <c:idx val="15"/>
          <c:order val="15"/>
          <c:tx>
            <c:strRef>
              <c:f>'2nd-2'!$P$51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224677-E56E-5241-AF8A-AB37A2F8B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7D7CD2-9A02-EA4D-A0B1-9660FEC02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A1DCD8-77F3-5E45-B6D1-A6F0DA330A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9CC35C-909E-3248-BFBC-D095A68201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C8AC53-67B3-5740-92A3-E9DCFD7FE6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BD5896-91BE-614C-ADC5-37026C5FC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BB19A2-3A52-1944-A9B5-BC2549395E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4B32B7-B4BB-7841-9174-58CDA2BA4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3C6F1D-2E35-FE4D-B725-5440E254F2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6DDF1C-6ED6-1640-9DF7-3D9A1273C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DBFA37-A751-0E41-B411-8BBD9F4F3F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7C548B-63D5-C046-BC15-91E354D2C0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B20736-92D0-4044-959F-85E641E013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B75444-0996-5443-A73D-9139BCC47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7703A7-9EAF-DA43-BBE9-9F5859A6D0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A4BF87-C03C-1E44-8E49-F0422F4AD0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D0E861-AFAB-5C40-AFAA-92B7C1A6B3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262F6F-C0B2-0F4B-B0AE-EA7C9C20C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0A0FB9-4F0F-FC41-8859-4E03280F17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AD09CF-A5BB-E146-8CCD-39776127E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EBE0CA-ABA2-9B4F-B183-D47C5728A8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2C3A54-847F-F14A-B024-07FCAAD34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1BC403-B8C3-CC4D-8063-54C63D9AAE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FEAD1C-F27F-F240-818C-4A019EEEE9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DA53E3-F3E4-1645-8500-B38C44EB72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89F7A6-05F4-DA4E-935A-0B3D3C2C2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F50185-B7C0-E24C-9F41-BA71A830E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'2nd-2'!$O$52:$O$78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'2nd-2'!$P$52:$P$78</c15:f>
                <c15:dlblRangeCache>
                  <c:ptCount val="27"/>
                  <c:pt idx="0">
                    <c:v>0</c:v>
                  </c:pt>
                  <c:pt idx="1">
                    <c:v>1</c:v>
                  </c:pt>
                  <c:pt idx="2">
                    <c:v>1</c:v>
                  </c:pt>
                  <c:pt idx="3">
                    <c:v>0</c:v>
                  </c:pt>
                  <c:pt idx="4">
                    <c:v>1</c:v>
                  </c:pt>
                  <c:pt idx="5">
                    <c:v>5</c:v>
                  </c:pt>
                  <c:pt idx="6">
                    <c:v>8</c:v>
                  </c:pt>
                  <c:pt idx="7">
                    <c:v>6</c:v>
                  </c:pt>
                  <c:pt idx="8">
                    <c:v>6</c:v>
                  </c:pt>
                  <c:pt idx="9">
                    <c:v>1</c:v>
                  </c:pt>
                  <c:pt idx="10">
                    <c:v>0</c:v>
                  </c:pt>
                  <c:pt idx="11">
                    <c:v>2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5</c:v>
                  </c:pt>
                  <c:pt idx="17">
                    <c:v>7</c:v>
                  </c:pt>
                  <c:pt idx="18">
                    <c:v>1</c:v>
                  </c:pt>
                  <c:pt idx="19">
                    <c:v>2</c:v>
                  </c:pt>
                  <c:pt idx="20">
                    <c:v>1</c:v>
                  </c:pt>
                  <c:pt idx="21">
                    <c:v>0</c:v>
                  </c:pt>
                  <c:pt idx="22">
                    <c:v>4</c:v>
                  </c:pt>
                  <c:pt idx="23">
                    <c:v>7</c:v>
                  </c:pt>
                  <c:pt idx="24">
                    <c:v>4</c:v>
                  </c:pt>
                  <c:pt idx="25">
                    <c:v>9</c:v>
                  </c:pt>
                  <c:pt idx="26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25E8-5246-B856-04BBD6A00148}"/>
            </c:ext>
          </c:extLst>
        </c:ser>
        <c:ser>
          <c:idx val="16"/>
          <c:order val="16"/>
          <c:tx>
            <c:strRef>
              <c:f>'2nd-2'!$S$51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2A4F35-6B9F-CC49-A9F5-3A2166751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E4D08E-EA0E-064B-BCC2-391660CEF4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DACA32-4797-5848-B1E5-C866730BC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B423DC-A3A3-C94F-83C6-6FE2B828F1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9EAAFF-B04A-0C43-86E5-37C4FD83DA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CBB39B-73C5-274A-8239-A3809DD83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355499-1721-B545-8D08-C9D585C5F9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897C8A-9B25-4649-9EEA-89EE03875A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7ADE4C-CD06-2943-A028-DCF6E2D88B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E38A8D-0201-8A4D-B195-E0400E2EB2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F62F10-4494-7F4E-B07D-3603B88E8E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59457E-6C4E-9445-BE62-A535FA355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11E083-CAC0-7F48-908C-65A3D7C986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8A84E1-A796-A24A-8728-C0EC4D144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3C44B5-0E03-BD40-A966-11B849EA6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F60D40-E871-104C-8C52-945455732E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B7FC6A-5DD1-0843-A13A-63A6B396AB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1C3324-9391-964A-9BB3-C285C0641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A8AC68-E698-0B4D-BFD0-EF0D24A43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3EDF58-F7AF-C041-96E1-C15912B7F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C1D312-6706-F248-ADB4-A25C9FC9BC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E21C42-1196-734F-9AD7-D6FAFE634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20ED3A-26D5-9147-A6C4-2902098D7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259BAB-9FCE-9E48-9DCB-55E9654D9F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E9D03D-FA36-8D44-8361-4439BF5F5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C16852-9450-D64E-B49C-55E9A8B75A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485883-CE4B-294A-A025-6FE6D28F6C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'2nd-2'!$R$52:$R$78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'2nd-2'!$S$52:$S$78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10</c:v>
                  </c:pt>
                  <c:pt idx="5">
                    <c:v>16</c:v>
                  </c:pt>
                  <c:pt idx="6">
                    <c:v>18</c:v>
                  </c:pt>
                  <c:pt idx="7">
                    <c:v>20</c:v>
                  </c:pt>
                  <c:pt idx="8">
                    <c:v>21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25E8-5246-B856-04BBD6A00148}"/>
            </c:ext>
          </c:extLst>
        </c:ser>
        <c:ser>
          <c:idx val="17"/>
          <c:order val="17"/>
          <c:tx>
            <c:strRef>
              <c:f>'2nd-2'!$U$51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F31B8D-E7CA-794D-BD56-0AE866526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7BD149-84EC-9A4C-8447-CE66F643A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47501B-D837-4949-81B9-77BC4AF04B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790ABC-3C1F-164C-AC34-B6B6F36ADF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4FC84B-7892-3540-A52D-2141E21738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C1CB66-7ABC-7B4A-BC54-CB4ED02E2F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31533D-0CB4-6947-8692-2BC53BBC77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3E8A73-2F93-CE45-99B9-A3C8FFAF24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7E2675-0BE4-8F41-90CC-A8A731C0A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56EC77-E72D-1845-9A1E-F584AAACF7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AC0575-3955-234D-989B-F9C076D869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BB5253-D262-8347-81C1-C751AA7DA1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26F29A-15E2-FE47-A0DA-59BB7E770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F4922A-0B24-7040-BC07-F64E04F7C7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111871-7D08-554C-917F-67FF9DF40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551280-CE4C-FB47-92BF-81EBED45E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0DFC69-0C02-9147-A2F6-E773CCCB0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EA8149-74C8-D348-AE79-210D8586E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8B1D60-C440-F142-86B0-2AD7598711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02D6BB-965C-804B-B72F-3981CA6EF9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B62AF9-C9B0-964D-B927-65ED7E8131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B990F0-0C1A-6548-AC3B-5F7503A13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52C553-6075-A841-95F1-6FBF1112C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07355E-56B7-9A4A-B2D5-9A1AE48BC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5679AE-5C66-6F49-9957-267806906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ADD1F2-DA79-044C-AAD0-E5F60C802A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D8D67F-AD80-DF4B-B3A7-B8D3B3EE61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'2nd-2'!$T$52:$T$78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'2nd-2'!$U$52:$U$78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</c:v>
                  </c:pt>
                  <c:pt idx="6">
                    <c:v>0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10</c:v>
                  </c:pt>
                  <c:pt idx="23">
                    <c:v>16</c:v>
                  </c:pt>
                  <c:pt idx="24">
                    <c:v>18</c:v>
                  </c:pt>
                  <c:pt idx="25">
                    <c:v>19</c:v>
                  </c:pt>
                  <c:pt idx="26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25E8-5246-B856-04BBD6A00148}"/>
            </c:ext>
          </c:extLst>
        </c:ser>
        <c:ser>
          <c:idx val="18"/>
          <c:order val="18"/>
          <c:tx>
            <c:strRef>
              <c:f>'2nd-2'!$W$51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12CEC5-614A-4E40-B2F1-0046F1E47E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B9A86E-A40A-A247-B627-4285D911AC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7F982E-F31E-634E-AC40-B271BE160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8F2F25-352C-424F-BBEF-3308C717ED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DE6CF2-2545-0740-A2E1-9BEAFB374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41505B-AB43-CB4B-B0AC-B4A162D3D0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1B92B0-B577-F041-AB58-AB6768E2CE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8172CE-EF64-D74F-A480-B89BF9E3D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10ABFE-5181-5D45-8468-E54EE56FA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7DAEA4-B955-9B4D-B2ED-1068BC7CB2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33AEC7-4BE6-E14A-9FAF-541C9DDEE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5E7222-E2E1-C646-A38C-0B0E345D0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0B3AE4-16EA-1B4B-BD90-E55BCA6732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404F4F-14BD-8649-8EFD-A3C6A7B0B9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184DE8-DA7A-5A4F-A3B1-18BC0EC74A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450FFD-5623-B24E-93B0-006FB063D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7527D8-F089-A94A-8C19-2229386CD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292C40-4850-5944-82E4-A2D893515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30C907-9ACB-674C-BE6E-6A24847AAE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8242FC-A286-8243-90CE-B1039DA26B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7467B6-F12B-174D-B70B-69C9C5840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1A312C-8CC8-AC40-8F33-91C2DE6B48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B4CC5C-DA05-584C-A0AC-AD43C53BC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101EDF-ADA1-8049-B380-E77FCFC48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B5FFCB-3496-414C-BAD1-392B0475F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857D5B-F338-5D49-B2DD-5DC8689ED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24B743-52AC-BC46-B797-6698069BD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'2nd-2'!$V$52:$V$78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'2nd-2'!$W$52:$W$78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10</c:v>
                  </c:pt>
                  <c:pt idx="5">
                    <c:v>10</c:v>
                  </c:pt>
                  <c:pt idx="6">
                    <c:v>13</c:v>
                  </c:pt>
                  <c:pt idx="7">
                    <c:v>12</c:v>
                  </c:pt>
                  <c:pt idx="8">
                    <c:v>17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4</c:v>
                  </c:pt>
                  <c:pt idx="15">
                    <c:v>5</c:v>
                  </c:pt>
                  <c:pt idx="16">
                    <c:v>8</c:v>
                  </c:pt>
                  <c:pt idx="17">
                    <c:v>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25E8-5246-B856-04BBD6A00148}"/>
            </c:ext>
          </c:extLst>
        </c:ser>
        <c:ser>
          <c:idx val="19"/>
          <c:order val="19"/>
          <c:tx>
            <c:strRef>
              <c:f>'2nd-2'!$P$1</c:f>
              <c:strCache>
                <c:ptCount val="1"/>
                <c:pt idx="0">
                  <c:v>Category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CA2F51-0837-2B4E-B4DF-A18D9570B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6A-C045-AEFA-53F67EBC61F1}"/>
                </c:ext>
              </c:extLst>
            </c:dLbl>
            <c:dLbl>
              <c:idx val="1"/>
              <c:layout>
                <c:manualLayout>
                  <c:x val="-2.6679389116068077E-2"/>
                  <c:y val="2.0949714910670912E-3"/>
                </c:manualLayout>
              </c:layout>
              <c:tx>
                <c:rich>
                  <a:bodyPr/>
                  <a:lstStyle/>
                  <a:p>
                    <a:fld id="{B887ECB3-6FC5-054F-8478-1C50874537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696A-C045-AEFA-53F67EBC61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717B0B-3661-E74D-8C6E-FA4AE518F2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6A-C045-AEFA-53F67EBC61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20FD9B-E936-2D49-90DD-D2A580CBA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6A-C045-AEFA-53F67EBC61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373667-37F7-C843-9B1A-2367E08629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6A-C045-AEFA-53F67EBC61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CC2C19-3C82-104E-85E5-8ED4B2F91A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6A-C045-AEFA-53F67EBC61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510975-1A40-9C4C-856A-8BCF73ABBA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6A-C045-AEFA-53F67EBC61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C6D348-9489-0F43-B055-9BF7DB2AEB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6A-C045-AEFA-53F67EBC61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99B7E6-30BC-DE4E-A609-66FC43495B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6A-C045-AEFA-53F67EBC61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'2nd-2'!$O$2:$O$10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696A-C045-AEFA-53F67EBC6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385234</xdr:colOff>
      <xdr:row>0</xdr:row>
      <xdr:rowOff>239185</xdr:rowOff>
    </xdr:from>
    <xdr:to>
      <xdr:col>18</xdr:col>
      <xdr:colOff>262467</xdr:colOff>
      <xdr:row>16</xdr:row>
      <xdr:rowOff>239184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B217E7-725A-4444-A6A0-1E71C321F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1714499</xdr:colOff>
      <xdr:row>37</xdr:row>
      <xdr:rowOff>93133</xdr:rowOff>
    </xdr:from>
    <xdr:to>
      <xdr:col>13</xdr:col>
      <xdr:colOff>982133</xdr:colOff>
      <xdr:row>49</xdr:row>
      <xdr:rowOff>863601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D5F86E5-14BD-23F9-61B2-802D7AD67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ifdb.org/viewgame?id=69q5074l0pa3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ifdb.org/viewgame?id=az2clhanuen4lbx0" TargetMode="External"/><Relationship Id="rId21" Type="http://schemas.openxmlformats.org/officeDocument/2006/relationships/hyperlink" Target="https://ifdb.org/viewgame?id=4bddum51nb6c568t" TargetMode="External"/><Relationship Id="rId42" Type="http://schemas.openxmlformats.org/officeDocument/2006/relationships/hyperlink" Target="https://ifdb.org/viewgame?id=y6act0sdadab6l1n" TargetMode="External"/><Relationship Id="rId47" Type="http://schemas.openxmlformats.org/officeDocument/2006/relationships/hyperlink" Target="https://ifdb.org/viewgame?id=ftnncasmsxsjnwpv" TargetMode="External"/><Relationship Id="rId63" Type="http://schemas.openxmlformats.org/officeDocument/2006/relationships/hyperlink" Target="https://ifdb.org/viewgame?id=ddlf93z4rlhahkjf" TargetMode="External"/><Relationship Id="rId68" Type="http://schemas.openxmlformats.org/officeDocument/2006/relationships/hyperlink" Target="https://ifdb.org/viewgame?id=81av33q1tn3smq8a" TargetMode="External"/><Relationship Id="rId84" Type="http://schemas.openxmlformats.org/officeDocument/2006/relationships/hyperlink" Target="https://ifdb.org/viewgame?id=pxbfs9fzshfwex77" TargetMode="External"/><Relationship Id="rId89" Type="http://schemas.openxmlformats.org/officeDocument/2006/relationships/hyperlink" Target="https://ifdb.org/viewgame?id=clpc8d5s70z8v63j" TargetMode="External"/><Relationship Id="rId16" Type="http://schemas.openxmlformats.org/officeDocument/2006/relationships/hyperlink" Target="https://store.steampowered.com/app/736190/_/?l=schinese" TargetMode="External"/><Relationship Id="rId107" Type="http://schemas.openxmlformats.org/officeDocument/2006/relationships/hyperlink" Target="https://ifdb.org/viewgame?id=ejdl5w7g4qrawga5" TargetMode="External"/><Relationship Id="rId11" Type="http://schemas.openxmlformats.org/officeDocument/2006/relationships/hyperlink" Target="https://store.steampowered.com/app/838350/_The_Scroll_Of_Taiwu/" TargetMode="External"/><Relationship Id="rId32" Type="http://schemas.openxmlformats.org/officeDocument/2006/relationships/hyperlink" Target="https://ifdb.org/viewgame?id=g7p7pb184rd06lij" TargetMode="External"/><Relationship Id="rId37" Type="http://schemas.openxmlformats.org/officeDocument/2006/relationships/hyperlink" Target="https://ifdb.org/viewgame?id=g0fl99ovcrq2sqzk" TargetMode="External"/><Relationship Id="rId53" Type="http://schemas.openxmlformats.org/officeDocument/2006/relationships/hyperlink" Target="https://ifdb.org/viewgame?id=27cqned21bebmupi" TargetMode="External"/><Relationship Id="rId58" Type="http://schemas.openxmlformats.org/officeDocument/2006/relationships/hyperlink" Target="https://ifdb.org/viewgame?id=ddw7exaodcxdbuiv" TargetMode="External"/><Relationship Id="rId74" Type="http://schemas.openxmlformats.org/officeDocument/2006/relationships/hyperlink" Target="https://ifdb.org/viewgame?id=y9m60ythcj2xn9r" TargetMode="External"/><Relationship Id="rId79" Type="http://schemas.openxmlformats.org/officeDocument/2006/relationships/hyperlink" Target="https://ifdb.org/viewgame?id=12kc1kn0745bak1c" TargetMode="External"/><Relationship Id="rId102" Type="http://schemas.openxmlformats.org/officeDocument/2006/relationships/hyperlink" Target="https://ifdb.org/viewgame?id=al3jba4m0m5c5zfm" TargetMode="External"/><Relationship Id="rId5" Type="http://schemas.openxmlformats.org/officeDocument/2006/relationships/hyperlink" Target="https://ifdb.org/search?sortby=old&amp;searchfor=system%3Ainklewriter" TargetMode="External"/><Relationship Id="rId90" Type="http://schemas.openxmlformats.org/officeDocument/2006/relationships/hyperlink" Target="https://ifdb.org/viewgame?id=lle9g3oep6s1kqh1" TargetMode="External"/><Relationship Id="rId95" Type="http://schemas.openxmlformats.org/officeDocument/2006/relationships/hyperlink" Target="https://ifdb.org/viewgame?id=auocp18rdh3uxzp9" TargetMode="External"/><Relationship Id="rId22" Type="http://schemas.openxmlformats.org/officeDocument/2006/relationships/hyperlink" Target="https://ifdb.org/viewgame?id=4iny0hu41p1wmpkf" TargetMode="External"/><Relationship Id="rId27" Type="http://schemas.openxmlformats.org/officeDocument/2006/relationships/hyperlink" Target="https://ifdb.org/viewgame?id=b6a290if1z91pdv9" TargetMode="External"/><Relationship Id="rId43" Type="http://schemas.openxmlformats.org/officeDocument/2006/relationships/hyperlink" Target="https://ifdb.org/viewgame?id=l9d5cqg3em10s3g4" TargetMode="External"/><Relationship Id="rId48" Type="http://schemas.openxmlformats.org/officeDocument/2006/relationships/hyperlink" Target="https://ifdb.org/viewgame?id=pdls96pgs65cjgz7" TargetMode="External"/><Relationship Id="rId64" Type="http://schemas.openxmlformats.org/officeDocument/2006/relationships/hyperlink" Target="https://ifdb.org/viewgame?id=6oq1zke93clq1me9" TargetMode="External"/><Relationship Id="rId69" Type="http://schemas.openxmlformats.org/officeDocument/2006/relationships/hyperlink" Target="https://store.steampowered.com/app/774201/Heavens_Vault/" TargetMode="External"/><Relationship Id="rId80" Type="http://schemas.openxmlformats.org/officeDocument/2006/relationships/hyperlink" Target="https://ifdb.org/viewgame?id=cef7jagmw41spnx3" TargetMode="External"/><Relationship Id="rId85" Type="http://schemas.openxmlformats.org/officeDocument/2006/relationships/hyperlink" Target="https://ifdb.org/viewgame?id=in8giqgcsqcbvgbp" TargetMode="External"/><Relationship Id="rId12" Type="http://schemas.openxmlformats.org/officeDocument/2006/relationships/hyperlink" Target="https://ssz66666.github.io/qfzct-66rpg/" TargetMode="External"/><Relationship Id="rId17" Type="http://schemas.openxmlformats.org/officeDocument/2006/relationships/hyperlink" Target="https://ifdb.org/viewgame?id=0dbnusxunq7fw5ro" TargetMode="External"/><Relationship Id="rId33" Type="http://schemas.openxmlformats.org/officeDocument/2006/relationships/hyperlink" Target="https://ifdb.org/viewgame?id=6a23xff9er4s83pl" TargetMode="External"/><Relationship Id="rId38" Type="http://schemas.openxmlformats.org/officeDocument/2006/relationships/hyperlink" Target="https://ifdb.org/viewgame?id=xf5y04yekcrqtnc" TargetMode="External"/><Relationship Id="rId59" Type="http://schemas.openxmlformats.org/officeDocument/2006/relationships/hyperlink" Target="https://ifdb.org/viewgame?id=sz95aalidgzq05io" TargetMode="External"/><Relationship Id="rId103" Type="http://schemas.openxmlformats.org/officeDocument/2006/relationships/hyperlink" Target="https://ifdb.org/viewgame?id=xqjirackndbzvyk" TargetMode="External"/><Relationship Id="rId108" Type="http://schemas.openxmlformats.org/officeDocument/2006/relationships/hyperlink" Target="https://ifdb.org/viewgame?id=mh4d2nkewl5o4we0" TargetMode="External"/><Relationship Id="rId54" Type="http://schemas.openxmlformats.org/officeDocument/2006/relationships/hyperlink" Target="https://ifdb.org/viewgame?id=nnm45wpavnq45f3r" TargetMode="External"/><Relationship Id="rId70" Type="http://schemas.openxmlformats.org/officeDocument/2006/relationships/hyperlink" Target="https://store.steampowered.com/app/1240050/Pendragon_Narrative_Tactics/" TargetMode="External"/><Relationship Id="rId75" Type="http://schemas.openxmlformats.org/officeDocument/2006/relationships/hyperlink" Target="https://ifdb.org/viewgame?id=x9ipiw4nwpuwikr8" TargetMode="External"/><Relationship Id="rId91" Type="http://schemas.openxmlformats.org/officeDocument/2006/relationships/hyperlink" Target="https://ifdb.org/viewgame?id=uwnfzme9h7jmoeaz" TargetMode="External"/><Relationship Id="rId96" Type="http://schemas.openxmlformats.org/officeDocument/2006/relationships/hyperlink" Target="https://ifdb.org/viewgame?id=5epqcy3j2mrvlnad" TargetMode="External"/><Relationship Id="rId1" Type="http://schemas.openxmlformats.org/officeDocument/2006/relationships/hyperlink" Target="https://ifdb.org/search?sortby=old&amp;searchfor=system%3Ainform+7" TargetMode="External"/><Relationship Id="rId6" Type="http://schemas.openxmlformats.org/officeDocument/2006/relationships/hyperlink" Target="https://ifdb.org/search?sortby=old&amp;searchfor=system%3Aunity" TargetMode="External"/><Relationship Id="rId15" Type="http://schemas.openxmlformats.org/officeDocument/2006/relationships/hyperlink" Target="https://www.66rpg.com/game/155748?new=1" TargetMode="External"/><Relationship Id="rId23" Type="http://schemas.openxmlformats.org/officeDocument/2006/relationships/hyperlink" Target="https://ifdb.org/viewgame?id=oyzb0cngd92t8fcz" TargetMode="External"/><Relationship Id="rId28" Type="http://schemas.openxmlformats.org/officeDocument/2006/relationships/hyperlink" Target="https://ifdb.org/viewgame?id=c8auic1vy228nonf" TargetMode="External"/><Relationship Id="rId36" Type="http://schemas.openxmlformats.org/officeDocument/2006/relationships/hyperlink" Target="https://ifdb.org/viewgame?id=f7zdhxmiraht53d1" TargetMode="External"/><Relationship Id="rId49" Type="http://schemas.openxmlformats.org/officeDocument/2006/relationships/hyperlink" Target="https://ifdb.org/viewgame?id=spnpp47q971owsq6" TargetMode="External"/><Relationship Id="rId57" Type="http://schemas.openxmlformats.org/officeDocument/2006/relationships/hyperlink" Target="https://ifdb.org/viewgame?id=zcgjkl8dpeza1yh6" TargetMode="External"/><Relationship Id="rId106" Type="http://schemas.openxmlformats.org/officeDocument/2006/relationships/hyperlink" Target="https://ifdb.org/viewgame?id=r0pl0x6grumps6pw" TargetMode="External"/><Relationship Id="rId10" Type="http://schemas.openxmlformats.org/officeDocument/2006/relationships/hyperlink" Target="https://www.playablstudios.com/fa&#231;ade" TargetMode="External"/><Relationship Id="rId31" Type="http://schemas.openxmlformats.org/officeDocument/2006/relationships/hyperlink" Target="https://ifdb.org/viewgame?id=9ffeaiuhsjtgzhia" TargetMode="External"/><Relationship Id="rId44" Type="http://schemas.openxmlformats.org/officeDocument/2006/relationships/hyperlink" Target="https://ifdb.org/viewgame?id=c9fqfetyrcqxl85h" TargetMode="External"/><Relationship Id="rId52" Type="http://schemas.openxmlformats.org/officeDocument/2006/relationships/hyperlink" Target="https://ifdb.org/viewgame?id=k9ltbrgwbapcehcf" TargetMode="External"/><Relationship Id="rId60" Type="http://schemas.openxmlformats.org/officeDocument/2006/relationships/hyperlink" Target="https://ifdb.org/viewgame?id=xwedbibfksczn7eq" TargetMode="External"/><Relationship Id="rId65" Type="http://schemas.openxmlformats.org/officeDocument/2006/relationships/hyperlink" Target="https://ifdb.org/viewgame?id=a3559c86fe59c4on" TargetMode="External"/><Relationship Id="rId73" Type="http://schemas.openxmlformats.org/officeDocument/2006/relationships/hyperlink" Target="https://ifdb.org/search?sortby=old&amp;searchfor=system%3AStorynexus" TargetMode="External"/><Relationship Id="rId78" Type="http://schemas.openxmlformats.org/officeDocument/2006/relationships/hyperlink" Target="https://ifdb.org/viewgame?id=gnhrsgzyjae1lva5" TargetMode="External"/><Relationship Id="rId81" Type="http://schemas.openxmlformats.org/officeDocument/2006/relationships/hyperlink" Target="https://ifdb.org/viewgame?id=4o8tp96v8nei7hrn" TargetMode="External"/><Relationship Id="rId86" Type="http://schemas.openxmlformats.org/officeDocument/2006/relationships/hyperlink" Target="https://ifdb.org/viewgame?id=54qm1xyxe8a05v41" TargetMode="External"/><Relationship Id="rId94" Type="http://schemas.openxmlformats.org/officeDocument/2006/relationships/hyperlink" Target="https://ifdb.org/viewgame?id=osaqoppea2bdvvpf" TargetMode="External"/><Relationship Id="rId99" Type="http://schemas.openxmlformats.org/officeDocument/2006/relationships/hyperlink" Target="https://ifdb.org/viewgame?id=vfbbupdlcvhffzvh" TargetMode="External"/><Relationship Id="rId101" Type="http://schemas.openxmlformats.org/officeDocument/2006/relationships/hyperlink" Target="https://ifdb.org/viewgame?id=ek7pmhyiecx6tqv6" TargetMode="External"/><Relationship Id="rId4" Type="http://schemas.openxmlformats.org/officeDocument/2006/relationships/hyperlink" Target="https://ifdb.org/search?sortby=old&amp;searchfor=system%3ATADS" TargetMode="External"/><Relationship Id="rId9" Type="http://schemas.openxmlformats.org/officeDocument/2006/relationships/hyperlink" Target="https://adarkroom.doublespeakgames.com/" TargetMode="External"/><Relationship Id="rId13" Type="http://schemas.openxmlformats.org/officeDocument/2006/relationships/hyperlink" Target="https://store.steampowered.com/app/998940/_The_Invisible_Guardian/?l=tchinese&amp;cc=cn" TargetMode="External"/><Relationship Id="rId18" Type="http://schemas.openxmlformats.org/officeDocument/2006/relationships/hyperlink" Target="https://ifdb.org/viewgame?id=dwgm9le9d8uh2ibq" TargetMode="External"/><Relationship Id="rId39" Type="http://schemas.openxmlformats.org/officeDocument/2006/relationships/hyperlink" Target="https://ifdb.org/viewgame?id=f99kibzl2391pe02" TargetMode="External"/><Relationship Id="rId109" Type="http://schemas.openxmlformats.org/officeDocument/2006/relationships/hyperlink" Target="https://ifdb.org/viewgame?id=u6fvnpiod22exm14" TargetMode="External"/><Relationship Id="rId34" Type="http://schemas.openxmlformats.org/officeDocument/2006/relationships/hyperlink" Target="https://ifdb.org/viewgame?id=uamh4vrhqkcfdsu" TargetMode="External"/><Relationship Id="rId50" Type="http://schemas.openxmlformats.org/officeDocument/2006/relationships/hyperlink" Target="https://ifdb.org/viewgame?id=v2w3rp2ypz3t8rn8" TargetMode="External"/><Relationship Id="rId55" Type="http://schemas.openxmlformats.org/officeDocument/2006/relationships/hyperlink" Target="https://ifdb.org/viewgame?id=fjom2a5xjhr9cqag" TargetMode="External"/><Relationship Id="rId76" Type="http://schemas.openxmlformats.org/officeDocument/2006/relationships/hyperlink" Target="https://ifdb.org/viewgame?id=g32t5f67wpytqnyv" TargetMode="External"/><Relationship Id="rId97" Type="http://schemas.openxmlformats.org/officeDocument/2006/relationships/hyperlink" Target="https://ifdb.org/viewgame?id=4trgav5u5si4l79m" TargetMode="External"/><Relationship Id="rId104" Type="http://schemas.openxmlformats.org/officeDocument/2006/relationships/hyperlink" Target="https://ifdb.org/viewgame?id=50n2v8hyyqd55dya" TargetMode="External"/><Relationship Id="rId7" Type="http://schemas.openxmlformats.org/officeDocument/2006/relationships/hyperlink" Target="https://ifdb.org/search?sortby=old&amp;searchfor=system%3AAdrift" TargetMode="External"/><Relationship Id="rId71" Type="http://schemas.openxmlformats.org/officeDocument/2006/relationships/hyperlink" Target="https://store.steampowered.com/app/1546920/Overboard/" TargetMode="External"/><Relationship Id="rId92" Type="http://schemas.openxmlformats.org/officeDocument/2006/relationships/hyperlink" Target="https://ifdb.org/viewgame?id=qiso9f9dphdlcrk" TargetMode="External"/><Relationship Id="rId2" Type="http://schemas.openxmlformats.org/officeDocument/2006/relationships/hyperlink" Target="https://ifdb.org/search?sortby=old&amp;searchfor=system%3AChoiceScript" TargetMode="External"/><Relationship Id="rId29" Type="http://schemas.openxmlformats.org/officeDocument/2006/relationships/hyperlink" Target="https://ifdb.org/search?sortby=old&amp;searchfor=system%3ARen%27Py" TargetMode="External"/><Relationship Id="rId24" Type="http://schemas.openxmlformats.org/officeDocument/2006/relationships/hyperlink" Target="https://ifdb.org/viewgame?id=w5dn22eu7rijykis" TargetMode="External"/><Relationship Id="rId40" Type="http://schemas.openxmlformats.org/officeDocument/2006/relationships/hyperlink" Target="https://ifdb.org/viewgame?id=nob419tqvifcsqwd" TargetMode="External"/><Relationship Id="rId45" Type="http://schemas.openxmlformats.org/officeDocument/2006/relationships/hyperlink" Target="https://ifdb.org/viewgame?id=gcv3am5y3y44a0yy" TargetMode="External"/><Relationship Id="rId66" Type="http://schemas.openxmlformats.org/officeDocument/2006/relationships/hyperlink" Target="https://ifdb.org/viewgame?id=du51t0qrhjqlnbij" TargetMode="External"/><Relationship Id="rId87" Type="http://schemas.openxmlformats.org/officeDocument/2006/relationships/hyperlink" Target="https://ifdb.org/viewgame?id=g0wfi19ktwwjqcjt" TargetMode="External"/><Relationship Id="rId110" Type="http://schemas.openxmlformats.org/officeDocument/2006/relationships/drawing" Target="../drawings/drawing2.xml"/><Relationship Id="rId61" Type="http://schemas.openxmlformats.org/officeDocument/2006/relationships/hyperlink" Target="https://ifdb.org/viewgame?id=vva8s4r00b3zli59" TargetMode="External"/><Relationship Id="rId82" Type="http://schemas.openxmlformats.org/officeDocument/2006/relationships/hyperlink" Target="https://ifdb.org/viewgame?id=8f7ulsvgjqd9qdnf" TargetMode="External"/><Relationship Id="rId19" Type="http://schemas.openxmlformats.org/officeDocument/2006/relationships/hyperlink" Target="https://ifdb.org/viewgame?id=lb3uyjuzft8ieks" TargetMode="External"/><Relationship Id="rId14" Type="http://schemas.openxmlformats.org/officeDocument/2006/relationships/hyperlink" Target="https://www.4399.com/flash/198637.htm" TargetMode="External"/><Relationship Id="rId30" Type="http://schemas.openxmlformats.org/officeDocument/2006/relationships/hyperlink" Target="https://ifdb.org/search?sortby=old&amp;searchfor=system%3ATwine" TargetMode="External"/><Relationship Id="rId35" Type="http://schemas.openxmlformats.org/officeDocument/2006/relationships/hyperlink" Target="https://ifdb.org/viewgame?id=9ntef9expou18abv" TargetMode="External"/><Relationship Id="rId56" Type="http://schemas.openxmlformats.org/officeDocument/2006/relationships/hyperlink" Target="https://ifdb.org/viewgame?id=86caj69w2dc0ci" TargetMode="External"/><Relationship Id="rId77" Type="http://schemas.openxmlformats.org/officeDocument/2006/relationships/hyperlink" Target="https://ifdb.org/viewgame?id=4a8gei7egnz7tsaw" TargetMode="External"/><Relationship Id="rId100" Type="http://schemas.openxmlformats.org/officeDocument/2006/relationships/hyperlink" Target="https://ifdb.org/viewgame?id=l49bnyq7ccb4y65l" TargetMode="External"/><Relationship Id="rId105" Type="http://schemas.openxmlformats.org/officeDocument/2006/relationships/hyperlink" Target="https://ifdb.org/viewgame?id=1vaafzgrqf4m8yvr" TargetMode="External"/><Relationship Id="rId8" Type="http://schemas.openxmlformats.org/officeDocument/2006/relationships/hyperlink" Target="https://aidungeon.com/" TargetMode="External"/><Relationship Id="rId51" Type="http://schemas.openxmlformats.org/officeDocument/2006/relationships/hyperlink" Target="https://ifdb.org/viewgame?id=jtf6d4uqss732g1o" TargetMode="External"/><Relationship Id="rId72" Type="http://schemas.openxmlformats.org/officeDocument/2006/relationships/hyperlink" Target="https://store.steampowered.com/app/1240060/A_Highland_Song/" TargetMode="External"/><Relationship Id="rId93" Type="http://schemas.openxmlformats.org/officeDocument/2006/relationships/hyperlink" Target="https://ifdb.org/viewgame?id=3915i340rkbnb38l" TargetMode="External"/><Relationship Id="rId98" Type="http://schemas.openxmlformats.org/officeDocument/2006/relationships/hyperlink" Target="https://ifdb.org/viewgame?id=h8w15bqlswmyc2jw" TargetMode="External"/><Relationship Id="rId3" Type="http://schemas.openxmlformats.org/officeDocument/2006/relationships/hyperlink" Target="https://ifdb.org/search?sortby=old&amp;searchfor=system%3Aquest" TargetMode="External"/><Relationship Id="rId25" Type="http://schemas.openxmlformats.org/officeDocument/2006/relationships/hyperlink" Target="https://ifdb.org/viewgame?id=1bwq5dgmy4vukzez" TargetMode="External"/><Relationship Id="rId46" Type="http://schemas.openxmlformats.org/officeDocument/2006/relationships/hyperlink" Target="https://ifdb.org/viewgame?id=hq9rlhpvsuur2fx8" TargetMode="External"/><Relationship Id="rId67" Type="http://schemas.openxmlformats.org/officeDocument/2006/relationships/hyperlink" Target="https://ifdb.org/viewgame?id=s7lsibhtyx7piqqi" TargetMode="External"/><Relationship Id="rId20" Type="http://schemas.openxmlformats.org/officeDocument/2006/relationships/hyperlink" Target="https://ifdb.org/viewgame?id=91v31yb8bzba2ap7" TargetMode="External"/><Relationship Id="rId41" Type="http://schemas.openxmlformats.org/officeDocument/2006/relationships/hyperlink" Target="https://ifdb.org/viewgame?id=94fj4mfrxzhzpp9s" TargetMode="External"/><Relationship Id="rId62" Type="http://schemas.openxmlformats.org/officeDocument/2006/relationships/hyperlink" Target="https://ifdb.org/viewgame?id=pjvpa5u0sej5enyf" TargetMode="External"/><Relationship Id="rId83" Type="http://schemas.openxmlformats.org/officeDocument/2006/relationships/hyperlink" Target="https://ifdb.org/viewgame?id=3a27dvcapc5fg3cz" TargetMode="External"/><Relationship Id="rId88" Type="http://schemas.openxmlformats.org/officeDocument/2006/relationships/hyperlink" Target="https://ifdb.org/viewgame?id=wnyq6948ojskzry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F36FE-9D07-124C-AF1D-2688C19A3CB5}">
  <sheetPr codeName="Sheet3"/>
  <dimension ref="A1:F229"/>
  <sheetViews>
    <sheetView tabSelected="1" topLeftCell="A96" zoomScale="120" zoomScaleNormal="120" workbookViewId="0">
      <selection activeCell="C118" sqref="C118:C126"/>
    </sheetView>
  </sheetViews>
  <sheetFormatPr baseColWidth="10" defaultRowHeight="19" x14ac:dyDescent="0.2"/>
  <cols>
    <col min="1" max="1" width="10.83203125" style="1"/>
    <col min="2" max="5" width="30.83203125" style="1" customWidth="1"/>
    <col min="6" max="6" width="20.83203125" style="1" customWidth="1"/>
    <col min="7" max="16384" width="10.83203125" style="1"/>
  </cols>
  <sheetData>
    <row r="1" spans="2:4" ht="20" customHeight="1" x14ac:dyDescent="0.2">
      <c r="B1" s="84" t="s">
        <v>51</v>
      </c>
      <c r="C1" s="84"/>
      <c r="D1" s="84"/>
    </row>
    <row r="2" spans="2:4" ht="20" x14ac:dyDescent="0.2">
      <c r="B2" s="3" t="s">
        <v>3</v>
      </c>
      <c r="C2" s="3" t="s">
        <v>2</v>
      </c>
      <c r="D2" s="3" t="s">
        <v>1</v>
      </c>
    </row>
    <row r="3" spans="2:4" ht="20" x14ac:dyDescent="0.2">
      <c r="B3" s="3" t="s">
        <v>63</v>
      </c>
      <c r="C3" s="3">
        <v>0</v>
      </c>
      <c r="D3" s="3">
        <v>0</v>
      </c>
    </row>
    <row r="4" spans="2:4" ht="20" x14ac:dyDescent="0.2">
      <c r="B4" s="3" t="s">
        <v>21</v>
      </c>
      <c r="C4" s="3">
        <v>0</v>
      </c>
      <c r="D4" s="3">
        <v>1</v>
      </c>
    </row>
    <row r="5" spans="2:4" ht="20" x14ac:dyDescent="0.2">
      <c r="B5" s="3" t="s">
        <v>61</v>
      </c>
      <c r="C5" s="3">
        <v>0</v>
      </c>
      <c r="D5" s="3">
        <v>2</v>
      </c>
    </row>
    <row r="6" spans="2:4" ht="20" x14ac:dyDescent="0.2">
      <c r="B6" s="3" t="s">
        <v>19</v>
      </c>
      <c r="C6" s="3">
        <v>0</v>
      </c>
      <c r="D6" s="3">
        <v>3</v>
      </c>
    </row>
    <row r="7" spans="2:4" ht="20" x14ac:dyDescent="0.2">
      <c r="B7" s="3" t="s">
        <v>24</v>
      </c>
      <c r="C7" s="3">
        <v>0</v>
      </c>
      <c r="D7" s="3">
        <v>4</v>
      </c>
    </row>
    <row r="8" spans="2:4" ht="20" x14ac:dyDescent="0.2">
      <c r="B8" s="3" t="s">
        <v>20</v>
      </c>
      <c r="C8" s="3">
        <v>0</v>
      </c>
      <c r="D8" s="3">
        <v>5</v>
      </c>
    </row>
    <row r="9" spans="2:4" ht="20" x14ac:dyDescent="0.2">
      <c r="B9" s="3" t="s">
        <v>17</v>
      </c>
      <c r="C9" s="3">
        <v>0</v>
      </c>
      <c r="D9" s="3">
        <v>6</v>
      </c>
    </row>
    <row r="10" spans="2:4" ht="20" x14ac:dyDescent="0.2">
      <c r="B10" s="3" t="s">
        <v>60</v>
      </c>
      <c r="C10" s="3">
        <v>0</v>
      </c>
      <c r="D10" s="3">
        <v>7</v>
      </c>
    </row>
    <row r="11" spans="2:4" ht="20" x14ac:dyDescent="0.2">
      <c r="B11" s="3" t="s">
        <v>23</v>
      </c>
      <c r="C11" s="3">
        <v>0</v>
      </c>
      <c r="D11" s="3">
        <v>8</v>
      </c>
    </row>
    <row r="12" spans="2:4" ht="20" x14ac:dyDescent="0.2">
      <c r="B12" s="3" t="s">
        <v>62</v>
      </c>
      <c r="C12" s="3">
        <v>0</v>
      </c>
      <c r="D12" s="3">
        <v>9</v>
      </c>
    </row>
    <row r="13" spans="2:4" ht="20" x14ac:dyDescent="0.2">
      <c r="B13" s="3" t="s">
        <v>25</v>
      </c>
      <c r="C13" s="3">
        <v>0</v>
      </c>
      <c r="D13" s="3">
        <v>10</v>
      </c>
    </row>
    <row r="15" spans="2:4" ht="21" customHeight="1" x14ac:dyDescent="0.2">
      <c r="B15" s="83" t="s">
        <v>26</v>
      </c>
      <c r="C15" s="83"/>
      <c r="D15" s="83"/>
    </row>
    <row r="16" spans="2:4" ht="20" x14ac:dyDescent="0.2">
      <c r="B16" s="4" t="s">
        <v>3</v>
      </c>
      <c r="C16" s="4" t="s">
        <v>2</v>
      </c>
      <c r="D16" s="4" t="s">
        <v>1</v>
      </c>
    </row>
    <row r="17" spans="1:6" ht="20" x14ac:dyDescent="0.2">
      <c r="B17" s="4" t="s">
        <v>27</v>
      </c>
      <c r="C17" s="4">
        <v>0</v>
      </c>
      <c r="D17" s="4">
        <v>0</v>
      </c>
    </row>
    <row r="18" spans="1:6" ht="20" x14ac:dyDescent="0.2">
      <c r="B18" s="4" t="s">
        <v>52</v>
      </c>
      <c r="C18" s="4">
        <v>1</v>
      </c>
      <c r="D18" s="4">
        <v>0</v>
      </c>
    </row>
    <row r="19" spans="1:6" ht="20" x14ac:dyDescent="0.2">
      <c r="B19" s="4" t="s">
        <v>53</v>
      </c>
      <c r="C19" s="4">
        <v>2</v>
      </c>
      <c r="D19" s="4">
        <v>0</v>
      </c>
      <c r="F19" s="4" t="s">
        <v>59</v>
      </c>
    </row>
    <row r="20" spans="1:6" ht="20" x14ac:dyDescent="0.2">
      <c r="B20" s="4" t="s">
        <v>54</v>
      </c>
      <c r="C20" s="4">
        <v>3</v>
      </c>
      <c r="D20" s="4">
        <v>0</v>
      </c>
      <c r="F20" s="4" t="s">
        <v>58</v>
      </c>
    </row>
    <row r="21" spans="1:6" ht="20" x14ac:dyDescent="0.2">
      <c r="B21" s="4" t="s">
        <v>55</v>
      </c>
      <c r="C21" s="4">
        <v>4</v>
      </c>
      <c r="D21" s="4">
        <v>0</v>
      </c>
      <c r="F21" s="4" t="s">
        <v>57</v>
      </c>
    </row>
    <row r="22" spans="1:6" ht="20" x14ac:dyDescent="0.2">
      <c r="B22" s="4" t="s">
        <v>56</v>
      </c>
      <c r="C22" s="4">
        <v>5</v>
      </c>
      <c r="D22" s="4">
        <v>0</v>
      </c>
      <c r="F22" s="4" t="s">
        <v>56</v>
      </c>
    </row>
    <row r="23" spans="1:6" ht="20" x14ac:dyDescent="0.2">
      <c r="B23" s="4" t="s">
        <v>57</v>
      </c>
      <c r="C23" s="4">
        <v>6</v>
      </c>
      <c r="D23" s="4">
        <v>0</v>
      </c>
      <c r="F23" s="4" t="s">
        <v>55</v>
      </c>
    </row>
    <row r="24" spans="1:6" ht="20" x14ac:dyDescent="0.2">
      <c r="B24" s="4" t="s">
        <v>58</v>
      </c>
      <c r="C24" s="4">
        <v>7</v>
      </c>
      <c r="D24" s="4">
        <v>0</v>
      </c>
      <c r="F24" s="4" t="s">
        <v>54</v>
      </c>
    </row>
    <row r="25" spans="1:6" ht="20" x14ac:dyDescent="0.2">
      <c r="B25" s="4" t="s">
        <v>59</v>
      </c>
      <c r="C25" s="4">
        <v>8</v>
      </c>
      <c r="D25" s="4">
        <v>0</v>
      </c>
      <c r="F25" s="4" t="s">
        <v>53</v>
      </c>
    </row>
    <row r="26" spans="1:6" ht="20" x14ac:dyDescent="0.2">
      <c r="F26" s="4" t="s">
        <v>52</v>
      </c>
    </row>
    <row r="27" spans="1:6" ht="20" x14ac:dyDescent="0.2">
      <c r="B27" s="2" t="s">
        <v>4</v>
      </c>
      <c r="C27" s="2" t="s">
        <v>13</v>
      </c>
      <c r="D27" s="2" t="s">
        <v>5</v>
      </c>
      <c r="F27" s="4" t="s">
        <v>27</v>
      </c>
    </row>
    <row r="28" spans="1:6" x14ac:dyDescent="0.2">
      <c r="A28" s="63" t="s">
        <v>63</v>
      </c>
      <c r="B28" s="3">
        <v>5</v>
      </c>
      <c r="C28" s="3">
        <f>COUNTIFS($D$130:$D$229, "=Text Adventure Development System",$C$130:$C$229, "&lt;2000")</f>
        <v>1</v>
      </c>
      <c r="D28" s="3">
        <v>0</v>
      </c>
    </row>
    <row r="29" spans="1:6" x14ac:dyDescent="0.2">
      <c r="A29" s="63"/>
      <c r="B29" s="3">
        <v>5</v>
      </c>
      <c r="C29" s="3">
        <f>COUNTIFS($D$130:$D$229, "=Text Adventure Development System",$C$130:$C$229, "&gt;=2000",$C$130:$C$229, "&lt;=2002")</f>
        <v>1</v>
      </c>
      <c r="D29" s="3">
        <v>1</v>
      </c>
    </row>
    <row r="30" spans="1:6" x14ac:dyDescent="0.2">
      <c r="A30" s="63"/>
      <c r="B30" s="3">
        <v>5</v>
      </c>
      <c r="C30" s="3">
        <f>COUNTIFS($D$130:$D$229, "=Text Adventure Development System",$C$130:$C$229, "&gt;=2003",$C$130:$C$229, "&lt;=2005")</f>
        <v>1</v>
      </c>
      <c r="D30" s="3">
        <v>2</v>
      </c>
    </row>
    <row r="31" spans="1:6" x14ac:dyDescent="0.2">
      <c r="A31" s="63"/>
      <c r="B31" s="3">
        <v>5</v>
      </c>
      <c r="C31" s="3">
        <f>COUNTIFS($D$130:$D$229, "=Text Adventure Development System",$C$130:$C$229, "&gt;=2006",$C$130:$C$229, "&lt;=2008")</f>
        <v>1</v>
      </c>
      <c r="D31" s="3">
        <v>3</v>
      </c>
    </row>
    <row r="32" spans="1:6" x14ac:dyDescent="0.2">
      <c r="A32" s="63"/>
      <c r="B32" s="3">
        <v>5</v>
      </c>
      <c r="C32" s="3">
        <f>COUNTIFS($D$130:$D$229, "=Text Adventure Development System",$C$130:$C$229, "&gt;=2009",$C$130:$C$229, "&lt;=2011")</f>
        <v>1</v>
      </c>
      <c r="D32" s="3">
        <v>4</v>
      </c>
    </row>
    <row r="33" spans="1:4" x14ac:dyDescent="0.2">
      <c r="A33" s="63"/>
      <c r="B33" s="3">
        <v>5</v>
      </c>
      <c r="C33" s="3">
        <f>COUNTIFS($D$130:$D$229, "=Text Adventure Development System",$C$130:$C$229, "&gt;=2012",$C$130:$C$229, "&lt;=2014")</f>
        <v>1</v>
      </c>
      <c r="D33" s="3">
        <v>5</v>
      </c>
    </row>
    <row r="34" spans="1:4" x14ac:dyDescent="0.2">
      <c r="A34" s="63"/>
      <c r="B34" s="3">
        <v>5</v>
      </c>
      <c r="C34" s="3">
        <f>COUNTIFS($D$130:$D$229, "=Text Adventure Development System",$C$130:$C$229, "&gt;=2015",$C$130:$C$229, "&lt;=2017")</f>
        <v>1</v>
      </c>
      <c r="D34" s="3">
        <v>6</v>
      </c>
    </row>
    <row r="35" spans="1:4" x14ac:dyDescent="0.2">
      <c r="A35" s="63"/>
      <c r="B35" s="3">
        <v>5</v>
      </c>
      <c r="C35" s="3">
        <f>COUNTIFS($D$130:$D$229, "=Text Adventure Development System",$C$130:$C$229, "&gt;=2018",$C$130:$C$229, "&lt;=2020")</f>
        <v>1</v>
      </c>
      <c r="D35" s="3">
        <v>7</v>
      </c>
    </row>
    <row r="36" spans="1:4" x14ac:dyDescent="0.2">
      <c r="A36" s="63"/>
      <c r="B36" s="3">
        <v>5</v>
      </c>
      <c r="C36" s="3">
        <f>COUNTIFS($D$130:$D$229, "=Text Adventure Development System",$C$130:$C$229, "&gt;=2021",$C$130:$C$229, "&lt;=2023")</f>
        <v>1</v>
      </c>
      <c r="D36" s="3">
        <v>8</v>
      </c>
    </row>
    <row r="37" spans="1:4" x14ac:dyDescent="0.2">
      <c r="A37" s="63" t="s">
        <v>21</v>
      </c>
      <c r="B37" s="5">
        <v>4</v>
      </c>
      <c r="C37" s="5">
        <f>COUNTIFS($D$130:$D$229, "=Quest",$C$130:$C$229, "&lt;2000")</f>
        <v>0</v>
      </c>
      <c r="D37" s="5">
        <v>0</v>
      </c>
    </row>
    <row r="38" spans="1:4" x14ac:dyDescent="0.2">
      <c r="A38" s="63"/>
      <c r="B38" s="5">
        <v>4</v>
      </c>
      <c r="C38" s="5">
        <f>COUNTIFS($D$130:$D$229, "=Quest",$C$130:$C$229, "&gt;=2000",$C$130:$C$229, "&lt;=2002")</f>
        <v>1</v>
      </c>
      <c r="D38" s="5">
        <v>1</v>
      </c>
    </row>
    <row r="39" spans="1:4" x14ac:dyDescent="0.2">
      <c r="A39" s="63"/>
      <c r="B39" s="5">
        <v>4</v>
      </c>
      <c r="C39" s="5">
        <f>COUNTIFS($D$130:$D$229, "=Quest",$C$130:$C$229, "&gt;=2003",$C$130:$C$229, "&lt;=2005")</f>
        <v>1</v>
      </c>
      <c r="D39" s="5">
        <v>2</v>
      </c>
    </row>
    <row r="40" spans="1:4" x14ac:dyDescent="0.2">
      <c r="A40" s="63"/>
      <c r="B40" s="5">
        <v>4</v>
      </c>
      <c r="C40" s="5">
        <f>COUNTIFS($D$130:$D$229, "=Quest",$C$130:$C$229, "&gt;=2006",$C$130:$C$229, "&lt;=2008")</f>
        <v>1</v>
      </c>
      <c r="D40" s="5">
        <v>3</v>
      </c>
    </row>
    <row r="41" spans="1:4" x14ac:dyDescent="0.2">
      <c r="A41" s="63"/>
      <c r="B41" s="5">
        <v>4</v>
      </c>
      <c r="C41" s="5">
        <f>COUNTIFS($D$130:$D$229, "=Quest",$C$130:$C$229, "&gt;=2009",$C$130:$C$229, "&lt;=2011")</f>
        <v>1</v>
      </c>
      <c r="D41" s="5">
        <v>4</v>
      </c>
    </row>
    <row r="42" spans="1:4" x14ac:dyDescent="0.2">
      <c r="A42" s="63"/>
      <c r="B42" s="5">
        <v>4</v>
      </c>
      <c r="C42" s="5">
        <f>COUNTIFS($D$130:$D$229, "=Quest",$C$130:$C$229, "&gt;=2012",$C$130:$C$229, "&lt;=2014")</f>
        <v>1</v>
      </c>
      <c r="D42" s="5">
        <v>5</v>
      </c>
    </row>
    <row r="43" spans="1:4" x14ac:dyDescent="0.2">
      <c r="A43" s="63"/>
      <c r="B43" s="5">
        <v>4</v>
      </c>
      <c r="C43" s="5">
        <f>COUNTIFS($D$130:$D$229, "=Quest",$C$130:$C$229, "&gt;=2015",$C$130:$C$229, "&lt;=2017")</f>
        <v>1</v>
      </c>
      <c r="D43" s="5">
        <v>6</v>
      </c>
    </row>
    <row r="44" spans="1:4" x14ac:dyDescent="0.2">
      <c r="A44" s="63"/>
      <c r="B44" s="5">
        <v>4</v>
      </c>
      <c r="C44" s="5">
        <f>COUNTIFS($D$130:$D$229, "=Quest",$C$130:$C$229, "&gt;=2018",$C$130:$C$229, "&lt;=2020")</f>
        <v>1</v>
      </c>
      <c r="D44" s="5">
        <v>7</v>
      </c>
    </row>
    <row r="45" spans="1:4" x14ac:dyDescent="0.2">
      <c r="A45" s="63"/>
      <c r="B45" s="5">
        <v>4</v>
      </c>
      <c r="C45" s="5">
        <f>COUNTIFS($D$130:$D$229, "=Quest",$C$130:$C$229, "&gt;=2021",$C$130:$C$229, "&lt;=2023")</f>
        <v>2</v>
      </c>
      <c r="D45" s="5">
        <v>8</v>
      </c>
    </row>
    <row r="46" spans="1:4" x14ac:dyDescent="0.2">
      <c r="A46" s="63" t="s">
        <v>61</v>
      </c>
      <c r="B46" s="4">
        <v>9</v>
      </c>
      <c r="C46" s="4">
        <f>COUNTIFS($D$130:$D$229, "=Adrift",$C$130:$C$229, "&lt;2000")</f>
        <v>0</v>
      </c>
      <c r="D46" s="4">
        <v>0</v>
      </c>
    </row>
    <row r="47" spans="1:4" x14ac:dyDescent="0.2">
      <c r="A47" s="63"/>
      <c r="B47" s="4">
        <v>9</v>
      </c>
      <c r="C47" s="4">
        <f>COUNTIFS($D$130:$D$229, "=Adrift",$C$130:$C$229, "&gt;=2000",$C$130:$C$229, "&lt;=2002")</f>
        <v>1</v>
      </c>
      <c r="D47" s="4">
        <v>1</v>
      </c>
    </row>
    <row r="48" spans="1:4" x14ac:dyDescent="0.2">
      <c r="A48" s="63"/>
      <c r="B48" s="4">
        <v>9</v>
      </c>
      <c r="C48" s="4">
        <f>COUNTIFS($D$130:$D$229, "=Adrift",$C$130:$C$229, "&gt;=2003",$C$130:$C$229, "&lt;=2005")</f>
        <v>1</v>
      </c>
      <c r="D48" s="4">
        <v>2</v>
      </c>
    </row>
    <row r="49" spans="1:4" x14ac:dyDescent="0.2">
      <c r="A49" s="63"/>
      <c r="B49" s="4">
        <v>9</v>
      </c>
      <c r="C49" s="4">
        <f>COUNTIFS($D$130:$D$229, "=Adrift",$C$130:$C$229, "&gt;=2006",$C$130:$C$229, "&lt;=2008")</f>
        <v>1</v>
      </c>
      <c r="D49" s="4">
        <v>3</v>
      </c>
    </row>
    <row r="50" spans="1:4" x14ac:dyDescent="0.2">
      <c r="A50" s="63"/>
      <c r="B50" s="4">
        <v>9</v>
      </c>
      <c r="C50" s="4">
        <f>COUNTIFS($D$130:$D$229, "=Adrift",$C$130:$C$229, "&gt;=2009",$C$130:$C$229, "&lt;=2011")</f>
        <v>1</v>
      </c>
      <c r="D50" s="4">
        <v>4</v>
      </c>
    </row>
    <row r="51" spans="1:4" x14ac:dyDescent="0.2">
      <c r="A51" s="63"/>
      <c r="B51" s="4">
        <v>9</v>
      </c>
      <c r="C51" s="4">
        <f>COUNTIFS($D$130:$D$229, "=Adrift",$C$130:$C$229, "&gt;=2012",$C$130:$C$229, "&lt;=2014")</f>
        <v>1</v>
      </c>
      <c r="D51" s="4">
        <v>5</v>
      </c>
    </row>
    <row r="52" spans="1:4" x14ac:dyDescent="0.2">
      <c r="A52" s="63"/>
      <c r="B52" s="4">
        <v>9</v>
      </c>
      <c r="C52" s="4">
        <f>COUNTIFS($D$130:$D$229, "=Adrift",$C$130:$C$229, "&gt;=2015",$C$130:$C$229, "&lt;=2017")</f>
        <v>1</v>
      </c>
      <c r="D52" s="4">
        <v>6</v>
      </c>
    </row>
    <row r="53" spans="1:4" x14ac:dyDescent="0.2">
      <c r="A53" s="63"/>
      <c r="B53" s="4">
        <v>9</v>
      </c>
      <c r="C53" s="4">
        <f>COUNTIFS($D$130:$D$229, "=Adrift",$C$130:$C$229, "&gt;=2018",$C$130:$C$229, "&lt;=2020")</f>
        <v>1</v>
      </c>
      <c r="D53" s="4">
        <v>7</v>
      </c>
    </row>
    <row r="54" spans="1:4" x14ac:dyDescent="0.2">
      <c r="A54" s="63"/>
      <c r="B54" s="4">
        <v>9</v>
      </c>
      <c r="C54" s="4">
        <f>COUNTIFS($D$130:$D$229, "=Adrift",$C$130:$C$229, "&gt;=2021",$C$130:$C$229, "&lt;=2023")</f>
        <v>2</v>
      </c>
      <c r="D54" s="4">
        <v>8</v>
      </c>
    </row>
    <row r="55" spans="1:4" ht="19" customHeight="1" x14ac:dyDescent="0.2">
      <c r="A55" s="63" t="s">
        <v>141</v>
      </c>
      <c r="B55" s="5">
        <v>1</v>
      </c>
      <c r="C55" s="5">
        <f>COUNTIFS($D$130:$D$229, "=Ren'Py",$C$130:$C$229, "&lt;2000")</f>
        <v>0</v>
      </c>
      <c r="D55" s="5">
        <v>0</v>
      </c>
    </row>
    <row r="56" spans="1:4" x14ac:dyDescent="0.2">
      <c r="A56" s="63"/>
      <c r="B56" s="5">
        <v>1</v>
      </c>
      <c r="C56" s="5">
        <f>COUNTIFS($D$130:$D$229, "=Ren'Py",$C$130:$C$229, "&gt;=2000",$C$130:$C$229, "&lt;=2002")</f>
        <v>0</v>
      </c>
      <c r="D56" s="5">
        <v>1</v>
      </c>
    </row>
    <row r="57" spans="1:4" x14ac:dyDescent="0.2">
      <c r="A57" s="63"/>
      <c r="B57" s="5">
        <v>1</v>
      </c>
      <c r="C57" s="5">
        <f>COUNTIFS($D$130:$D$229, "=Ren'Py",$C$130:$C$229, "&gt;=2003",$C$130:$C$229, "&lt;=2005")</f>
        <v>0</v>
      </c>
      <c r="D57" s="5">
        <v>2</v>
      </c>
    </row>
    <row r="58" spans="1:4" x14ac:dyDescent="0.2">
      <c r="A58" s="63"/>
      <c r="B58" s="5">
        <v>1</v>
      </c>
      <c r="C58" s="5">
        <f>COUNTIFS($D$130:$D$229, "=Ren'Py",$C$130:$C$229, "&gt;=2006",$C$130:$C$229, "&lt;=2008")</f>
        <v>0</v>
      </c>
      <c r="D58" s="5">
        <v>3</v>
      </c>
    </row>
    <row r="59" spans="1:4" x14ac:dyDescent="0.2">
      <c r="A59" s="63"/>
      <c r="B59" s="5">
        <v>1</v>
      </c>
      <c r="C59" s="5">
        <f>COUNTIFS($D$130:$D$229, "=Ren'Py",$C$130:$C$229, "&gt;=2009",$C$130:$C$229, "&lt;=2011")</f>
        <v>1</v>
      </c>
      <c r="D59" s="5">
        <v>4</v>
      </c>
    </row>
    <row r="60" spans="1:4" x14ac:dyDescent="0.2">
      <c r="A60" s="63"/>
      <c r="B60" s="5">
        <v>1</v>
      </c>
      <c r="C60" s="5">
        <f>COUNTIFS($D$130:$D$229, "=Ren'Py",$C$130:$C$229, "&gt;=2012",$C$130:$C$229, "&lt;=2014")</f>
        <v>2</v>
      </c>
      <c r="D60" s="5">
        <v>5</v>
      </c>
    </row>
    <row r="61" spans="1:4" x14ac:dyDescent="0.2">
      <c r="A61" s="63"/>
      <c r="B61" s="5">
        <v>1</v>
      </c>
      <c r="C61" s="5">
        <f>COUNTIFS($D$130:$D$229, "=Ren'Py",$C$130:$C$229, "&gt;=2015",$C$130:$C$229, "&lt;=2017")</f>
        <v>3</v>
      </c>
      <c r="D61" s="5">
        <v>6</v>
      </c>
    </row>
    <row r="62" spans="1:4" x14ac:dyDescent="0.2">
      <c r="A62" s="63"/>
      <c r="B62" s="5">
        <v>1</v>
      </c>
      <c r="C62" s="5">
        <f>COUNTIFS($D$130:$D$229, "=Ren'Py",$C$130:$C$229, "&gt;=2018",$C$130:$C$229, "&lt;=2020")</f>
        <v>1</v>
      </c>
      <c r="D62" s="5">
        <v>7</v>
      </c>
    </row>
    <row r="63" spans="1:4" x14ac:dyDescent="0.2">
      <c r="A63" s="63"/>
      <c r="B63" s="5">
        <v>1</v>
      </c>
      <c r="C63" s="5">
        <f>COUNTIFS($D$130:$D$229, "=Ren'Py",$C$130:$C$229, "&gt;=2021",$C$130:$C$229, "&lt;=2023")</f>
        <v>2</v>
      </c>
      <c r="D63" s="5">
        <v>8</v>
      </c>
    </row>
    <row r="64" spans="1:4" ht="19" customHeight="1" x14ac:dyDescent="0.2">
      <c r="A64" s="63" t="s">
        <v>24</v>
      </c>
      <c r="B64" s="3">
        <v>8</v>
      </c>
      <c r="C64" s="3">
        <f>COUNTIFS($D$130:$D$229, "=Unity",$C$130:$C$229, "&lt;2000")</f>
        <v>0</v>
      </c>
      <c r="D64" s="3">
        <v>0</v>
      </c>
    </row>
    <row r="65" spans="1:4" x14ac:dyDescent="0.2">
      <c r="A65" s="63"/>
      <c r="B65" s="3">
        <v>8</v>
      </c>
      <c r="C65" s="3">
        <f>COUNTIFS($D$130:$D$229, "=Unity",$C$130:$C$229, "&gt;=2000",$C$130:$C$229, "&lt;=2002")</f>
        <v>0</v>
      </c>
      <c r="D65" s="3">
        <v>1</v>
      </c>
    </row>
    <row r="66" spans="1:4" x14ac:dyDescent="0.2">
      <c r="A66" s="63"/>
      <c r="B66" s="3">
        <v>8</v>
      </c>
      <c r="C66" s="3">
        <f>COUNTIFS($D$130:$D$229, "=Unity",$C$130:$C$229, "&gt;=2003",$C$130:$C$229, "&lt;=2005")</f>
        <v>0</v>
      </c>
      <c r="D66" s="3">
        <v>2</v>
      </c>
    </row>
    <row r="67" spans="1:4" x14ac:dyDescent="0.2">
      <c r="A67" s="63"/>
      <c r="B67" s="3">
        <v>8</v>
      </c>
      <c r="C67" s="3">
        <f>COUNTIFS($D$130:$D$229, "=Unity",$C$130:$C$229, "&gt;=2006",$C$130:$C$229, "&lt;=2008")</f>
        <v>0</v>
      </c>
      <c r="D67" s="3">
        <v>3</v>
      </c>
    </row>
    <row r="68" spans="1:4" x14ac:dyDescent="0.2">
      <c r="A68" s="63"/>
      <c r="B68" s="3">
        <v>8</v>
      </c>
      <c r="C68" s="3">
        <f>COUNTIFS($D$130:$D$229, "=Unity",$C$130:$C$229, "&gt;=2009",$C$130:$C$229, "&lt;=2011")</f>
        <v>0</v>
      </c>
      <c r="D68" s="3">
        <v>4</v>
      </c>
    </row>
    <row r="69" spans="1:4" x14ac:dyDescent="0.2">
      <c r="A69" s="63"/>
      <c r="B69" s="3">
        <v>8</v>
      </c>
      <c r="C69" s="3">
        <f>COUNTIFS($D$130:$D$229, "=Unity",$C$130:$C$229, "&gt;=2012",$C$130:$C$229, "&lt;=2014")</f>
        <v>0</v>
      </c>
      <c r="D69" s="3">
        <v>5</v>
      </c>
    </row>
    <row r="70" spans="1:4" x14ac:dyDescent="0.2">
      <c r="A70" s="63"/>
      <c r="B70" s="3">
        <v>8</v>
      </c>
      <c r="C70" s="3">
        <f>COUNTIFS($D$130:$D$229, "=Unity",$C$130:$C$229, "&gt;=2015",$C$130:$C$229, "&lt;=2017")</f>
        <v>3</v>
      </c>
      <c r="D70" s="3">
        <v>6</v>
      </c>
    </row>
    <row r="71" spans="1:4" x14ac:dyDescent="0.2">
      <c r="A71" s="63"/>
      <c r="B71" s="3">
        <v>8</v>
      </c>
      <c r="C71" s="3">
        <f>COUNTIFS($D$130:$D$229, "=Unity",$C$130:$C$229, "&gt;=2018",$C$130:$C$229, "&lt;=2020")</f>
        <v>3</v>
      </c>
      <c r="D71" s="3">
        <v>7</v>
      </c>
    </row>
    <row r="72" spans="1:4" x14ac:dyDescent="0.2">
      <c r="A72" s="63"/>
      <c r="B72" s="3">
        <v>8</v>
      </c>
      <c r="C72" s="3">
        <f>COUNTIFS($D$130:$D$229, "=Unity",$C$130:$C$229, "&gt;=2021",$C$130:$C$229, "&lt;=2023")</f>
        <v>3</v>
      </c>
      <c r="D72" s="3">
        <v>8</v>
      </c>
    </row>
    <row r="73" spans="1:4" x14ac:dyDescent="0.2">
      <c r="A73" s="63" t="s">
        <v>142</v>
      </c>
      <c r="B73" s="3">
        <v>2</v>
      </c>
      <c r="C73" s="3">
        <f>COUNTIFS($D$130:$D$229, "=Inform 7",$C$130:$C$229, "&lt;2000")</f>
        <v>0</v>
      </c>
      <c r="D73" s="3">
        <v>0</v>
      </c>
    </row>
    <row r="74" spans="1:4" x14ac:dyDescent="0.2">
      <c r="A74" s="63"/>
      <c r="B74" s="3">
        <v>2</v>
      </c>
      <c r="C74" s="3">
        <f>COUNTIFS($D$130:$D$229, "=Inform 7",$C$130:$C$229, "&gt;=2000",$C$130:$C$229, "&lt;=2002")</f>
        <v>0</v>
      </c>
      <c r="D74" s="3">
        <v>1</v>
      </c>
    </row>
    <row r="75" spans="1:4" x14ac:dyDescent="0.2">
      <c r="A75" s="63"/>
      <c r="B75" s="3">
        <v>2</v>
      </c>
      <c r="C75" s="3">
        <f>COUNTIFS($D$130:$D$229, "=Inform 7",$C$130:$C$229, "&gt;=2003",$C$130:$C$229, "&lt;=2005")</f>
        <v>0</v>
      </c>
      <c r="D75" s="3">
        <v>2</v>
      </c>
    </row>
    <row r="76" spans="1:4" x14ac:dyDescent="0.2">
      <c r="A76" s="63"/>
      <c r="B76" s="3">
        <v>2</v>
      </c>
      <c r="C76" s="3">
        <f>COUNTIFS($D$130:$D$229, "=Inform 7",$C$130:$C$229, "&gt;=2006",$C$130:$C$229, "&lt;=2008")</f>
        <v>2</v>
      </c>
      <c r="D76" s="3">
        <v>3</v>
      </c>
    </row>
    <row r="77" spans="1:4" x14ac:dyDescent="0.2">
      <c r="A77" s="63"/>
      <c r="B77" s="3">
        <v>2</v>
      </c>
      <c r="C77" s="3">
        <f>COUNTIFS($D$130:$D$229, "=Inform 7",$C$130:$C$229, "&gt;=2009",$C$130:$C$229, "&lt;=2011")</f>
        <v>2</v>
      </c>
      <c r="D77" s="3">
        <v>4</v>
      </c>
    </row>
    <row r="78" spans="1:4" x14ac:dyDescent="0.2">
      <c r="A78" s="63"/>
      <c r="B78" s="3">
        <v>2</v>
      </c>
      <c r="C78" s="3">
        <f>COUNTIFS($D$130:$D$229, "=Inform 7",$C$130:$C$229, "&gt;=2012",$C$130:$C$229, "&lt;=2014")</f>
        <v>1</v>
      </c>
      <c r="D78" s="3">
        <v>5</v>
      </c>
    </row>
    <row r="79" spans="1:4" x14ac:dyDescent="0.2">
      <c r="A79" s="63"/>
      <c r="B79" s="3">
        <v>2</v>
      </c>
      <c r="C79" s="3">
        <f>COUNTIFS($D$130:$D$229, "=Inform 7",$C$130:$C$229, "&gt;=2015",$C$130:$C$229, "&lt;=2017")</f>
        <v>1</v>
      </c>
      <c r="D79" s="3">
        <v>6</v>
      </c>
    </row>
    <row r="80" spans="1:4" x14ac:dyDescent="0.2">
      <c r="A80" s="63"/>
      <c r="B80" s="3">
        <v>2</v>
      </c>
      <c r="C80" s="3">
        <f>COUNTIFS($D$130:$D$229, "=Inform 7",$C$130:$C$229, "&gt;=2018",$C$130:$C$229, "&lt;=2020")</f>
        <v>1</v>
      </c>
      <c r="D80" s="3">
        <v>7</v>
      </c>
    </row>
    <row r="81" spans="1:4" x14ac:dyDescent="0.2">
      <c r="A81" s="63"/>
      <c r="B81" s="3">
        <v>2</v>
      </c>
      <c r="C81" s="3">
        <f>COUNTIFS($D$130:$D$229, "=Inform 7",$C$130:$C$229, "&gt;=2021",$C$130:$C$229, "&lt;=2023")</f>
        <v>2</v>
      </c>
      <c r="D81" s="3">
        <v>8</v>
      </c>
    </row>
    <row r="82" spans="1:4" x14ac:dyDescent="0.2">
      <c r="A82" s="63" t="s">
        <v>17</v>
      </c>
      <c r="B82" s="4">
        <v>0</v>
      </c>
      <c r="C82" s="4">
        <f>COUNTIFS($D$130:$D$229, "=Twine",$C$130:$C$229, "&lt;2000")</f>
        <v>0</v>
      </c>
      <c r="D82" s="4">
        <v>0</v>
      </c>
    </row>
    <row r="83" spans="1:4" x14ac:dyDescent="0.2">
      <c r="A83" s="63"/>
      <c r="B83" s="4">
        <v>0</v>
      </c>
      <c r="C83" s="4">
        <f>COUNTIFS($D$130:$D$229, "=Twine",$C$130:$C$229, "&gt;=2000",$C$130:$C$229, "&lt;=2002")</f>
        <v>0</v>
      </c>
      <c r="D83" s="4">
        <v>1</v>
      </c>
    </row>
    <row r="84" spans="1:4" x14ac:dyDescent="0.2">
      <c r="A84" s="63"/>
      <c r="B84" s="4">
        <v>0</v>
      </c>
      <c r="C84" s="4">
        <f>COUNTIFS($D$130:$D$229, "=Twine",$C$130:$C$229, "&gt;=2003",$C$130:$C$229, "&lt;=2005")</f>
        <v>0</v>
      </c>
      <c r="D84" s="4">
        <v>2</v>
      </c>
    </row>
    <row r="85" spans="1:4" x14ac:dyDescent="0.2">
      <c r="A85" s="63"/>
      <c r="B85" s="4">
        <v>0</v>
      </c>
      <c r="C85" s="4">
        <f>COUNTIFS($D$130:$D$229, "=Twine",$C$130:$C$229, "&gt;=2006",$C$130:$C$229, "&lt;=2008")</f>
        <v>0</v>
      </c>
      <c r="D85" s="4">
        <v>3</v>
      </c>
    </row>
    <row r="86" spans="1:4" x14ac:dyDescent="0.2">
      <c r="A86" s="63"/>
      <c r="B86" s="4">
        <v>0</v>
      </c>
      <c r="C86" s="4">
        <f>COUNTIFS($D$130:$D$229, "=Twine",$C$130:$C$229, "&gt;=2009",$C$130:$C$229, "&lt;=2011")</f>
        <v>1</v>
      </c>
      <c r="D86" s="4">
        <v>4</v>
      </c>
    </row>
    <row r="87" spans="1:4" x14ac:dyDescent="0.2">
      <c r="A87" s="63"/>
      <c r="B87" s="4">
        <v>0</v>
      </c>
      <c r="C87" s="4">
        <f>COUNTIFS($D$130:$D$229, "=Twine",$C$130:$C$229, "&gt;=2012",$C$130:$C$229, "&lt;=2014")</f>
        <v>1</v>
      </c>
      <c r="D87" s="4">
        <v>5</v>
      </c>
    </row>
    <row r="88" spans="1:4" x14ac:dyDescent="0.2">
      <c r="A88" s="63"/>
      <c r="B88" s="4">
        <v>0</v>
      </c>
      <c r="C88" s="4">
        <f>COUNTIFS($D$130:$D$229, "=Twine",$C$130:$C$229, "&gt;=2015",$C$130:$C$229, "&lt;=2017")</f>
        <v>2</v>
      </c>
      <c r="D88" s="4">
        <v>6</v>
      </c>
    </row>
    <row r="89" spans="1:4" x14ac:dyDescent="0.2">
      <c r="A89" s="63"/>
      <c r="B89" s="4">
        <v>0</v>
      </c>
      <c r="C89" s="4">
        <f>COUNTIFS($D$130:$D$229, "=Twine",$C$130:$C$229, "&gt;=2018",$C$130:$C$229, "&lt;=2020")</f>
        <v>2</v>
      </c>
      <c r="D89" s="4">
        <v>7</v>
      </c>
    </row>
    <row r="90" spans="1:4" x14ac:dyDescent="0.2">
      <c r="A90" s="63"/>
      <c r="B90" s="4">
        <v>0</v>
      </c>
      <c r="C90" s="4">
        <f>COUNTIFS($D$130:$D$229, "=Twine",$C$130:$C$229, "&gt;=2021",$C$130:$C$229, "&lt;=2023")</f>
        <v>3</v>
      </c>
      <c r="D90" s="4">
        <v>8</v>
      </c>
    </row>
    <row r="91" spans="1:4" x14ac:dyDescent="0.2">
      <c r="A91" s="63" t="s">
        <v>143</v>
      </c>
      <c r="B91" s="4">
        <v>3</v>
      </c>
      <c r="C91" s="4">
        <f>COUNTIFS($D$130:$D$229, "=ChoiceScript",$C$130:$C$229, "&lt;2000")</f>
        <v>0</v>
      </c>
      <c r="D91" s="4">
        <v>0</v>
      </c>
    </row>
    <row r="92" spans="1:4" x14ac:dyDescent="0.2">
      <c r="A92" s="63"/>
      <c r="B92" s="4">
        <v>3</v>
      </c>
      <c r="C92" s="4">
        <f>COUNTIFS($D$130:$D$229, "=ChoiceScript",$C$130:$C$229, "&gt;=2000",$C$130:$C$229, "&lt;=2002")</f>
        <v>0</v>
      </c>
      <c r="D92" s="4">
        <v>1</v>
      </c>
    </row>
    <row r="93" spans="1:4" x14ac:dyDescent="0.2">
      <c r="A93" s="63"/>
      <c r="B93" s="4">
        <v>3</v>
      </c>
      <c r="C93" s="4">
        <f>COUNTIFS($D$130:$D$229, "=ChoiceScript",$C$130:$C$229, "&gt;=2003",$C$130:$C$229, "&lt;=2005")</f>
        <v>0</v>
      </c>
      <c r="D93" s="4">
        <v>2</v>
      </c>
    </row>
    <row r="94" spans="1:4" x14ac:dyDescent="0.2">
      <c r="A94" s="63"/>
      <c r="B94" s="4">
        <v>3</v>
      </c>
      <c r="C94" s="4">
        <f>COUNTIFS($D$130:$D$229, "=ChoiceScript",$C$130:$C$229, "&gt;=2006",$C$130:$C$229, "&lt;=2008")</f>
        <v>0</v>
      </c>
      <c r="D94" s="4">
        <v>3</v>
      </c>
    </row>
    <row r="95" spans="1:4" x14ac:dyDescent="0.2">
      <c r="A95" s="63"/>
      <c r="B95" s="4">
        <v>3</v>
      </c>
      <c r="C95" s="4">
        <f>COUNTIFS($D$130:$D$229, "=ChoiceScript",$C$130:$C$229, "&gt;=2009",$C$130:$C$229, "&lt;=2011")</f>
        <v>2</v>
      </c>
      <c r="D95" s="4">
        <v>4</v>
      </c>
    </row>
    <row r="96" spans="1:4" x14ac:dyDescent="0.2">
      <c r="A96" s="63"/>
      <c r="B96" s="4">
        <v>3</v>
      </c>
      <c r="C96" s="4">
        <f>COUNTIFS($D$130:$D$229, "=ChoiceScript",$C$130:$C$229, "&gt;=2012",$C$130:$C$229, "&lt;=2014")</f>
        <v>1</v>
      </c>
      <c r="D96" s="4">
        <v>5</v>
      </c>
    </row>
    <row r="97" spans="1:4" x14ac:dyDescent="0.2">
      <c r="A97" s="63"/>
      <c r="B97" s="4">
        <v>3</v>
      </c>
      <c r="C97" s="4">
        <f>COUNTIFS($D$130:$D$229, "=ChoiceScript",$C$130:$C$229, "&gt;=2015",$C$130:$C$229, "&lt;=2017")</f>
        <v>2</v>
      </c>
      <c r="D97" s="4">
        <v>6</v>
      </c>
    </row>
    <row r="98" spans="1:4" x14ac:dyDescent="0.2">
      <c r="A98" s="63"/>
      <c r="B98" s="4">
        <v>3</v>
      </c>
      <c r="C98" s="4">
        <f>COUNTIFS($D$130:$D$229, "=ChoiceScript",$C$130:$C$229, "&gt;=2018",$C$130:$C$229, "&lt;=2020")</f>
        <v>2</v>
      </c>
      <c r="D98" s="4">
        <v>7</v>
      </c>
    </row>
    <row r="99" spans="1:4" x14ac:dyDescent="0.2">
      <c r="A99" s="63"/>
      <c r="B99" s="4">
        <v>3</v>
      </c>
      <c r="C99" s="4">
        <f>COUNTIFS($D$130:$D$229, "=ChoiceScript",$C$130:$C$229, "&gt;=2021",$C$130:$C$229, "&lt;=2023")</f>
        <v>2</v>
      </c>
      <c r="D99" s="4">
        <v>8</v>
      </c>
    </row>
    <row r="100" spans="1:4" x14ac:dyDescent="0.2">
      <c r="A100" s="63" t="s">
        <v>144</v>
      </c>
      <c r="B100" s="4">
        <v>6</v>
      </c>
      <c r="C100" s="4">
        <f>COUNTIFS($D$130:$D$229, "=inklewriter",$C$130:$C$229, "&lt;2000")</f>
        <v>0</v>
      </c>
      <c r="D100" s="4">
        <v>0</v>
      </c>
    </row>
    <row r="101" spans="1:4" x14ac:dyDescent="0.2">
      <c r="A101" s="63"/>
      <c r="B101" s="4">
        <v>6</v>
      </c>
      <c r="C101" s="4">
        <f>COUNTIFS($D$130:$D$229, "=inklewriter",$C$130:$C$229, "&gt;=2000",$C$130:$C$229, "&lt;=2002")</f>
        <v>0</v>
      </c>
      <c r="D101" s="4">
        <v>1</v>
      </c>
    </row>
    <row r="102" spans="1:4" x14ac:dyDescent="0.2">
      <c r="A102" s="63"/>
      <c r="B102" s="4">
        <v>6</v>
      </c>
      <c r="C102" s="4">
        <f>COUNTIFS($D$130:$D$229, "=inklewriter",$C$130:$C$229, "&gt;=2003",$C$130:$C$229, "&lt;=2005")</f>
        <v>0</v>
      </c>
      <c r="D102" s="4">
        <v>2</v>
      </c>
    </row>
    <row r="103" spans="1:4" x14ac:dyDescent="0.2">
      <c r="A103" s="63"/>
      <c r="B103" s="4">
        <v>6</v>
      </c>
      <c r="C103" s="4">
        <f>COUNTIFS($D$130:$D$229, "=inklewriter",$C$130:$C$229, "&gt;=2006",$C$130:$C$229, "&lt;=2008")</f>
        <v>0</v>
      </c>
      <c r="D103" s="4">
        <v>3</v>
      </c>
    </row>
    <row r="104" spans="1:4" x14ac:dyDescent="0.2">
      <c r="A104" s="63"/>
      <c r="B104" s="4">
        <v>6</v>
      </c>
      <c r="C104" s="4">
        <f>COUNTIFS($D$130:$D$229, "=inklewriter",$C$130:$C$229, "&gt;=2009",$C$130:$C$229, "&lt;=2011")</f>
        <v>0</v>
      </c>
      <c r="D104" s="4">
        <v>4</v>
      </c>
    </row>
    <row r="105" spans="1:4" x14ac:dyDescent="0.2">
      <c r="A105" s="63"/>
      <c r="B105" s="4">
        <v>6</v>
      </c>
      <c r="C105" s="4">
        <f>COUNTIFS($D$130:$D$229, "=inklewriter",$C$130:$C$229, "&gt;=2012",$C$130:$C$229, "&lt;=2014")</f>
        <v>3</v>
      </c>
      <c r="D105" s="4">
        <v>5</v>
      </c>
    </row>
    <row r="106" spans="1:4" x14ac:dyDescent="0.2">
      <c r="A106" s="63"/>
      <c r="B106" s="4">
        <v>6</v>
      </c>
      <c r="C106" s="4">
        <f>COUNTIFS($D$130:$D$229, "=inklewriter",$C$130:$C$229, "&gt;=2015",$C$130:$C$229, "&lt;=2017")</f>
        <v>2</v>
      </c>
      <c r="D106" s="4">
        <v>6</v>
      </c>
    </row>
    <row r="107" spans="1:4" x14ac:dyDescent="0.2">
      <c r="A107" s="63"/>
      <c r="B107" s="4">
        <v>6</v>
      </c>
      <c r="C107" s="4">
        <f>COUNTIFS($D$130:$D$229, "=inklewriter",$C$130:$C$229, "&gt;=2018",$C$130:$C$229, "&lt;=2020")</f>
        <v>2</v>
      </c>
      <c r="D107" s="4">
        <v>7</v>
      </c>
    </row>
    <row r="108" spans="1:4" x14ac:dyDescent="0.2">
      <c r="A108" s="63"/>
      <c r="B108" s="4">
        <v>6</v>
      </c>
      <c r="C108" s="4">
        <f>COUNTIFS($D$130:$D$229, "=inklewriter",$C$130:$C$229, "&gt;=2021",$C$130:$C$229, "&lt;=2023")</f>
        <v>2</v>
      </c>
      <c r="D108" s="4">
        <v>8</v>
      </c>
    </row>
    <row r="109" spans="1:4" x14ac:dyDescent="0.2">
      <c r="A109" s="63" t="s">
        <v>145</v>
      </c>
      <c r="B109" s="5">
        <v>7</v>
      </c>
      <c r="C109" s="5">
        <f>COUNTIFS($D$130:$D$229, "=StoryNexus",$C$130:$C$229, "&lt;2000")</f>
        <v>0</v>
      </c>
      <c r="D109" s="5">
        <v>0</v>
      </c>
    </row>
    <row r="110" spans="1:4" x14ac:dyDescent="0.2">
      <c r="A110" s="63"/>
      <c r="B110" s="5">
        <v>7</v>
      </c>
      <c r="C110" s="5">
        <f>COUNTIFS($D$130:$D$229, "=StoryNexus",$C$130:$C$229, "&gt;=2000",$C$130:$C$229, "&lt;=2002")</f>
        <v>0</v>
      </c>
      <c r="D110" s="5">
        <v>1</v>
      </c>
    </row>
    <row r="111" spans="1:4" x14ac:dyDescent="0.2">
      <c r="A111" s="63"/>
      <c r="B111" s="5">
        <v>7</v>
      </c>
      <c r="C111" s="5">
        <f>COUNTIFS($D$130:$D$229, "=StoryNexus",$C$130:$C$229, "&gt;=2003",$C$130:$C$229, "&lt;=2005")</f>
        <v>0</v>
      </c>
      <c r="D111" s="5">
        <v>2</v>
      </c>
    </row>
    <row r="112" spans="1:4" x14ac:dyDescent="0.2">
      <c r="A112" s="63"/>
      <c r="B112" s="5">
        <v>7</v>
      </c>
      <c r="C112" s="5">
        <f>COUNTIFS($D$130:$D$229, "=StoryNexus",$C$130:$C$229, "&gt;=2006",$C$130:$C$229, "&lt;=2008")</f>
        <v>0</v>
      </c>
      <c r="D112" s="5">
        <v>3</v>
      </c>
    </row>
    <row r="113" spans="1:4" x14ac:dyDescent="0.2">
      <c r="A113" s="63"/>
      <c r="B113" s="5">
        <v>7</v>
      </c>
      <c r="C113" s="5">
        <f>COUNTIFS($D$130:$D$229, "=StoryNexus",$C$130:$C$229, "&gt;=2009",$C$130:$C$229, "&lt;=2011")</f>
        <v>1</v>
      </c>
      <c r="D113" s="5">
        <v>4</v>
      </c>
    </row>
    <row r="114" spans="1:4" x14ac:dyDescent="0.2">
      <c r="A114" s="63"/>
      <c r="B114" s="5">
        <v>7</v>
      </c>
      <c r="C114" s="5">
        <f>COUNTIFS($D$130:$D$229, "=StoryNexus",$C$130:$C$229, "&gt;=2012",$C$130:$C$229, "&lt;=2014")</f>
        <v>2</v>
      </c>
      <c r="D114" s="5">
        <v>5</v>
      </c>
    </row>
    <row r="115" spans="1:4" x14ac:dyDescent="0.2">
      <c r="A115" s="63"/>
      <c r="B115" s="5">
        <v>7</v>
      </c>
      <c r="C115" s="5">
        <f>COUNTIFS($D$130:$D$229, "=StoryNexus",$C$130:$C$229, "&gt;=2015",$C$130:$C$229, "&lt;=2017")</f>
        <v>2</v>
      </c>
      <c r="D115" s="5">
        <v>6</v>
      </c>
    </row>
    <row r="116" spans="1:4" x14ac:dyDescent="0.2">
      <c r="A116" s="63"/>
      <c r="B116" s="5">
        <v>7</v>
      </c>
      <c r="C116" s="5">
        <f>COUNTIFS($D$130:$D$229, "=StoryNexus",$C$130:$C$229, "&gt;=2018",$C$130:$C$229, "&lt;=2020")</f>
        <v>2</v>
      </c>
      <c r="D116" s="5">
        <v>7</v>
      </c>
    </row>
    <row r="117" spans="1:4" x14ac:dyDescent="0.2">
      <c r="A117" s="63"/>
      <c r="B117" s="5">
        <v>7</v>
      </c>
      <c r="C117" s="5">
        <f>COUNTIFS($D$130:$D$229, "=StoryNexus",$C$130:$C$229, "&gt;=2021",$C$130:$C$229, "&lt;=2023")</f>
        <v>2</v>
      </c>
      <c r="D117" s="5">
        <v>8</v>
      </c>
    </row>
    <row r="118" spans="1:4" x14ac:dyDescent="0.2">
      <c r="A118" s="63" t="s">
        <v>25</v>
      </c>
      <c r="B118" s="5">
        <v>10</v>
      </c>
      <c r="C118" s="5">
        <f>COUNTIFS($D$130:$D$229, "=Others",$C$130:$C$229, "&lt;2000")</f>
        <v>1</v>
      </c>
      <c r="D118" s="5">
        <v>0</v>
      </c>
    </row>
    <row r="119" spans="1:4" x14ac:dyDescent="0.2">
      <c r="A119" s="63"/>
      <c r="B119" s="5">
        <v>10</v>
      </c>
      <c r="C119" s="5">
        <f>COUNTIFS($D$130:$D$229, "=Others",$C$130:$C$229, "&gt;=2000",$C$130:$C$229, "&lt;=2002")</f>
        <v>0</v>
      </c>
      <c r="D119" s="5">
        <v>1</v>
      </c>
    </row>
    <row r="120" spans="1:4" x14ac:dyDescent="0.2">
      <c r="A120" s="63"/>
      <c r="B120" s="5">
        <v>10</v>
      </c>
      <c r="C120" s="5">
        <f>COUNTIFS($D$130:$D$229, "=Others",$C$130:$C$229, "&gt;=2003",$C$130:$C$229, "&lt;=2005")</f>
        <v>1</v>
      </c>
      <c r="D120" s="5">
        <v>2</v>
      </c>
    </row>
    <row r="121" spans="1:4" x14ac:dyDescent="0.2">
      <c r="A121" s="63"/>
      <c r="B121" s="5">
        <v>10</v>
      </c>
      <c r="C121" s="5">
        <f>COUNTIFS($D$130:$D$229, "=Others",$C$130:$C$229, "&gt;=2006",$C$130:$C$229, "&lt;=2008")</f>
        <v>0</v>
      </c>
      <c r="D121" s="5">
        <v>3</v>
      </c>
    </row>
    <row r="122" spans="1:4" x14ac:dyDescent="0.2">
      <c r="A122" s="63"/>
      <c r="B122" s="5">
        <v>10</v>
      </c>
      <c r="C122" s="5">
        <f>COUNTIFS($D$130:$D$229, "=Others",$C$130:$C$229, "&gt;=2009",$C$130:$C$229, "&lt;=2011")</f>
        <v>0</v>
      </c>
      <c r="D122" s="5">
        <v>4</v>
      </c>
    </row>
    <row r="123" spans="1:4" x14ac:dyDescent="0.2">
      <c r="A123" s="63"/>
      <c r="B123" s="5">
        <v>10</v>
      </c>
      <c r="C123" s="5">
        <f>COUNTIFS($D$130:$D$229, "=Others",$C$130:$C$229, "&gt;=2012",$C$130:$C$229, "&lt;=2014")</f>
        <v>4</v>
      </c>
      <c r="D123" s="5">
        <v>5</v>
      </c>
    </row>
    <row r="124" spans="1:4" x14ac:dyDescent="0.2">
      <c r="A124" s="63"/>
      <c r="B124" s="5">
        <v>10</v>
      </c>
      <c r="C124" s="5">
        <f>COUNTIFS($D$130:$D$229, "=Others",$C$130:$C$229, "&gt;=2015",$C$130:$C$229, "&lt;=2017")</f>
        <v>0</v>
      </c>
      <c r="D124" s="5">
        <v>6</v>
      </c>
    </row>
    <row r="125" spans="1:4" x14ac:dyDescent="0.2">
      <c r="A125" s="63"/>
      <c r="B125" s="5">
        <v>10</v>
      </c>
      <c r="C125" s="5">
        <f>COUNTIFS($D$130:$D$229, "=Others",$C$130:$C$229, "&gt;=2018",$C$130:$C$229, "&lt;=2020")</f>
        <v>4</v>
      </c>
      <c r="D125" s="5">
        <v>7</v>
      </c>
    </row>
    <row r="126" spans="1:4" x14ac:dyDescent="0.2">
      <c r="A126" s="63"/>
      <c r="B126" s="5">
        <v>10</v>
      </c>
      <c r="C126" s="5">
        <f>COUNTIFS($D$130:$D$229, "=Others",$C$130:$C$229, "&gt;=2021",$C$130:$C$229, "&lt;=2023")</f>
        <v>0</v>
      </c>
      <c r="D126" s="5">
        <v>8</v>
      </c>
    </row>
    <row r="127" spans="1:4" ht="19" customHeight="1" x14ac:dyDescent="0.2">
      <c r="B127" s="81" t="s">
        <v>30</v>
      </c>
      <c r="C127" s="3">
        <f>SUM(C28:C126)</f>
        <v>100</v>
      </c>
      <c r="D127" s="82"/>
    </row>
    <row r="129" spans="2:4" ht="20" x14ac:dyDescent="0.2">
      <c r="B129" s="6" t="s">
        <v>0</v>
      </c>
      <c r="C129" s="6" t="s">
        <v>28</v>
      </c>
      <c r="D129" s="6" t="s">
        <v>18</v>
      </c>
    </row>
    <row r="130" spans="2:4" ht="40" x14ac:dyDescent="0.2">
      <c r="B130" s="3" t="s">
        <v>107</v>
      </c>
      <c r="C130" s="7">
        <v>2009</v>
      </c>
      <c r="D130" s="7" t="s">
        <v>17</v>
      </c>
    </row>
    <row r="131" spans="2:4" ht="40" x14ac:dyDescent="0.2">
      <c r="B131" s="3" t="s">
        <v>146</v>
      </c>
      <c r="C131" s="7">
        <v>2014</v>
      </c>
      <c r="D131" s="7" t="s">
        <v>17</v>
      </c>
    </row>
    <row r="132" spans="2:4" ht="40" x14ac:dyDescent="0.2">
      <c r="B132" s="3" t="s">
        <v>184</v>
      </c>
      <c r="C132" s="7">
        <v>2015</v>
      </c>
      <c r="D132" s="7" t="s">
        <v>17</v>
      </c>
    </row>
    <row r="133" spans="2:4" ht="20" x14ac:dyDescent="0.2">
      <c r="B133" s="3" t="s">
        <v>147</v>
      </c>
      <c r="C133" s="7">
        <v>2017</v>
      </c>
      <c r="D133" s="7" t="s">
        <v>17</v>
      </c>
    </row>
    <row r="134" spans="2:4" ht="20" x14ac:dyDescent="0.2">
      <c r="B134" s="3" t="s">
        <v>186</v>
      </c>
      <c r="C134" s="7">
        <v>2019</v>
      </c>
      <c r="D134" s="7" t="s">
        <v>17</v>
      </c>
    </row>
    <row r="135" spans="2:4" ht="20" x14ac:dyDescent="0.2">
      <c r="B135" s="3" t="s">
        <v>148</v>
      </c>
      <c r="C135" s="7">
        <v>2020</v>
      </c>
      <c r="D135" s="7" t="s">
        <v>17</v>
      </c>
    </row>
    <row r="136" spans="2:4" ht="20" x14ac:dyDescent="0.2">
      <c r="B136" s="3" t="s">
        <v>190</v>
      </c>
      <c r="C136" s="7">
        <v>2021</v>
      </c>
      <c r="D136" s="7" t="s">
        <v>17</v>
      </c>
    </row>
    <row r="137" spans="2:4" ht="20" x14ac:dyDescent="0.2">
      <c r="B137" s="3" t="s">
        <v>149</v>
      </c>
      <c r="C137" s="7">
        <v>2022</v>
      </c>
      <c r="D137" s="7" t="s">
        <v>17</v>
      </c>
    </row>
    <row r="138" spans="2:4" ht="20" x14ac:dyDescent="0.2">
      <c r="B138" s="3" t="s">
        <v>150</v>
      </c>
      <c r="C138" s="7">
        <v>2023</v>
      </c>
      <c r="D138" s="7" t="s">
        <v>17</v>
      </c>
    </row>
    <row r="139" spans="2:4" ht="20" x14ac:dyDescent="0.2">
      <c r="B139" s="4" t="s">
        <v>109</v>
      </c>
      <c r="C139" s="8">
        <v>2010</v>
      </c>
      <c r="D139" s="8" t="s">
        <v>19</v>
      </c>
    </row>
    <row r="140" spans="2:4" ht="20" x14ac:dyDescent="0.2">
      <c r="B140" s="4" t="s">
        <v>195</v>
      </c>
      <c r="C140" s="8">
        <v>2013</v>
      </c>
      <c r="D140" s="8" t="s">
        <v>19</v>
      </c>
    </row>
    <row r="141" spans="2:4" ht="20" x14ac:dyDescent="0.2">
      <c r="B141" s="4" t="s">
        <v>196</v>
      </c>
      <c r="C141" s="8">
        <v>2014</v>
      </c>
      <c r="D141" s="8" t="s">
        <v>19</v>
      </c>
    </row>
    <row r="142" spans="2:4" ht="20" x14ac:dyDescent="0.2">
      <c r="B142" s="4" t="s">
        <v>299</v>
      </c>
      <c r="C142" s="8">
        <v>2015</v>
      </c>
      <c r="D142" s="8" t="s">
        <v>19</v>
      </c>
    </row>
    <row r="143" spans="2:4" ht="20" x14ac:dyDescent="0.2">
      <c r="B143" s="4" t="s">
        <v>301</v>
      </c>
      <c r="C143" s="8">
        <v>2016</v>
      </c>
      <c r="D143" s="8" t="s">
        <v>19</v>
      </c>
    </row>
    <row r="144" spans="2:4" ht="20" x14ac:dyDescent="0.2">
      <c r="B144" s="4" t="s">
        <v>198</v>
      </c>
      <c r="C144" s="8">
        <v>2017</v>
      </c>
      <c r="D144" s="8" t="s">
        <v>19</v>
      </c>
    </row>
    <row r="145" spans="2:5" ht="20" x14ac:dyDescent="0.2">
      <c r="B145" s="4" t="s">
        <v>303</v>
      </c>
      <c r="C145" s="8">
        <v>2019</v>
      </c>
      <c r="D145" s="8" t="s">
        <v>19</v>
      </c>
    </row>
    <row r="146" spans="2:5" ht="20" x14ac:dyDescent="0.2">
      <c r="B146" s="4" t="s">
        <v>200</v>
      </c>
      <c r="C146" s="8">
        <v>2021</v>
      </c>
      <c r="D146" s="8" t="s">
        <v>19</v>
      </c>
    </row>
    <row r="147" spans="2:5" ht="40" x14ac:dyDescent="0.2">
      <c r="B147" s="4" t="s">
        <v>202</v>
      </c>
      <c r="C147" s="8">
        <v>2023</v>
      </c>
      <c r="D147" s="8" t="s">
        <v>19</v>
      </c>
    </row>
    <row r="148" spans="2:5" ht="34" x14ac:dyDescent="0.2">
      <c r="B148" s="5" t="s">
        <v>111</v>
      </c>
      <c r="C148" s="9">
        <v>2006</v>
      </c>
      <c r="D148" s="9" t="s">
        <v>20</v>
      </c>
      <c r="E148" s="58" t="s">
        <v>296</v>
      </c>
    </row>
    <row r="149" spans="2:5" ht="20" x14ac:dyDescent="0.2">
      <c r="B149" s="5" t="s">
        <v>151</v>
      </c>
      <c r="C149" s="9">
        <v>2007</v>
      </c>
      <c r="D149" s="9" t="s">
        <v>20</v>
      </c>
    </row>
    <row r="150" spans="2:5" ht="40" x14ac:dyDescent="0.2">
      <c r="B150" s="5" t="s">
        <v>152</v>
      </c>
      <c r="C150" s="9">
        <v>2009</v>
      </c>
      <c r="D150" s="9" t="s">
        <v>20</v>
      </c>
    </row>
    <row r="151" spans="2:5" ht="20" x14ac:dyDescent="0.2">
      <c r="B151" s="5" t="s">
        <v>153</v>
      </c>
      <c r="C151" s="9">
        <v>2011</v>
      </c>
      <c r="D151" s="9" t="s">
        <v>20</v>
      </c>
    </row>
    <row r="152" spans="2:5" ht="20" x14ac:dyDescent="0.2">
      <c r="B152" s="5" t="s">
        <v>154</v>
      </c>
      <c r="C152" s="9">
        <v>2013</v>
      </c>
      <c r="D152" s="9" t="s">
        <v>20</v>
      </c>
    </row>
    <row r="153" spans="2:5" ht="20" x14ac:dyDescent="0.2">
      <c r="B153" s="5" t="s">
        <v>210</v>
      </c>
      <c r="C153" s="9">
        <v>2015</v>
      </c>
      <c r="D153" s="9" t="s">
        <v>20</v>
      </c>
    </row>
    <row r="154" spans="2:5" ht="20" x14ac:dyDescent="0.2">
      <c r="B154" s="5" t="s">
        <v>155</v>
      </c>
      <c r="C154" s="9">
        <v>2019</v>
      </c>
      <c r="D154" s="9" t="s">
        <v>20</v>
      </c>
    </row>
    <row r="155" spans="2:5" ht="40" x14ac:dyDescent="0.2">
      <c r="B155" s="5" t="s">
        <v>156</v>
      </c>
      <c r="C155" s="9">
        <v>2021</v>
      </c>
      <c r="D155" s="9" t="s">
        <v>20</v>
      </c>
    </row>
    <row r="156" spans="2:5" ht="20" x14ac:dyDescent="0.2">
      <c r="B156" s="5" t="s">
        <v>157</v>
      </c>
      <c r="C156" s="9">
        <v>2023</v>
      </c>
      <c r="D156" s="9" t="s">
        <v>20</v>
      </c>
    </row>
    <row r="157" spans="2:5" ht="20" x14ac:dyDescent="0.2">
      <c r="B157" s="3" t="s">
        <v>113</v>
      </c>
      <c r="C157" s="7">
        <v>2010</v>
      </c>
      <c r="D157" s="7" t="s">
        <v>60</v>
      </c>
    </row>
    <row r="158" spans="2:5" ht="20" x14ac:dyDescent="0.2">
      <c r="B158" s="3" t="s">
        <v>216</v>
      </c>
      <c r="C158" s="7">
        <v>2011</v>
      </c>
      <c r="D158" s="7" t="s">
        <v>60</v>
      </c>
    </row>
    <row r="159" spans="2:5" ht="40" x14ac:dyDescent="0.2">
      <c r="B159" s="3" t="s">
        <v>158</v>
      </c>
      <c r="C159" s="7">
        <v>2013</v>
      </c>
      <c r="D159" s="7" t="s">
        <v>60</v>
      </c>
    </row>
    <row r="160" spans="2:5" ht="20" x14ac:dyDescent="0.2">
      <c r="B160" s="3" t="s">
        <v>159</v>
      </c>
      <c r="C160" s="7">
        <v>2015</v>
      </c>
      <c r="D160" s="7" t="s">
        <v>60</v>
      </c>
    </row>
    <row r="161" spans="2:4" ht="20" x14ac:dyDescent="0.2">
      <c r="B161" s="3" t="s">
        <v>160</v>
      </c>
      <c r="C161" s="7">
        <v>2017</v>
      </c>
      <c r="D161" s="7" t="s">
        <v>60</v>
      </c>
    </row>
    <row r="162" spans="2:4" ht="20" x14ac:dyDescent="0.2">
      <c r="B162" s="3" t="s">
        <v>220</v>
      </c>
      <c r="C162" s="7">
        <v>2019</v>
      </c>
      <c r="D162" s="7" t="s">
        <v>60</v>
      </c>
    </row>
    <row r="163" spans="2:4" ht="20" x14ac:dyDescent="0.2">
      <c r="B163" s="3" t="s">
        <v>161</v>
      </c>
      <c r="C163" s="7">
        <v>2020</v>
      </c>
      <c r="D163" s="7" t="s">
        <v>60</v>
      </c>
    </row>
    <row r="164" spans="2:4" ht="20" x14ac:dyDescent="0.2">
      <c r="B164" s="3" t="s">
        <v>162</v>
      </c>
      <c r="C164" s="7">
        <v>2022</v>
      </c>
      <c r="D164" s="7" t="s">
        <v>60</v>
      </c>
    </row>
    <row r="165" spans="2:4" ht="20" x14ac:dyDescent="0.2">
      <c r="B165" s="3" t="s">
        <v>163</v>
      </c>
      <c r="C165" s="7">
        <v>2023</v>
      </c>
      <c r="D165" s="7" t="s">
        <v>60</v>
      </c>
    </row>
    <row r="166" spans="2:4" ht="20" x14ac:dyDescent="0.2">
      <c r="B166" s="4" t="s">
        <v>305</v>
      </c>
      <c r="C166" s="8">
        <v>2000</v>
      </c>
      <c r="D166" s="8" t="s">
        <v>21</v>
      </c>
    </row>
    <row r="167" spans="2:4" ht="20" x14ac:dyDescent="0.2">
      <c r="B167" s="4" t="s">
        <v>226</v>
      </c>
      <c r="C167" s="8">
        <v>2003</v>
      </c>
      <c r="D167" s="8" t="s">
        <v>21</v>
      </c>
    </row>
    <row r="168" spans="2:4" ht="20" x14ac:dyDescent="0.2">
      <c r="B168" s="4" t="s">
        <v>307</v>
      </c>
      <c r="C168" s="8">
        <v>2006</v>
      </c>
      <c r="D168" s="8" t="s">
        <v>21</v>
      </c>
    </row>
    <row r="169" spans="2:4" ht="20" x14ac:dyDescent="0.2">
      <c r="B169" s="4" t="s">
        <v>309</v>
      </c>
      <c r="C169" s="8">
        <v>2009</v>
      </c>
      <c r="D169" s="8" t="s">
        <v>21</v>
      </c>
    </row>
    <row r="170" spans="2:4" ht="40" x14ac:dyDescent="0.2">
      <c r="B170" s="4" t="s">
        <v>227</v>
      </c>
      <c r="C170" s="8">
        <v>2012</v>
      </c>
      <c r="D170" s="8" t="s">
        <v>21</v>
      </c>
    </row>
    <row r="171" spans="2:4" ht="20" x14ac:dyDescent="0.2">
      <c r="B171" s="4" t="s">
        <v>229</v>
      </c>
      <c r="C171" s="8">
        <v>2015</v>
      </c>
      <c r="D171" s="8" t="s">
        <v>21</v>
      </c>
    </row>
    <row r="172" spans="2:4" ht="20" x14ac:dyDescent="0.2">
      <c r="B172" s="4" t="s">
        <v>231</v>
      </c>
      <c r="C172" s="8">
        <v>2018</v>
      </c>
      <c r="D172" s="8" t="s">
        <v>21</v>
      </c>
    </row>
    <row r="173" spans="2:4" ht="20" x14ac:dyDescent="0.2">
      <c r="B173" s="4" t="s">
        <v>233</v>
      </c>
      <c r="C173" s="8">
        <v>2021</v>
      </c>
      <c r="D173" s="8" t="s">
        <v>21</v>
      </c>
    </row>
    <row r="174" spans="2:4" ht="20" x14ac:dyDescent="0.2">
      <c r="B174" s="4" t="s">
        <v>164</v>
      </c>
      <c r="C174" s="8">
        <v>2023</v>
      </c>
      <c r="D174" s="8" t="s">
        <v>21</v>
      </c>
    </row>
    <row r="175" spans="2:4" ht="40" x14ac:dyDescent="0.2">
      <c r="B175" s="5" t="s">
        <v>116</v>
      </c>
      <c r="C175" s="9">
        <v>1989</v>
      </c>
      <c r="D175" s="9" t="s">
        <v>22</v>
      </c>
    </row>
    <row r="176" spans="2:4" ht="40" x14ac:dyDescent="0.2">
      <c r="B176" s="5" t="s">
        <v>237</v>
      </c>
      <c r="C176" s="9">
        <v>2000</v>
      </c>
      <c r="D176" s="9" t="s">
        <v>22</v>
      </c>
    </row>
    <row r="177" spans="2:4" ht="40" x14ac:dyDescent="0.2">
      <c r="B177" s="5" t="s">
        <v>239</v>
      </c>
      <c r="C177" s="9">
        <v>2004</v>
      </c>
      <c r="D177" s="9" t="s">
        <v>22</v>
      </c>
    </row>
    <row r="178" spans="2:4" ht="40" x14ac:dyDescent="0.2">
      <c r="B178" s="5" t="s">
        <v>241</v>
      </c>
      <c r="C178" s="9">
        <v>2008</v>
      </c>
      <c r="D178" s="9" t="s">
        <v>22</v>
      </c>
    </row>
    <row r="179" spans="2:4" ht="40" x14ac:dyDescent="0.2">
      <c r="B179" s="5" t="s">
        <v>243</v>
      </c>
      <c r="C179" s="9">
        <v>2011</v>
      </c>
      <c r="D179" s="9" t="s">
        <v>22</v>
      </c>
    </row>
    <row r="180" spans="2:4" ht="40" x14ac:dyDescent="0.2">
      <c r="B180" s="5" t="s">
        <v>311</v>
      </c>
      <c r="C180" s="9">
        <v>2014</v>
      </c>
      <c r="D180" s="9" t="s">
        <v>22</v>
      </c>
    </row>
    <row r="181" spans="2:4" ht="40" x14ac:dyDescent="0.2">
      <c r="B181" s="5" t="s">
        <v>245</v>
      </c>
      <c r="C181" s="9">
        <v>2017</v>
      </c>
      <c r="D181" s="9" t="s">
        <v>22</v>
      </c>
    </row>
    <row r="182" spans="2:4" ht="40" x14ac:dyDescent="0.2">
      <c r="B182" s="5" t="s">
        <v>247</v>
      </c>
      <c r="C182" s="9">
        <v>2020</v>
      </c>
      <c r="D182" s="9" t="s">
        <v>22</v>
      </c>
    </row>
    <row r="183" spans="2:4" ht="40" x14ac:dyDescent="0.2">
      <c r="B183" s="5" t="s">
        <v>314</v>
      </c>
      <c r="C183" s="9">
        <v>2023</v>
      </c>
      <c r="D183" s="9" t="s">
        <v>22</v>
      </c>
    </row>
    <row r="184" spans="2:4" ht="20" x14ac:dyDescent="0.2">
      <c r="B184" s="3" t="s">
        <v>249</v>
      </c>
      <c r="C184" s="7">
        <v>2012</v>
      </c>
      <c r="D184" s="7" t="s">
        <v>23</v>
      </c>
    </row>
    <row r="185" spans="2:4" ht="20" x14ac:dyDescent="0.2">
      <c r="B185" s="3" t="s">
        <v>251</v>
      </c>
      <c r="C185" s="7">
        <v>2013</v>
      </c>
      <c r="D185" s="7" t="s">
        <v>23</v>
      </c>
    </row>
    <row r="186" spans="2:4" ht="20" x14ac:dyDescent="0.2">
      <c r="B186" s="3" t="s">
        <v>165</v>
      </c>
      <c r="C186" s="7">
        <v>2014</v>
      </c>
      <c r="D186" s="7" t="s">
        <v>23</v>
      </c>
    </row>
    <row r="187" spans="2:4" ht="20" x14ac:dyDescent="0.2">
      <c r="B187" s="3" t="s">
        <v>254</v>
      </c>
      <c r="C187" s="7">
        <v>2015</v>
      </c>
      <c r="D187" s="7" t="s">
        <v>23</v>
      </c>
    </row>
    <row r="188" spans="2:4" ht="20" x14ac:dyDescent="0.2">
      <c r="B188" s="3" t="s">
        <v>256</v>
      </c>
      <c r="C188" s="7">
        <v>2016</v>
      </c>
      <c r="D188" s="7" t="s">
        <v>23</v>
      </c>
    </row>
    <row r="189" spans="2:4" ht="20" x14ac:dyDescent="0.2">
      <c r="B189" s="3" t="s">
        <v>166</v>
      </c>
      <c r="C189" s="7">
        <v>2019</v>
      </c>
      <c r="D189" s="7" t="s">
        <v>23</v>
      </c>
    </row>
    <row r="190" spans="2:4" ht="20" x14ac:dyDescent="0.2">
      <c r="B190" s="3" t="s">
        <v>167</v>
      </c>
      <c r="C190" s="7">
        <v>2020</v>
      </c>
      <c r="D190" s="7" t="s">
        <v>23</v>
      </c>
    </row>
    <row r="191" spans="2:4" ht="20" x14ac:dyDescent="0.2">
      <c r="B191" s="3" t="s">
        <v>168</v>
      </c>
      <c r="C191" s="7">
        <v>2021</v>
      </c>
      <c r="D191" s="7" t="s">
        <v>23</v>
      </c>
    </row>
    <row r="192" spans="2:4" ht="20" x14ac:dyDescent="0.2">
      <c r="B192" s="3" t="s">
        <v>169</v>
      </c>
      <c r="C192" s="7">
        <v>2023</v>
      </c>
      <c r="D192" s="7" t="s">
        <v>23</v>
      </c>
    </row>
    <row r="193" spans="2:4" ht="20" x14ac:dyDescent="0.2">
      <c r="B193" s="4" t="s">
        <v>119</v>
      </c>
      <c r="C193" s="8">
        <v>2009</v>
      </c>
      <c r="D193" s="8" t="s">
        <v>62</v>
      </c>
    </row>
    <row r="194" spans="2:4" ht="20" x14ac:dyDescent="0.2">
      <c r="B194" s="4" t="s">
        <v>263</v>
      </c>
      <c r="C194" s="8">
        <v>2012</v>
      </c>
      <c r="D194" s="8" t="s">
        <v>62</v>
      </c>
    </row>
    <row r="195" spans="2:4" ht="40" x14ac:dyDescent="0.2">
      <c r="B195" s="4" t="s">
        <v>170</v>
      </c>
      <c r="C195" s="8">
        <v>2014</v>
      </c>
      <c r="D195" s="8" t="s">
        <v>62</v>
      </c>
    </row>
    <row r="196" spans="2:4" ht="20" x14ac:dyDescent="0.2">
      <c r="B196" s="4" t="s">
        <v>171</v>
      </c>
      <c r="C196" s="8">
        <v>2015</v>
      </c>
      <c r="D196" s="8" t="s">
        <v>62</v>
      </c>
    </row>
    <row r="197" spans="2:4" ht="20" x14ac:dyDescent="0.2">
      <c r="B197" s="4" t="s">
        <v>268</v>
      </c>
      <c r="C197" s="8">
        <v>2017</v>
      </c>
      <c r="D197" s="8" t="s">
        <v>62</v>
      </c>
    </row>
    <row r="198" spans="2:4" ht="20" x14ac:dyDescent="0.2">
      <c r="B198" s="4" t="s">
        <v>172</v>
      </c>
      <c r="C198" s="8">
        <v>2019</v>
      </c>
      <c r="D198" s="8" t="s">
        <v>62</v>
      </c>
    </row>
    <row r="199" spans="2:4" ht="20" x14ac:dyDescent="0.2">
      <c r="B199" s="4" t="s">
        <v>270</v>
      </c>
      <c r="C199" s="8">
        <v>2020</v>
      </c>
      <c r="D199" s="8" t="s">
        <v>62</v>
      </c>
    </row>
    <row r="200" spans="2:4" ht="20" x14ac:dyDescent="0.2">
      <c r="B200" s="4" t="s">
        <v>173</v>
      </c>
      <c r="C200" s="8">
        <v>2022</v>
      </c>
      <c r="D200" s="8" t="s">
        <v>62</v>
      </c>
    </row>
    <row r="201" spans="2:4" ht="20" x14ac:dyDescent="0.2">
      <c r="B201" s="4" t="s">
        <v>273</v>
      </c>
      <c r="C201" s="8">
        <v>2023</v>
      </c>
      <c r="D201" s="8" t="s">
        <v>62</v>
      </c>
    </row>
    <row r="202" spans="2:4" ht="20" x14ac:dyDescent="0.2">
      <c r="B202" s="5" t="s">
        <v>316</v>
      </c>
      <c r="C202" s="9">
        <v>2015</v>
      </c>
      <c r="D202" s="9" t="s">
        <v>24</v>
      </c>
    </row>
    <row r="203" spans="2:4" ht="20" x14ac:dyDescent="0.2">
      <c r="B203" s="5" t="s">
        <v>174</v>
      </c>
      <c r="C203" s="9">
        <v>2016</v>
      </c>
      <c r="D203" s="9" t="s">
        <v>24</v>
      </c>
    </row>
    <row r="204" spans="2:4" ht="20" x14ac:dyDescent="0.2">
      <c r="B204" s="5" t="s">
        <v>175</v>
      </c>
      <c r="C204" s="9">
        <v>2017</v>
      </c>
      <c r="D204" s="9" t="s">
        <v>24</v>
      </c>
    </row>
    <row r="205" spans="2:4" ht="20" x14ac:dyDescent="0.2">
      <c r="B205" s="5" t="s">
        <v>176</v>
      </c>
      <c r="C205" s="9">
        <v>2018</v>
      </c>
      <c r="D205" s="9" t="s">
        <v>24</v>
      </c>
    </row>
    <row r="206" spans="2:4" ht="20" x14ac:dyDescent="0.2">
      <c r="B206" s="5" t="s">
        <v>318</v>
      </c>
      <c r="C206" s="9">
        <v>2019</v>
      </c>
      <c r="D206" s="9" t="s">
        <v>24</v>
      </c>
    </row>
    <row r="207" spans="2:4" ht="20" x14ac:dyDescent="0.2">
      <c r="B207" s="5" t="s">
        <v>177</v>
      </c>
      <c r="C207" s="9">
        <v>2020</v>
      </c>
      <c r="D207" s="9" t="s">
        <v>24</v>
      </c>
    </row>
    <row r="208" spans="2:4" ht="20" x14ac:dyDescent="0.2">
      <c r="B208" s="5" t="s">
        <v>320</v>
      </c>
      <c r="C208" s="9">
        <v>2021</v>
      </c>
      <c r="D208" s="9" t="s">
        <v>24</v>
      </c>
    </row>
    <row r="209" spans="2:4" ht="20" x14ac:dyDescent="0.2">
      <c r="B209" s="5" t="s">
        <v>279</v>
      </c>
      <c r="C209" s="9">
        <v>2022</v>
      </c>
      <c r="D209" s="9" t="s">
        <v>24</v>
      </c>
    </row>
    <row r="210" spans="2:4" ht="20" x14ac:dyDescent="0.2">
      <c r="B210" s="5" t="s">
        <v>322</v>
      </c>
      <c r="C210" s="9">
        <v>2023</v>
      </c>
      <c r="D210" s="9" t="s">
        <v>24</v>
      </c>
    </row>
    <row r="211" spans="2:4" ht="20" x14ac:dyDescent="0.2">
      <c r="B211" s="3" t="s">
        <v>122</v>
      </c>
      <c r="C211" s="7">
        <v>2000</v>
      </c>
      <c r="D211" s="7" t="s">
        <v>61</v>
      </c>
    </row>
    <row r="212" spans="2:4" ht="20" x14ac:dyDescent="0.2">
      <c r="B212" s="3" t="s">
        <v>282</v>
      </c>
      <c r="C212" s="7">
        <v>2003</v>
      </c>
      <c r="D212" s="7" t="s">
        <v>61</v>
      </c>
    </row>
    <row r="213" spans="2:4" ht="20" x14ac:dyDescent="0.2">
      <c r="B213" s="3" t="s">
        <v>178</v>
      </c>
      <c r="C213" s="7">
        <v>2006</v>
      </c>
      <c r="D213" s="7" t="s">
        <v>61</v>
      </c>
    </row>
    <row r="214" spans="2:4" ht="40" x14ac:dyDescent="0.2">
      <c r="B214" s="3" t="s">
        <v>285</v>
      </c>
      <c r="C214" s="7">
        <v>2009</v>
      </c>
      <c r="D214" s="7" t="s">
        <v>61</v>
      </c>
    </row>
    <row r="215" spans="2:4" ht="40" x14ac:dyDescent="0.2">
      <c r="B215" s="3" t="s">
        <v>287</v>
      </c>
      <c r="C215" s="7">
        <v>2012</v>
      </c>
      <c r="D215" s="7" t="s">
        <v>61</v>
      </c>
    </row>
    <row r="216" spans="2:4" ht="40" x14ac:dyDescent="0.2">
      <c r="B216" s="3" t="s">
        <v>289</v>
      </c>
      <c r="C216" s="7">
        <v>2015</v>
      </c>
      <c r="D216" s="7" t="s">
        <v>61</v>
      </c>
    </row>
    <row r="217" spans="2:4" ht="20" x14ac:dyDescent="0.2">
      <c r="B217" s="3" t="s">
        <v>291</v>
      </c>
      <c r="C217" s="7">
        <v>2018</v>
      </c>
      <c r="D217" s="7" t="s">
        <v>61</v>
      </c>
    </row>
    <row r="218" spans="2:4" ht="20" x14ac:dyDescent="0.2">
      <c r="B218" s="3" t="s">
        <v>179</v>
      </c>
      <c r="C218" s="7">
        <v>2021</v>
      </c>
      <c r="D218" s="7" t="s">
        <v>61</v>
      </c>
    </row>
    <row r="219" spans="2:4" ht="20" x14ac:dyDescent="0.2">
      <c r="B219" s="3" t="s">
        <v>180</v>
      </c>
      <c r="C219" s="7">
        <v>2023</v>
      </c>
      <c r="D219" s="7" t="s">
        <v>61</v>
      </c>
    </row>
    <row r="220" spans="2:4" ht="20" x14ac:dyDescent="0.2">
      <c r="B220" s="4" t="s">
        <v>6</v>
      </c>
      <c r="C220" s="8">
        <v>1980</v>
      </c>
      <c r="D220" s="8" t="s">
        <v>25</v>
      </c>
    </row>
    <row r="221" spans="2:4" ht="20" x14ac:dyDescent="0.2">
      <c r="B221" s="4" t="s">
        <v>7</v>
      </c>
      <c r="C221" s="8">
        <v>2014</v>
      </c>
      <c r="D221" s="8" t="s">
        <v>25</v>
      </c>
    </row>
    <row r="222" spans="2:4" ht="20" x14ac:dyDescent="0.2">
      <c r="B222" s="4" t="s">
        <v>8</v>
      </c>
      <c r="C222" s="8">
        <v>2019</v>
      </c>
      <c r="D222" s="8" t="s">
        <v>25</v>
      </c>
    </row>
    <row r="223" spans="2:4" ht="20" x14ac:dyDescent="0.2">
      <c r="B223" s="4" t="s">
        <v>9</v>
      </c>
      <c r="C223" s="8">
        <v>2019</v>
      </c>
      <c r="D223" s="8" t="s">
        <v>25</v>
      </c>
    </row>
    <row r="224" spans="2:4" ht="20" x14ac:dyDescent="0.2">
      <c r="B224" s="4" t="s">
        <v>16</v>
      </c>
      <c r="C224" s="8">
        <v>2013</v>
      </c>
      <c r="D224" s="8" t="s">
        <v>25</v>
      </c>
    </row>
    <row r="225" spans="2:4" ht="20" x14ac:dyDescent="0.2">
      <c r="B225" s="4" t="s">
        <v>14</v>
      </c>
      <c r="C225" s="8">
        <v>2005</v>
      </c>
      <c r="D225" s="8" t="s">
        <v>25</v>
      </c>
    </row>
    <row r="226" spans="2:4" ht="20" x14ac:dyDescent="0.2">
      <c r="B226" s="4" t="s">
        <v>15</v>
      </c>
      <c r="C226" s="8">
        <v>2018</v>
      </c>
      <c r="D226" s="8" t="s">
        <v>25</v>
      </c>
    </row>
    <row r="227" spans="2:4" ht="20" x14ac:dyDescent="0.2">
      <c r="B227" s="4" t="s">
        <v>10</v>
      </c>
      <c r="C227" s="8">
        <v>2012</v>
      </c>
      <c r="D227" s="8" t="s">
        <v>25</v>
      </c>
    </row>
    <row r="228" spans="2:4" ht="20" x14ac:dyDescent="0.2">
      <c r="B228" s="4" t="s">
        <v>11</v>
      </c>
      <c r="C228" s="8">
        <v>2014</v>
      </c>
      <c r="D228" s="8" t="s">
        <v>25</v>
      </c>
    </row>
    <row r="229" spans="2:4" ht="20" x14ac:dyDescent="0.2">
      <c r="B229" s="4" t="s">
        <v>12</v>
      </c>
      <c r="C229" s="8">
        <v>2018</v>
      </c>
      <c r="D229" s="8" t="s">
        <v>25</v>
      </c>
    </row>
  </sheetData>
  <mergeCells count="11">
    <mergeCell ref="A82:A90"/>
    <mergeCell ref="A55:A63"/>
    <mergeCell ref="A73:A81"/>
    <mergeCell ref="A91:A99"/>
    <mergeCell ref="A37:A45"/>
    <mergeCell ref="A28:A36"/>
    <mergeCell ref="A100:A108"/>
    <mergeCell ref="A109:A117"/>
    <mergeCell ref="A64:A72"/>
    <mergeCell ref="A46:A54"/>
    <mergeCell ref="A118:A126"/>
  </mergeCells>
  <hyperlinks>
    <hyperlink ref="E148" r:id="rId1" xr:uid="{28F63207-E181-294F-99D8-EA88AAD43A2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81D3-53A5-354C-8361-9DE7894DFB69}">
  <sheetPr codeName="Sheet1"/>
  <dimension ref="A1:AH192"/>
  <sheetViews>
    <sheetView topLeftCell="A148" zoomScale="120" zoomScaleNormal="120" workbookViewId="0">
      <pane xSplit="1" topLeftCell="B1" activePane="topRight" state="frozen"/>
      <selection activeCell="A81" sqref="A81"/>
      <selection pane="topRight" activeCell="A153" sqref="A153"/>
    </sheetView>
  </sheetViews>
  <sheetFormatPr baseColWidth="10" defaultRowHeight="19" x14ac:dyDescent="0.2"/>
  <cols>
    <col min="1" max="1" width="30.83203125" style="1" customWidth="1"/>
    <col min="2" max="2" width="10.83203125" style="1" customWidth="1"/>
    <col min="3" max="3" width="24.6640625" style="1" customWidth="1"/>
    <col min="4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7:34" ht="20" customHeight="1" x14ac:dyDescent="0.2">
      <c r="G1" s="64" t="s">
        <v>33</v>
      </c>
      <c r="H1" s="65"/>
      <c r="I1" s="65"/>
      <c r="J1" s="65"/>
      <c r="K1" s="65"/>
      <c r="L1" s="67"/>
      <c r="M1" s="38"/>
      <c r="N1" s="57" t="s">
        <v>102</v>
      </c>
      <c r="O1" s="55" t="s">
        <v>103</v>
      </c>
      <c r="P1" s="55" t="s">
        <v>104</v>
      </c>
      <c r="Q1" s="56"/>
      <c r="R1" s="56"/>
      <c r="T1" s="62"/>
      <c r="U1" s="62"/>
      <c r="V1" s="62"/>
      <c r="X1" s="62"/>
      <c r="Y1" s="62"/>
      <c r="Z1" s="62"/>
      <c r="AB1" s="62"/>
      <c r="AC1" s="62"/>
      <c r="AD1" s="62"/>
      <c r="AF1" s="62"/>
      <c r="AG1" s="62"/>
      <c r="AH1" s="62"/>
    </row>
    <row r="2" spans="7:34" ht="20" x14ac:dyDescent="0.2">
      <c r="G2" s="44" t="s">
        <v>32</v>
      </c>
      <c r="H2" s="45"/>
      <c r="I2" s="45" t="s">
        <v>1</v>
      </c>
      <c r="J2" s="45"/>
      <c r="K2" s="45"/>
      <c r="L2" s="45" t="s">
        <v>2</v>
      </c>
      <c r="M2" s="39"/>
      <c r="N2" s="46">
        <v>1</v>
      </c>
      <c r="O2" s="47">
        <v>9</v>
      </c>
      <c r="P2" s="47" t="s">
        <v>133</v>
      </c>
      <c r="Q2" s="4"/>
      <c r="R2" s="4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7:34" ht="20" x14ac:dyDescent="0.2">
      <c r="G3" s="46" t="s">
        <v>73</v>
      </c>
      <c r="H3" s="47"/>
      <c r="I3" s="47">
        <v>0</v>
      </c>
      <c r="J3" s="47"/>
      <c r="K3" s="47"/>
      <c r="L3" s="47">
        <v>0</v>
      </c>
      <c r="M3" s="40"/>
      <c r="N3" s="46">
        <v>5</v>
      </c>
      <c r="O3" s="47">
        <v>9</v>
      </c>
      <c r="P3" s="47" t="s">
        <v>134</v>
      </c>
      <c r="Q3" s="4"/>
      <c r="R3" s="4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7:34" ht="20" x14ac:dyDescent="0.2">
      <c r="G4" s="46" t="s">
        <v>74</v>
      </c>
      <c r="H4" s="47"/>
      <c r="I4" s="47">
        <v>1</v>
      </c>
      <c r="J4" s="47"/>
      <c r="K4" s="47"/>
      <c r="L4" s="47">
        <v>0</v>
      </c>
      <c r="M4" s="40"/>
      <c r="N4" s="46">
        <v>9</v>
      </c>
      <c r="O4" s="47">
        <v>9</v>
      </c>
      <c r="P4" s="47" t="s">
        <v>139</v>
      </c>
      <c r="Q4" s="4"/>
      <c r="R4" s="4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7:34" ht="20" x14ac:dyDescent="0.2">
      <c r="G5" s="46" t="s">
        <v>75</v>
      </c>
      <c r="H5" s="47"/>
      <c r="I5" s="47">
        <v>2</v>
      </c>
      <c r="J5" s="47"/>
      <c r="K5" s="47"/>
      <c r="L5" s="47">
        <v>0</v>
      </c>
      <c r="M5" s="40"/>
      <c r="N5" s="48">
        <v>13</v>
      </c>
      <c r="O5" s="49">
        <v>9</v>
      </c>
      <c r="P5" s="49" t="s">
        <v>105</v>
      </c>
      <c r="Q5" s="4"/>
      <c r="R5" s="4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7:34" ht="19" customHeight="1" x14ac:dyDescent="0.2">
      <c r="G6" s="71" t="s">
        <v>34</v>
      </c>
      <c r="H6" s="72"/>
      <c r="I6" s="72"/>
      <c r="J6" s="72"/>
      <c r="K6" s="72"/>
      <c r="L6" s="73"/>
      <c r="M6" s="41"/>
      <c r="N6" s="48">
        <v>17</v>
      </c>
      <c r="O6" s="49">
        <v>9</v>
      </c>
      <c r="P6" s="49" t="s">
        <v>136</v>
      </c>
      <c r="Q6" s="36"/>
      <c r="R6" s="36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7:34" ht="19" customHeight="1" x14ac:dyDescent="0.2">
      <c r="G7" s="48" t="s">
        <v>76</v>
      </c>
      <c r="H7" s="49"/>
      <c r="I7" s="49">
        <v>4</v>
      </c>
      <c r="J7" s="49"/>
      <c r="K7" s="49"/>
      <c r="L7" s="49">
        <v>0</v>
      </c>
      <c r="M7" s="18"/>
      <c r="N7" s="48">
        <v>21</v>
      </c>
      <c r="O7" s="49">
        <v>9</v>
      </c>
      <c r="P7" s="49" t="s">
        <v>137</v>
      </c>
      <c r="Q7" s="36"/>
      <c r="R7" s="36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7:34" ht="19" customHeight="1" x14ac:dyDescent="0.2">
      <c r="G8" s="48" t="s">
        <v>77</v>
      </c>
      <c r="H8" s="49"/>
      <c r="I8" s="49">
        <v>5</v>
      </c>
      <c r="J8" s="49"/>
      <c r="K8" s="49"/>
      <c r="L8" s="49">
        <v>0</v>
      </c>
      <c r="M8" s="18"/>
      <c r="N8" s="50">
        <v>25</v>
      </c>
      <c r="O8" s="51">
        <v>9</v>
      </c>
      <c r="P8" s="51" t="s">
        <v>138</v>
      </c>
      <c r="Q8" s="36"/>
      <c r="R8" s="36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7:34" ht="19" customHeight="1" x14ac:dyDescent="0.2">
      <c r="G9" s="48" t="s">
        <v>78</v>
      </c>
      <c r="H9" s="49"/>
      <c r="I9" s="49">
        <v>6</v>
      </c>
      <c r="J9" s="49"/>
      <c r="K9" s="49"/>
      <c r="L9" s="49">
        <v>0</v>
      </c>
      <c r="M9" s="18"/>
      <c r="N9" s="50">
        <v>29</v>
      </c>
      <c r="O9" s="51">
        <v>9</v>
      </c>
      <c r="P9" s="51" t="s">
        <v>140</v>
      </c>
      <c r="Q9" s="36"/>
      <c r="R9" s="36"/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7:34" ht="19" customHeight="1" x14ac:dyDescent="0.2">
      <c r="G10" s="64" t="s">
        <v>79</v>
      </c>
      <c r="H10" s="65"/>
      <c r="I10" s="65"/>
      <c r="J10" s="65"/>
      <c r="K10" s="65"/>
      <c r="L10" s="66"/>
      <c r="M10" s="38"/>
      <c r="N10" s="50">
        <v>33</v>
      </c>
      <c r="O10" s="51">
        <v>9</v>
      </c>
      <c r="P10" s="51" t="s">
        <v>50</v>
      </c>
      <c r="Q10" s="36"/>
      <c r="R10" s="36"/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7:34" ht="19" customHeight="1" x14ac:dyDescent="0.2">
      <c r="G11" s="50" t="s">
        <v>80</v>
      </c>
      <c r="H11" s="51"/>
      <c r="I11" s="51">
        <v>8</v>
      </c>
      <c r="J11" s="51"/>
      <c r="K11" s="51"/>
      <c r="L11" s="51">
        <v>0</v>
      </c>
      <c r="M11" s="36"/>
      <c r="P11" s="36"/>
      <c r="Q11" s="36"/>
      <c r="R11" s="36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7:34" ht="19" customHeight="1" x14ac:dyDescent="0.2">
      <c r="G12" s="50" t="s">
        <v>81</v>
      </c>
      <c r="H12" s="51"/>
      <c r="I12" s="51">
        <v>9</v>
      </c>
      <c r="J12" s="51"/>
      <c r="K12" s="51"/>
      <c r="L12" s="51">
        <v>0</v>
      </c>
      <c r="M12" s="36"/>
      <c r="P12" s="36"/>
      <c r="Q12" s="36"/>
      <c r="R12" s="36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7:34" ht="19" customHeight="1" x14ac:dyDescent="0.2">
      <c r="G13" s="50" t="s">
        <v>82</v>
      </c>
      <c r="H13" s="51"/>
      <c r="I13" s="51">
        <v>10</v>
      </c>
      <c r="J13" s="51"/>
      <c r="K13" s="51"/>
      <c r="L13" s="51">
        <v>0</v>
      </c>
      <c r="M13" s="36"/>
      <c r="P13" s="36"/>
      <c r="Q13" s="36"/>
      <c r="R13" s="36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7:34" ht="19" customHeight="1" x14ac:dyDescent="0.2">
      <c r="G14" s="74" t="s">
        <v>37</v>
      </c>
      <c r="H14" s="75"/>
      <c r="I14" s="75"/>
      <c r="J14" s="75"/>
      <c r="K14" s="75"/>
      <c r="L14" s="76"/>
      <c r="M14" s="42"/>
      <c r="P14" s="36"/>
      <c r="Q14" s="36"/>
      <c r="R14" s="36"/>
    </row>
    <row r="15" spans="7:34" ht="19" customHeight="1" x14ac:dyDescent="0.2">
      <c r="G15" s="46" t="s">
        <v>83</v>
      </c>
      <c r="H15" s="47"/>
      <c r="I15" s="47">
        <v>12</v>
      </c>
      <c r="J15" s="52"/>
      <c r="K15" s="52"/>
      <c r="L15" s="47">
        <v>0</v>
      </c>
      <c r="M15" s="40"/>
      <c r="P15" s="36"/>
      <c r="Q15" s="36"/>
      <c r="R15" s="36"/>
    </row>
    <row r="16" spans="7:34" ht="19" customHeight="1" x14ac:dyDescent="0.2">
      <c r="G16" s="46" t="s">
        <v>84</v>
      </c>
      <c r="H16" s="47"/>
      <c r="I16" s="47">
        <v>13</v>
      </c>
      <c r="J16" s="52"/>
      <c r="K16" s="52"/>
      <c r="L16" s="47">
        <v>0</v>
      </c>
      <c r="M16" s="40"/>
      <c r="P16" s="36"/>
      <c r="Q16" s="36"/>
      <c r="R16" s="36"/>
    </row>
    <row r="17" spans="7:13" ht="19" customHeight="1" x14ac:dyDescent="0.2">
      <c r="G17" s="46" t="s">
        <v>85</v>
      </c>
      <c r="H17" s="47"/>
      <c r="I17" s="47">
        <v>14</v>
      </c>
      <c r="J17" s="52"/>
      <c r="K17" s="52"/>
      <c r="L17" s="47">
        <v>0</v>
      </c>
      <c r="M17" s="40"/>
    </row>
    <row r="18" spans="7:13" ht="19" customHeight="1" x14ac:dyDescent="0.2">
      <c r="G18" s="77" t="s">
        <v>38</v>
      </c>
      <c r="H18" s="78"/>
      <c r="I18" s="78"/>
      <c r="J18" s="78"/>
      <c r="K18" s="78"/>
      <c r="L18" s="79"/>
      <c r="M18" s="43"/>
    </row>
    <row r="19" spans="7:13" ht="19" customHeight="1" x14ac:dyDescent="0.2">
      <c r="G19" s="48" t="s">
        <v>86</v>
      </c>
      <c r="H19" s="49"/>
      <c r="I19" s="49">
        <v>16</v>
      </c>
      <c r="J19" s="53"/>
      <c r="K19" s="53"/>
      <c r="L19" s="49">
        <v>0</v>
      </c>
      <c r="M19" s="18"/>
    </row>
    <row r="20" spans="7:13" ht="19" customHeight="1" x14ac:dyDescent="0.2">
      <c r="G20" s="48" t="s">
        <v>87</v>
      </c>
      <c r="H20" s="49"/>
      <c r="I20" s="49">
        <v>17</v>
      </c>
      <c r="J20" s="53"/>
      <c r="K20" s="53"/>
      <c r="L20" s="49">
        <v>0</v>
      </c>
      <c r="M20" s="18"/>
    </row>
    <row r="21" spans="7:13" ht="19" customHeight="1" x14ac:dyDescent="0.2">
      <c r="G21" s="48" t="s">
        <v>88</v>
      </c>
      <c r="H21" s="49"/>
      <c r="I21" s="49">
        <v>18</v>
      </c>
      <c r="J21" s="53"/>
      <c r="K21" s="53"/>
      <c r="L21" s="49">
        <v>0</v>
      </c>
      <c r="M21" s="18"/>
    </row>
    <row r="22" spans="7:13" ht="19" customHeight="1" x14ac:dyDescent="0.2">
      <c r="G22" s="64" t="s">
        <v>39</v>
      </c>
      <c r="H22" s="65"/>
      <c r="I22" s="65"/>
      <c r="J22" s="65"/>
      <c r="K22" s="65"/>
      <c r="L22" s="66"/>
      <c r="M22" s="38"/>
    </row>
    <row r="23" spans="7:13" ht="19" customHeight="1" x14ac:dyDescent="0.2">
      <c r="G23" s="50" t="s">
        <v>89</v>
      </c>
      <c r="H23" s="51"/>
      <c r="I23" s="51">
        <v>20</v>
      </c>
      <c r="J23" s="54"/>
      <c r="K23" s="54"/>
      <c r="L23" s="51">
        <v>0</v>
      </c>
      <c r="M23" s="36"/>
    </row>
    <row r="24" spans="7:13" ht="19" customHeight="1" x14ac:dyDescent="0.2">
      <c r="G24" s="50" t="s">
        <v>90</v>
      </c>
      <c r="H24" s="51"/>
      <c r="I24" s="51">
        <v>21</v>
      </c>
      <c r="J24" s="54"/>
      <c r="K24" s="54"/>
      <c r="L24" s="51">
        <v>0</v>
      </c>
      <c r="M24" s="36"/>
    </row>
    <row r="25" spans="7:13" ht="19" customHeight="1" x14ac:dyDescent="0.2">
      <c r="G25" s="50" t="s">
        <v>91</v>
      </c>
      <c r="H25" s="51"/>
      <c r="I25" s="51">
        <v>22</v>
      </c>
      <c r="J25" s="54"/>
      <c r="K25" s="54"/>
      <c r="L25" s="51">
        <v>0</v>
      </c>
      <c r="M25" s="36"/>
    </row>
    <row r="26" spans="7:13" ht="19" customHeight="1" x14ac:dyDescent="0.2">
      <c r="G26" s="74" t="s">
        <v>44</v>
      </c>
      <c r="H26" s="75"/>
      <c r="I26" s="75"/>
      <c r="J26" s="75"/>
      <c r="K26" s="75"/>
      <c r="L26" s="76"/>
      <c r="M26" s="42"/>
    </row>
    <row r="27" spans="7:13" ht="19" customHeight="1" x14ac:dyDescent="0.2">
      <c r="G27" s="46" t="s">
        <v>92</v>
      </c>
      <c r="H27" s="47"/>
      <c r="I27" s="47">
        <v>24</v>
      </c>
      <c r="J27" s="52"/>
      <c r="K27" s="52"/>
      <c r="L27" s="47">
        <v>0</v>
      </c>
      <c r="M27" s="40"/>
    </row>
    <row r="28" spans="7:13" ht="19" customHeight="1" x14ac:dyDescent="0.2">
      <c r="G28" s="46" t="s">
        <v>93</v>
      </c>
      <c r="H28" s="47"/>
      <c r="I28" s="47">
        <v>25</v>
      </c>
      <c r="J28" s="52"/>
      <c r="K28" s="52"/>
      <c r="L28" s="47">
        <v>0</v>
      </c>
      <c r="M28" s="40"/>
    </row>
    <row r="29" spans="7:13" ht="19" customHeight="1" x14ac:dyDescent="0.2">
      <c r="G29" s="46" t="s">
        <v>94</v>
      </c>
      <c r="H29" s="47"/>
      <c r="I29" s="47">
        <v>26</v>
      </c>
      <c r="J29" s="52"/>
      <c r="K29" s="52"/>
      <c r="L29" s="47">
        <v>0</v>
      </c>
      <c r="M29" s="40"/>
    </row>
    <row r="30" spans="7:13" ht="19" customHeight="1" x14ac:dyDescent="0.2">
      <c r="G30" s="77" t="s">
        <v>95</v>
      </c>
      <c r="H30" s="78"/>
      <c r="I30" s="78"/>
      <c r="J30" s="78"/>
      <c r="K30" s="78"/>
      <c r="L30" s="79"/>
      <c r="M30" s="43"/>
    </row>
    <row r="31" spans="7:13" ht="19" customHeight="1" x14ac:dyDescent="0.2">
      <c r="G31" s="48" t="s">
        <v>96</v>
      </c>
      <c r="H31" s="49"/>
      <c r="I31" s="49">
        <v>28</v>
      </c>
      <c r="J31" s="53"/>
      <c r="K31" s="53"/>
      <c r="L31" s="49">
        <v>0</v>
      </c>
      <c r="M31" s="18"/>
    </row>
    <row r="32" spans="7:13" ht="19" customHeight="1" x14ac:dyDescent="0.2">
      <c r="G32" s="48" t="s">
        <v>97</v>
      </c>
      <c r="H32" s="49"/>
      <c r="I32" s="49">
        <v>29</v>
      </c>
      <c r="J32" s="53"/>
      <c r="K32" s="53"/>
      <c r="L32" s="49">
        <v>0</v>
      </c>
      <c r="M32" s="18"/>
    </row>
    <row r="33" spans="1:13" ht="19" customHeight="1" x14ac:dyDescent="0.2">
      <c r="G33" s="48" t="s">
        <v>98</v>
      </c>
      <c r="H33" s="49"/>
      <c r="I33" s="49">
        <v>30</v>
      </c>
      <c r="J33" s="53"/>
      <c r="K33" s="53"/>
      <c r="L33" s="49">
        <v>0</v>
      </c>
      <c r="M33" s="18"/>
    </row>
    <row r="34" spans="1:13" ht="19" customHeight="1" x14ac:dyDescent="0.2">
      <c r="G34" s="64" t="s">
        <v>45</v>
      </c>
      <c r="H34" s="65"/>
      <c r="I34" s="65"/>
      <c r="J34" s="65"/>
      <c r="K34" s="65"/>
      <c r="L34" s="66"/>
      <c r="M34" s="38"/>
    </row>
    <row r="35" spans="1:13" ht="19" customHeight="1" x14ac:dyDescent="0.2">
      <c r="G35" s="50" t="s">
        <v>99</v>
      </c>
      <c r="H35" s="51"/>
      <c r="I35" s="51">
        <v>32</v>
      </c>
      <c r="J35" s="54"/>
      <c r="K35" s="54"/>
      <c r="L35" s="51">
        <v>0</v>
      </c>
      <c r="M35" s="36"/>
    </row>
    <row r="36" spans="1:13" ht="19" customHeight="1" x14ac:dyDescent="0.2">
      <c r="G36" s="50" t="s">
        <v>100</v>
      </c>
      <c r="H36" s="51"/>
      <c r="I36" s="51">
        <v>33</v>
      </c>
      <c r="J36" s="54"/>
      <c r="K36" s="54"/>
      <c r="L36" s="51">
        <v>0</v>
      </c>
      <c r="M36" s="36"/>
    </row>
    <row r="37" spans="1:13" ht="19" customHeight="1" x14ac:dyDescent="0.2">
      <c r="G37" s="50" t="s">
        <v>101</v>
      </c>
      <c r="H37" s="51"/>
      <c r="I37" s="51">
        <v>34</v>
      </c>
      <c r="J37" s="54"/>
      <c r="K37" s="54"/>
      <c r="L37" s="51">
        <v>0</v>
      </c>
      <c r="M37" s="36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8" t="s">
        <v>26</v>
      </c>
      <c r="B39" s="69"/>
      <c r="C39" s="70"/>
      <c r="D39" s="37"/>
      <c r="E39" s="11"/>
      <c r="F39" s="11"/>
    </row>
    <row r="40" spans="1:13" ht="20" x14ac:dyDescent="0.2">
      <c r="A40" s="4" t="s">
        <v>3</v>
      </c>
      <c r="B40" s="4" t="s">
        <v>1</v>
      </c>
      <c r="C40" s="4" t="s">
        <v>2</v>
      </c>
      <c r="D40" s="36"/>
    </row>
    <row r="41" spans="1:13" ht="20" x14ac:dyDescent="0.2">
      <c r="A41" s="4" t="s">
        <v>27</v>
      </c>
      <c r="B41" s="4">
        <v>0</v>
      </c>
      <c r="C41" s="4">
        <v>0</v>
      </c>
      <c r="D41" s="36"/>
    </row>
    <row r="42" spans="1:13" ht="20" x14ac:dyDescent="0.2">
      <c r="A42" s="4" t="s">
        <v>52</v>
      </c>
      <c r="B42" s="4">
        <v>0</v>
      </c>
      <c r="C42" s="4">
        <v>1</v>
      </c>
      <c r="D42" s="36"/>
    </row>
    <row r="43" spans="1:13" ht="20" x14ac:dyDescent="0.2">
      <c r="A43" s="4" t="s">
        <v>53</v>
      </c>
      <c r="B43" s="4">
        <v>0</v>
      </c>
      <c r="C43" s="4">
        <v>2</v>
      </c>
      <c r="D43" s="36"/>
    </row>
    <row r="44" spans="1:13" ht="20" x14ac:dyDescent="0.2">
      <c r="A44" s="4" t="s">
        <v>54</v>
      </c>
      <c r="B44" s="4">
        <v>0</v>
      </c>
      <c r="C44" s="4">
        <v>3</v>
      </c>
      <c r="D44" s="36"/>
    </row>
    <row r="45" spans="1:13" ht="20" x14ac:dyDescent="0.2">
      <c r="A45" s="4" t="s">
        <v>55</v>
      </c>
      <c r="B45" s="4">
        <v>0</v>
      </c>
      <c r="C45" s="4">
        <v>4</v>
      </c>
      <c r="D45" s="36"/>
    </row>
    <row r="46" spans="1:13" ht="20" x14ac:dyDescent="0.2">
      <c r="A46" s="4" t="s">
        <v>56</v>
      </c>
      <c r="B46" s="4">
        <v>0</v>
      </c>
      <c r="C46" s="4">
        <v>5</v>
      </c>
      <c r="D46" s="36"/>
    </row>
    <row r="47" spans="1:13" ht="20" x14ac:dyDescent="0.2">
      <c r="A47" s="4" t="s">
        <v>57</v>
      </c>
      <c r="B47" s="4">
        <v>0</v>
      </c>
      <c r="C47" s="4">
        <v>6</v>
      </c>
      <c r="D47" s="36"/>
    </row>
    <row r="48" spans="1:13" ht="111" customHeight="1" x14ac:dyDescent="0.2">
      <c r="A48" s="4" t="s">
        <v>58</v>
      </c>
      <c r="B48" s="4">
        <v>0</v>
      </c>
      <c r="C48" s="4">
        <v>7</v>
      </c>
      <c r="D48" s="36"/>
    </row>
    <row r="49" spans="1:23" ht="112" customHeight="1" x14ac:dyDescent="0.2">
      <c r="A49" s="4" t="s">
        <v>59</v>
      </c>
      <c r="B49" s="4">
        <v>0</v>
      </c>
      <c r="C49" s="4">
        <v>8</v>
      </c>
      <c r="D49" s="36"/>
    </row>
    <row r="50" spans="1:23" ht="90" customHeight="1" x14ac:dyDescent="0.2">
      <c r="S50" s="15"/>
    </row>
    <row r="51" spans="1:23" ht="20" x14ac:dyDescent="0.2">
      <c r="B51" s="2" t="s">
        <v>5</v>
      </c>
      <c r="D51" s="2" t="s">
        <v>35</v>
      </c>
      <c r="E51" s="20" t="s">
        <v>64</v>
      </c>
      <c r="F51" s="20" t="s">
        <v>36</v>
      </c>
      <c r="G51" s="2" t="s">
        <v>65</v>
      </c>
      <c r="H51" s="2" t="s">
        <v>40</v>
      </c>
      <c r="I51" s="2" t="s">
        <v>66</v>
      </c>
      <c r="J51" s="12"/>
      <c r="K51" s="2" t="s">
        <v>41</v>
      </c>
      <c r="L51" s="2" t="s">
        <v>67</v>
      </c>
      <c r="M51" s="28" t="s">
        <v>42</v>
      </c>
      <c r="N51" s="28" t="s">
        <v>68</v>
      </c>
      <c r="O51" s="28" t="s">
        <v>43</v>
      </c>
      <c r="P51" s="2" t="s">
        <v>69</v>
      </c>
      <c r="R51" s="2" t="s">
        <v>46</v>
      </c>
      <c r="S51" s="2" t="s">
        <v>70</v>
      </c>
      <c r="T51" s="28" t="s">
        <v>47</v>
      </c>
      <c r="U51" s="28" t="s">
        <v>71</v>
      </c>
      <c r="V51" s="28" t="s">
        <v>48</v>
      </c>
      <c r="W51" s="2" t="s">
        <v>72</v>
      </c>
    </row>
    <row r="52" spans="1:23" x14ac:dyDescent="0.2">
      <c r="B52" s="4">
        <v>0</v>
      </c>
      <c r="D52" s="4">
        <v>0</v>
      </c>
      <c r="E52" s="4">
        <f>COUNTIFS(E83:E192, "=0",$B$83:$B$192, "&lt;2000")</f>
        <v>2</v>
      </c>
      <c r="F52" s="21">
        <v>4</v>
      </c>
      <c r="G52" s="4">
        <f>COUNTIFS(G83:G192, "=0",$B$83:$B$192, "&lt;2000")</f>
        <v>1</v>
      </c>
      <c r="H52" s="4">
        <v>8</v>
      </c>
      <c r="I52" s="4">
        <f>COUNTIFS(I83:I192, "=0",$B$83:$B$192, "&lt;2000")</f>
        <v>0</v>
      </c>
      <c r="K52" s="4">
        <v>12</v>
      </c>
      <c r="L52" s="4">
        <f>COUNTIFS(L83:L192, "=0",$B$83:$B$192, "&lt;2000")</f>
        <v>0</v>
      </c>
      <c r="M52" s="29">
        <v>16</v>
      </c>
      <c r="N52" s="4">
        <f>COUNTIFS(N83:N192, "=0",$B$83:$B$192, "&lt;2000")</f>
        <v>0</v>
      </c>
      <c r="O52" s="29">
        <v>20</v>
      </c>
      <c r="P52" s="4">
        <f>COUNTIFS(P83:P192, "=0",$B$83:$B$192, "&lt;2000")</f>
        <v>0</v>
      </c>
      <c r="R52" s="4">
        <v>24</v>
      </c>
      <c r="S52" s="4">
        <f>COUNTIFS(S83:S192, "=0",$B$83:$B$192, "&lt;2000")</f>
        <v>2</v>
      </c>
      <c r="T52" s="29">
        <v>28</v>
      </c>
      <c r="U52" s="4">
        <f>COUNTIFS(U83:U192, "=0",$B$83:$B$192, "&lt;2000")</f>
        <v>0</v>
      </c>
      <c r="V52" s="29">
        <v>32</v>
      </c>
      <c r="W52" s="4">
        <f>COUNTIFS(W83:W192, "=0",$B$83:$B$192, "&lt;2000")</f>
        <v>2</v>
      </c>
    </row>
    <row r="53" spans="1:23" x14ac:dyDescent="0.2">
      <c r="B53" s="4">
        <v>1</v>
      </c>
      <c r="D53" s="4">
        <v>0</v>
      </c>
      <c r="E53" s="4">
        <f>COUNTIFS(E83:E192, "=0",$B$83:$B$192, "&gt;=2000",$B$83:$B$192, "&lt;=2002")</f>
        <v>2</v>
      </c>
      <c r="F53" s="21">
        <v>4</v>
      </c>
      <c r="G53" s="4">
        <f>COUNTIFS(G83:G192, "=0",$B$83:$B$192, "&gt;=2000",$B$83:$B$192, "&lt;=2002")</f>
        <v>3</v>
      </c>
      <c r="H53" s="4">
        <v>8</v>
      </c>
      <c r="I53" s="4">
        <f>COUNTIFS(I83:I192, "=0",$B$83:$B$192, "&gt;=2000",$B$83:$B$192, "&lt;=2002")</f>
        <v>0</v>
      </c>
      <c r="K53" s="4">
        <v>12</v>
      </c>
      <c r="L53" s="4">
        <f>COUNTIFS(L83:L192, "=0",$B$83:$B$192, "&gt;=2000",$B$83:$B$192, "&lt;=2002")</f>
        <v>0</v>
      </c>
      <c r="M53" s="29">
        <v>16</v>
      </c>
      <c r="N53" s="4">
        <f>COUNTIFS(N83:N192, "=0",$B$83:$B$192, "&gt;=2000",$B$83:$B$192, "&lt;=2002")</f>
        <v>0</v>
      </c>
      <c r="O53" s="29">
        <v>20</v>
      </c>
      <c r="P53" s="4">
        <f>COUNTIFS(P83:P192, "=0",$B$83:$B$192, "&gt;=2000",$B$83:$B$192, "&lt;=2002")</f>
        <v>1</v>
      </c>
      <c r="R53" s="4">
        <v>24</v>
      </c>
      <c r="S53" s="4">
        <f>COUNTIFS(S83:S192, "=0",$B$83:$B$192, "&gt;=2000",$B$83:$B$192, "&lt;=2002")</f>
        <v>3</v>
      </c>
      <c r="T53" s="29">
        <v>28</v>
      </c>
      <c r="U53" s="4">
        <f>COUNTIFS(U83:U192, "=0",$B$83:$B$192, "&gt;=2000",$B$83:$B$192, "&lt;=2002")</f>
        <v>0</v>
      </c>
      <c r="V53" s="29">
        <v>32</v>
      </c>
      <c r="W53" s="4">
        <f>COUNTIFS(W83:W192, "=0",$B$83:$B$192, "&gt;=2000",$B$83:$B$192, "&lt;=2002")</f>
        <v>3</v>
      </c>
    </row>
    <row r="54" spans="1:23" x14ac:dyDescent="0.2">
      <c r="B54" s="4">
        <v>2</v>
      </c>
      <c r="D54" s="4">
        <v>0</v>
      </c>
      <c r="E54" s="4">
        <f>COUNTIFS(E83:E192, "=0",$B$83:$B$192, "&gt;=2003",$B$83:$B$192, "&lt;=2005")</f>
        <v>2</v>
      </c>
      <c r="F54" s="21">
        <v>4</v>
      </c>
      <c r="G54" s="4">
        <f>COUNTIFS(G83:G192, "=0",$B$83:$B$192, "&gt;=2003",$B$83:$B$192, "&lt;=2005")</f>
        <v>2</v>
      </c>
      <c r="H54" s="4">
        <v>8</v>
      </c>
      <c r="I54" s="4">
        <f>COUNTIFS(I83:I192, "=0",$B$83:$B$192, "&gt;=2003",$B$83:$B$192, "&lt;=2005")</f>
        <v>0</v>
      </c>
      <c r="K54" s="4">
        <v>12</v>
      </c>
      <c r="L54" s="4">
        <f>COUNTIFS(L83:L192, "=0",$B$83:$B$192, "&gt;=2003",$B$83:$B$192, "&lt;=2005")</f>
        <v>0</v>
      </c>
      <c r="M54" s="29">
        <v>16</v>
      </c>
      <c r="N54" s="4">
        <f>COUNTIFS(N83:N192, "=0",$B$83:$B$192, "&gt;=2003",$B$83:$B$192, "&lt;=2005")</f>
        <v>0</v>
      </c>
      <c r="O54" s="29">
        <v>20</v>
      </c>
      <c r="P54" s="4">
        <f>COUNTIFS(P83:P192, "=0",$B$83:$B$192, "&gt;=2003",$B$83:$B$192, "&lt;=2005")</f>
        <v>1</v>
      </c>
      <c r="R54" s="4">
        <v>24</v>
      </c>
      <c r="S54" s="4">
        <f>COUNTIFS(S83:S192, "=0",$B$83:$B$192, "&gt;=2003",$B$83:$B$192, "&lt;=2005")</f>
        <v>4</v>
      </c>
      <c r="T54" s="29">
        <v>28</v>
      </c>
      <c r="U54" s="4">
        <f>COUNTIFS(U83:U192, "=0",$B$83:$B$192, "&gt;=2003",$B$83:$B$192, "&lt;=2005")</f>
        <v>0</v>
      </c>
      <c r="V54" s="29">
        <v>32</v>
      </c>
      <c r="W54" s="4">
        <f>COUNTIFS(W83:W192, "=0",$B$83:$B$192, "&gt;=2003",$B$83:$B$192, "&lt;=2005")</f>
        <v>4</v>
      </c>
    </row>
    <row r="55" spans="1:23" x14ac:dyDescent="0.2">
      <c r="B55" s="4">
        <v>3</v>
      </c>
      <c r="D55" s="4">
        <v>0</v>
      </c>
      <c r="E55" s="4">
        <f>COUNTIFS(E83:E192, "=0",$B$83:$B$192, "&gt;=2006",$B$83:$B$192, "&lt;=2008")</f>
        <v>4</v>
      </c>
      <c r="F55" s="21">
        <v>4</v>
      </c>
      <c r="G55" s="4">
        <f>COUNTIFS(G83:G192, "=0",$B$83:$B$192, "&gt;=2006",$B$83:$B$192, "&lt;=2008")</f>
        <v>5</v>
      </c>
      <c r="H55" s="4">
        <v>8</v>
      </c>
      <c r="I55" s="4">
        <f>COUNTIFS(I83:I192, "=0",$B$83:$B$192, "&gt;=2006",$B$83:$B$192, "&lt;=2008")</f>
        <v>0</v>
      </c>
      <c r="K55" s="4">
        <v>12</v>
      </c>
      <c r="L55" s="4">
        <f>COUNTIFS(L83:L192, "=0",$B$83:$B$192, "&gt;=2006",$B$83:$B$192, "&lt;=2008")</f>
        <v>0</v>
      </c>
      <c r="M55" s="29">
        <v>16</v>
      </c>
      <c r="N55" s="4">
        <f>COUNTIFS(N83:N192, "=0",$B$83:$B$192, "&gt;=2006",$B$83:$B$192, "&lt;=2008")</f>
        <v>0</v>
      </c>
      <c r="O55" s="29">
        <v>20</v>
      </c>
      <c r="P55" s="4">
        <f>COUNTIFS(P83:P192, "=0",$B$83:$B$192, "&gt;=2006",$B$83:$B$192, "&lt;=2008")</f>
        <v>0</v>
      </c>
      <c r="R55" s="4">
        <v>24</v>
      </c>
      <c r="S55" s="4">
        <f>COUNTIFS(S83:S192, "=0",$B$83:$B$192, "&gt;=2006",$B$83:$B$192, "&lt;=2008")</f>
        <v>5</v>
      </c>
      <c r="T55" s="29">
        <v>28</v>
      </c>
      <c r="U55" s="4">
        <f>COUNTIFS(U83:U192, "=0",$B$83:$B$192, "&gt;=2006",$B$83:$B$192, "&lt;=2008")</f>
        <v>0</v>
      </c>
      <c r="V55" s="29">
        <v>32</v>
      </c>
      <c r="W55" s="4">
        <f>COUNTIFS(W83:W192, "=0",$B$83:$B$192, "&gt;=2006",$B$83:$B$192, "&lt;=2008")</f>
        <v>5</v>
      </c>
    </row>
    <row r="56" spans="1:23" x14ac:dyDescent="0.2">
      <c r="B56" s="4">
        <v>4</v>
      </c>
      <c r="D56" s="4">
        <v>0</v>
      </c>
      <c r="E56" s="4">
        <f>COUNTIFS(E83:E192, "=0",$B$83:$B$192, "&gt;=2009",$B$83:$B$192, "&lt;=2011")</f>
        <v>4</v>
      </c>
      <c r="F56" s="21">
        <v>4</v>
      </c>
      <c r="G56" s="4">
        <f>COUNTIFS(G83:G192, "=0",$B$83:$B$192, "&gt;=2009",$B$83:$B$192, "&lt;=2011")</f>
        <v>8</v>
      </c>
      <c r="H56" s="4">
        <v>8</v>
      </c>
      <c r="I56" s="4">
        <f>COUNTIFS(I83:I192, "=0",$B$83:$B$192, "&gt;=2009",$B$83:$B$192, "&lt;=2011")</f>
        <v>2</v>
      </c>
      <c r="K56" s="4">
        <v>12</v>
      </c>
      <c r="L56" s="4">
        <f>COUNTIFS(L83:L192, "=0",$B$83:$B$192, "&gt;=2009",$B$83:$B$192, "&lt;=2011")</f>
        <v>1</v>
      </c>
      <c r="M56" s="29">
        <v>16</v>
      </c>
      <c r="N56" s="4">
        <f>COUNTIFS(N83:N192, "=0",$B$83:$B$192, "&gt;=2009",$B$83:$B$192, "&lt;=2011")</f>
        <v>0</v>
      </c>
      <c r="O56" s="29">
        <v>20</v>
      </c>
      <c r="P56" s="4">
        <f>COUNTIFS(P83:P192, "=0",$B$83:$B$192, "&gt;=2009",$B$83:$B$192, "&lt;=2011")</f>
        <v>1</v>
      </c>
      <c r="R56" s="4">
        <v>24</v>
      </c>
      <c r="S56" s="4">
        <f>COUNTIFS(S83:S192, "=0",$B$83:$B$192, "&gt;=2009",$B$83:$B$192, "&lt;=2011")</f>
        <v>10</v>
      </c>
      <c r="T56" s="29">
        <v>28</v>
      </c>
      <c r="U56" s="4">
        <f>COUNTIFS(U83:U192, "=0",$B$83:$B$192, "&gt;=2009",$B$83:$B$192, "&lt;=2011")</f>
        <v>0</v>
      </c>
      <c r="V56" s="29">
        <v>32</v>
      </c>
      <c r="W56" s="4">
        <f>COUNTIFS(W83:W192, "=0",$B$83:$B$192, "&gt;=2009",$B$83:$B$192, "&lt;=2011")</f>
        <v>10</v>
      </c>
    </row>
    <row r="57" spans="1:23" x14ac:dyDescent="0.2">
      <c r="B57" s="4">
        <v>5</v>
      </c>
      <c r="D57" s="4">
        <v>0</v>
      </c>
      <c r="E57" s="4">
        <f>COUNTIFS(E83:E192, "=0",$B$83:$B$192, "&gt;=2012",$B$83:$B$192, "&lt;=2014")</f>
        <v>3</v>
      </c>
      <c r="F57" s="21">
        <v>4</v>
      </c>
      <c r="G57" s="4">
        <f>COUNTIFS(G83:G192, "=0",$B$83:$B$192, "&gt;=2012",$B$83:$B$192, "&lt;=2014")</f>
        <v>5</v>
      </c>
      <c r="H57" s="4">
        <v>8</v>
      </c>
      <c r="I57" s="4">
        <f>COUNTIFS(I83:I192, "=0",$B$83:$B$192, "&gt;=2012",$B$83:$B$192, "&lt;=2014")</f>
        <v>3</v>
      </c>
      <c r="K57" s="4">
        <v>12</v>
      </c>
      <c r="L57" s="4">
        <f>COUNTIFS(L83:L192, "=0",$B$83:$B$192, "&gt;=2012",$B$83:$B$192, "&lt;=2014")</f>
        <v>1</v>
      </c>
      <c r="M57" s="29">
        <v>16</v>
      </c>
      <c r="N57" s="4">
        <f>COUNTIFS(N83:N192, "=0",$B$83:$B$192, "&gt;=2012",$B$83:$B$192, "&lt;=2014")</f>
        <v>0</v>
      </c>
      <c r="O57" s="29">
        <v>20</v>
      </c>
      <c r="P57" s="4">
        <f>COUNTIFS(P83:P192, "=0",$B$83:$B$192, "&gt;=2012",$B$83:$B$192, "&lt;=2014")</f>
        <v>5</v>
      </c>
      <c r="R57" s="4">
        <v>24</v>
      </c>
      <c r="S57" s="4">
        <f>COUNTIFS(S83:S192, "=0",$B$83:$B$192, "&gt;=2012",$B$83:$B$192, "&lt;=2014")</f>
        <v>16</v>
      </c>
      <c r="T57" s="29">
        <v>28</v>
      </c>
      <c r="U57" s="4">
        <f>COUNTIFS(U83:U192, "=0",$B$83:$B$192, "&gt;=2012",$B$83:$B$192, "&lt;=2014")</f>
        <v>1</v>
      </c>
      <c r="V57" s="29">
        <v>32</v>
      </c>
      <c r="W57" s="4">
        <f>COUNTIFS(W83:W192, "=0",$B$83:$B$192, "&gt;=2012",$B$83:$B$192, "&lt;=2014")</f>
        <v>10</v>
      </c>
    </row>
    <row r="58" spans="1:23" x14ac:dyDescent="0.2">
      <c r="B58" s="4">
        <v>6</v>
      </c>
      <c r="D58" s="4">
        <v>0</v>
      </c>
      <c r="E58" s="4">
        <f>COUNTIFS(E83:E192, "=0",$B$83:$B$192, "&gt;=2015",$B$83:$B$192, "&lt;=2017")</f>
        <v>3</v>
      </c>
      <c r="F58" s="21">
        <v>4</v>
      </c>
      <c r="G58" s="4">
        <f>COUNTIFS(G83:G192, "=0",$B$83:$B$192, "&gt;=2015",$B$83:$B$192, "&lt;=2017")</f>
        <v>8</v>
      </c>
      <c r="H58" s="4">
        <v>8</v>
      </c>
      <c r="I58" s="4">
        <f>COUNTIFS(I83:I192, "=0",$B$83:$B$192, "&gt;=2015",$B$83:$B$192, "&lt;=2017")</f>
        <v>4</v>
      </c>
      <c r="K58" s="4">
        <v>12</v>
      </c>
      <c r="L58" s="4">
        <f>COUNTIFS(L83:L192, "=0",$B$83:$B$192, "&gt;=2015",$B$83:$B$192, "&lt;=2017")</f>
        <v>0</v>
      </c>
      <c r="M58" s="29">
        <v>16</v>
      </c>
      <c r="N58" s="4">
        <f>COUNTIFS(N83:N192, "=0",$B$83:$B$192, "&gt;=2015",$B$83:$B$192, "&lt;=2017")</f>
        <v>0</v>
      </c>
      <c r="O58" s="29">
        <v>20</v>
      </c>
      <c r="P58" s="4">
        <f>COUNTIFS(P83:P192, "=0",$B$83:$B$192, "&gt;=2015",$B$83:$B$192, "&lt;=2017")</f>
        <v>8</v>
      </c>
      <c r="R58" s="4">
        <v>24</v>
      </c>
      <c r="S58" s="4">
        <f>COUNTIFS(S83:S192, "=0",$B$83:$B$192, "&gt;=2015",$B$83:$B$192, "&lt;=2017")</f>
        <v>18</v>
      </c>
      <c r="T58" s="29">
        <v>28</v>
      </c>
      <c r="U58" s="4">
        <f>COUNTIFS(U83:U192, "=0",$B$83:$B$192, "&gt;=2015",$B$83:$B$192, "&lt;=2017")</f>
        <v>0</v>
      </c>
      <c r="V58" s="29">
        <v>32</v>
      </c>
      <c r="W58" s="4">
        <f>COUNTIFS(W83:W192, "=0",$B$83:$B$192, "&gt;=2015",$B$83:$B$192, "&lt;=2017")</f>
        <v>13</v>
      </c>
    </row>
    <row r="59" spans="1:23" x14ac:dyDescent="0.2">
      <c r="B59" s="4">
        <v>7</v>
      </c>
      <c r="D59" s="4">
        <v>0</v>
      </c>
      <c r="E59" s="4">
        <f>COUNTIFS(E83:E192, "=0",$B$83:$B$192, "&gt;=2018",$B$83:$B$192, "&lt;=2020")</f>
        <v>3</v>
      </c>
      <c r="F59" s="21">
        <v>4</v>
      </c>
      <c r="G59" s="4">
        <f>COUNTIFS(G83:G192, "=0",$B$83:$B$192, "&gt;=2018",$B$83:$B$192, "&lt;=2020")</f>
        <v>8</v>
      </c>
      <c r="H59" s="4">
        <v>8</v>
      </c>
      <c r="I59" s="4">
        <f>COUNTIFS(I83:I192, "=0",$B$83:$B$192, "&gt;=2018",$B$83:$B$192, "&lt;=2020")</f>
        <v>3</v>
      </c>
      <c r="K59" s="4">
        <v>12</v>
      </c>
      <c r="L59" s="4">
        <f>COUNTIFS(L83:L192, "=0",$B$83:$B$192, "&gt;=2018",$B$83:$B$192, "&lt;=2020")</f>
        <v>0</v>
      </c>
      <c r="M59" s="29">
        <v>16</v>
      </c>
      <c r="N59" s="4">
        <f>COUNTIFS(N83:N192, "=0",$B$83:$B$192, "&gt;=2018",$B$83:$B$192, "&lt;=2020")</f>
        <v>0</v>
      </c>
      <c r="O59" s="29">
        <v>20</v>
      </c>
      <c r="P59" s="4">
        <f>COUNTIFS(P83:P192, "=0",$B$83:$B$192, "&gt;=2018",$B$83:$B$192, "&lt;=2020")</f>
        <v>6</v>
      </c>
      <c r="R59" s="4">
        <v>24</v>
      </c>
      <c r="S59" s="4">
        <f>COUNTIFS(S83:S192, "=0",$B$83:$B$192, "&gt;=2018",$B$83:$B$192, "&lt;=2020")</f>
        <v>20</v>
      </c>
      <c r="T59" s="29">
        <v>28</v>
      </c>
      <c r="U59" s="4">
        <f>COUNTIFS(U83:U192, "=0",$B$83:$B$192, "&gt;=2018",$B$83:$B$192, "&lt;=2020")</f>
        <v>1</v>
      </c>
      <c r="V59" s="29">
        <v>32</v>
      </c>
      <c r="W59" s="4">
        <f>COUNTIFS(W83:W192, "=0",$B$83:$B$192, "&gt;=2018",$B$83:$B$192, "&lt;=2020")</f>
        <v>12</v>
      </c>
    </row>
    <row r="60" spans="1:23" x14ac:dyDescent="0.2">
      <c r="B60" s="4">
        <v>8</v>
      </c>
      <c r="D60" s="4">
        <v>0</v>
      </c>
      <c r="E60" s="4">
        <f>COUNTIFS(E83:E192, "=0",$B$83:$B$192, "&gt;=2021",$B$83:$B$192, "&lt;=2023")</f>
        <v>5</v>
      </c>
      <c r="F60" s="21">
        <v>4</v>
      </c>
      <c r="G60" s="4">
        <f>COUNTIFS(G83:G192, "=0",$B$83:$B$192, "&gt;=2021",$B$83:$B$192, "&lt;=2023")</f>
        <v>8</v>
      </c>
      <c r="H60" s="4">
        <v>8</v>
      </c>
      <c r="I60" s="4">
        <f>COUNTIFS(I83:I192, "=0",$B$83:$B$192, "&gt;=2021",$B$83:$B$192, "&lt;=2023")</f>
        <v>2</v>
      </c>
      <c r="K60" s="4">
        <v>12</v>
      </c>
      <c r="L60" s="4">
        <f>COUNTIFS(L83:L192, "=0",$B$83:$B$192, "&gt;=2021",$B$83:$B$192, "&lt;=2023")</f>
        <v>0</v>
      </c>
      <c r="M60" s="29">
        <v>16</v>
      </c>
      <c r="N60" s="4">
        <f>COUNTIFS(N83:N192, "=0",$B$83:$B$192, "&gt;=2021",$B$83:$B$192, "&lt;=2023")</f>
        <v>0</v>
      </c>
      <c r="O60" s="29">
        <v>20</v>
      </c>
      <c r="P60" s="4">
        <f>COUNTIFS(P83:P192, "=0",$B$83:$B$192, "&gt;=2021",$B$83:$B$192, "&lt;=2023")</f>
        <v>6</v>
      </c>
      <c r="R60" s="4">
        <v>24</v>
      </c>
      <c r="S60" s="4">
        <f>COUNTIFS(S83:S192, "=0",$B$83:$B$192, "&gt;=2021",$B$83:$B$192, "&lt;=2023")</f>
        <v>21</v>
      </c>
      <c r="T60" s="29">
        <v>28</v>
      </c>
      <c r="U60" s="4">
        <f>COUNTIFS(U83:U192, "=0",$B$83:$B$192, "&gt;=2021",$B$83:$B$192, "&lt;=2023")</f>
        <v>0</v>
      </c>
      <c r="V60" s="29">
        <v>32</v>
      </c>
      <c r="W60" s="4">
        <f>COUNTIFS(W83:W192, "=0",$B$83:$B$192, "&gt;=2021",$B$83:$B$192, "&lt;=2023")</f>
        <v>17</v>
      </c>
    </row>
    <row r="61" spans="1:23" x14ac:dyDescent="0.2">
      <c r="B61" s="5">
        <v>0</v>
      </c>
      <c r="D61" s="5">
        <v>1</v>
      </c>
      <c r="E61" s="5">
        <f>COUNTIFS(E83:E192, "=1",$B$83:$B$192, "&lt;2000")</f>
        <v>0</v>
      </c>
      <c r="F61" s="22">
        <v>5</v>
      </c>
      <c r="G61" s="5">
        <f>COUNTIFS(G83:G192, "=1",$B$83:$B$192, "&lt;2000")</f>
        <v>1</v>
      </c>
      <c r="H61" s="5">
        <v>9</v>
      </c>
      <c r="I61" s="5">
        <f>COUNTIFS(I83:I192, "=1",$B$83:$B$192, "&lt;2000")</f>
        <v>1</v>
      </c>
      <c r="K61" s="5">
        <v>13</v>
      </c>
      <c r="L61" s="5">
        <f>COUNTIFS(L83:L192, "=1",$B$83:$B$192, "&lt;2000")</f>
        <v>2</v>
      </c>
      <c r="M61" s="30">
        <v>17</v>
      </c>
      <c r="N61" s="5">
        <f>COUNTIFS(N83:N192, "=1",$B$83:$B$192, "&lt;2000")</f>
        <v>0</v>
      </c>
      <c r="O61" s="30">
        <v>21</v>
      </c>
      <c r="P61" s="5">
        <f>COUNTIFS(P83:P192, "=1",$B$83:$B$192, "&lt;2000")</f>
        <v>1</v>
      </c>
      <c r="R61" s="5">
        <v>25</v>
      </c>
      <c r="S61" s="5">
        <f>COUNTIFS(S83:S192, "=1",$B$83:$B$192, "&lt;2000")</f>
        <v>0</v>
      </c>
      <c r="T61" s="30">
        <v>29</v>
      </c>
      <c r="U61" s="5">
        <f>COUNTIFS(U83:U192, "=1",$B$83:$B$192, "&lt;2000")</f>
        <v>0</v>
      </c>
      <c r="V61" s="30">
        <v>33</v>
      </c>
      <c r="W61" s="5">
        <f>COUNTIFS(W83:W192, "=1",$B$83:$B$192, "&lt;2000")</f>
        <v>0</v>
      </c>
    </row>
    <row r="62" spans="1:23" x14ac:dyDescent="0.2">
      <c r="B62" s="5">
        <v>1</v>
      </c>
      <c r="D62" s="5">
        <v>1</v>
      </c>
      <c r="E62" s="5">
        <f>COUNTIFS(E83:E192, "=1",$B$83:$B$192, "&gt;=2000",$B$83:$B$192, "&lt;=2002")</f>
        <v>1</v>
      </c>
      <c r="F62" s="22">
        <v>5</v>
      </c>
      <c r="G62" s="5">
        <f>COUNTIFS(G83:G192, "=1",$B$83:$B$192, "&gt;=2000",$B$83:$B$192, "&lt;=2002")</f>
        <v>0</v>
      </c>
      <c r="H62" s="5">
        <v>9</v>
      </c>
      <c r="I62" s="5">
        <f>COUNTIFS(I83:I192, "=1",$B$83:$B$192, "&gt;=2000",$B$83:$B$192, "&lt;=2002")</f>
        <v>3</v>
      </c>
      <c r="K62" s="5">
        <v>13</v>
      </c>
      <c r="L62" s="5">
        <f>COUNTIFS(L83:L192, "=1",$B$83:$B$192, "&gt;=2000",$B$83:$B$192, "&lt;=2002")</f>
        <v>3</v>
      </c>
      <c r="M62" s="30">
        <v>17</v>
      </c>
      <c r="N62" s="5">
        <f>COUNTIFS(N83:N192, "=1",$B$83:$B$192, "&gt;=2000",$B$83:$B$192, "&lt;=2002")</f>
        <v>0</v>
      </c>
      <c r="O62" s="30">
        <v>21</v>
      </c>
      <c r="P62" s="5">
        <f>COUNTIFS(P83:P192, "=1",$B$83:$B$192, "&gt;=2000",$B$83:$B$192, "&lt;=2002")</f>
        <v>0</v>
      </c>
      <c r="R62" s="5">
        <v>25</v>
      </c>
      <c r="S62" s="5">
        <f>COUNTIFS(S83:S192, "=1",$B$83:$B$192, "&gt;=2000",$B$83:$B$192, "&lt;=2002")</f>
        <v>0</v>
      </c>
      <c r="T62" s="30">
        <v>29</v>
      </c>
      <c r="U62" s="5">
        <f>COUNTIFS(U83:U192, "=1",$B$83:$B$192, "&gt;=2000",$B$83:$B$192, "&lt;=2002")</f>
        <v>0</v>
      </c>
      <c r="V62" s="30">
        <v>33</v>
      </c>
      <c r="W62" s="5">
        <f>COUNTIFS(W83:W192, "=1",$B$83:$B$192, "&gt;=2000",$B$83:$B$192, "&lt;=2002")</f>
        <v>0</v>
      </c>
    </row>
    <row r="63" spans="1:23" x14ac:dyDescent="0.2">
      <c r="B63" s="5">
        <v>2</v>
      </c>
      <c r="D63" s="5">
        <v>1</v>
      </c>
      <c r="E63" s="5">
        <f>COUNTIFS(E83:E192, "=1",$B$83:$B$192, "&gt;=2003",$B$83:$B$192, "&lt;=2005")</f>
        <v>1</v>
      </c>
      <c r="F63" s="22">
        <v>5</v>
      </c>
      <c r="G63" s="5">
        <f>COUNTIFS(G83:G192, "=1",$B$83:$B$192, "&gt;=2003",$B$83:$B$192, "&lt;=2005")</f>
        <v>2</v>
      </c>
      <c r="H63" s="5">
        <v>9</v>
      </c>
      <c r="I63" s="5">
        <f>COUNTIFS(I83:I192, "=1",$B$83:$B$192, "&gt;=2003",$B$83:$B$192, "&lt;=2005")</f>
        <v>4</v>
      </c>
      <c r="K63" s="5">
        <v>13</v>
      </c>
      <c r="L63" s="5">
        <f>COUNTIFS(L83:L192, "=1",$B$83:$B$192, "&gt;=2003",$B$83:$B$192, "&lt;=2005")</f>
        <v>4</v>
      </c>
      <c r="M63" s="30">
        <v>17</v>
      </c>
      <c r="N63" s="5">
        <f>COUNTIFS(N83:N192, "=1",$B$83:$B$192, "&gt;=2003",$B$83:$B$192, "&lt;=2005")</f>
        <v>0</v>
      </c>
      <c r="O63" s="30">
        <v>21</v>
      </c>
      <c r="P63" s="5">
        <f>COUNTIFS(P83:P192, "=1",$B$83:$B$192, "&gt;=2003",$B$83:$B$192, "&lt;=2005")</f>
        <v>2</v>
      </c>
      <c r="R63" s="5">
        <v>25</v>
      </c>
      <c r="S63" s="5">
        <f>COUNTIFS(S83:S192, "=1",$B$83:$B$192, "&gt;=2003",$B$83:$B$192, "&lt;=2005")</f>
        <v>0</v>
      </c>
      <c r="T63" s="30">
        <v>29</v>
      </c>
      <c r="U63" s="5">
        <f>COUNTIFS(U83:U192, "=1",$B$83:$B$192, "&gt;=2003",$B$83:$B$192, "&lt;=2005")</f>
        <v>0</v>
      </c>
      <c r="V63" s="30">
        <v>33</v>
      </c>
      <c r="W63" s="5">
        <f>COUNTIFS(W83:W192, "=1",$B$83:$B$192, "&gt;=2003",$B$83:$B$192, "&lt;=2005")</f>
        <v>0</v>
      </c>
    </row>
    <row r="64" spans="1:23" x14ac:dyDescent="0.2">
      <c r="B64" s="5">
        <v>3</v>
      </c>
      <c r="D64" s="5">
        <v>1</v>
      </c>
      <c r="E64" s="5">
        <f>COUNTIFS(E83:E192, "=1",$B$83:$B$192, "&gt;=2006",$B$83:$B$192, "&lt;=2008")</f>
        <v>1</v>
      </c>
      <c r="F64" s="22">
        <v>5</v>
      </c>
      <c r="G64" s="5">
        <f>COUNTIFS(G83:G192, "=1",$B$83:$B$192, "&gt;=2006",$B$83:$B$192, "&lt;=2008")</f>
        <v>0</v>
      </c>
      <c r="H64" s="5">
        <v>9</v>
      </c>
      <c r="I64" s="5">
        <f>COUNTIFS(I83:I192, "=1",$B$83:$B$192, "&gt;=2006",$B$83:$B$192, "&lt;=2008")</f>
        <v>5</v>
      </c>
      <c r="K64" s="5">
        <v>13</v>
      </c>
      <c r="L64" s="5">
        <f>COUNTIFS(L83:L192, "=1",$B$83:$B$192, "&gt;=2006",$B$83:$B$192, "&lt;=2008")</f>
        <v>5</v>
      </c>
      <c r="M64" s="30">
        <v>17</v>
      </c>
      <c r="N64" s="5">
        <f>COUNTIFS(N83:N192, "=1",$B$83:$B$192, "&gt;=2006",$B$83:$B$192, "&lt;=2008")</f>
        <v>0</v>
      </c>
      <c r="O64" s="30">
        <v>21</v>
      </c>
      <c r="P64" s="5">
        <f>COUNTIFS(P83:P192, "=1",$B$83:$B$192, "&gt;=2006",$B$83:$B$192, "&lt;=2008")</f>
        <v>5</v>
      </c>
      <c r="R64" s="5">
        <v>25</v>
      </c>
      <c r="S64" s="5">
        <f>COUNTIFS(S83:S192, "=1",$B$83:$B$192, "&gt;=2006",$B$83:$B$192, "&lt;=2008")</f>
        <v>0</v>
      </c>
      <c r="T64" s="30">
        <v>29</v>
      </c>
      <c r="U64" s="5">
        <f>COUNTIFS(U83:U192, "=1",$B$83:$B$192, "&gt;=2006",$B$83:$B$192, "&lt;=2008")</f>
        <v>0</v>
      </c>
      <c r="V64" s="30">
        <v>33</v>
      </c>
      <c r="W64" s="5">
        <f>COUNTIFS(W83:W192, "=1",$B$83:$B$192, "&gt;=2006",$B$83:$B$192, "&lt;=2008")</f>
        <v>0</v>
      </c>
    </row>
    <row r="65" spans="2:23" x14ac:dyDescent="0.2">
      <c r="B65" s="5">
        <v>4</v>
      </c>
      <c r="D65" s="5">
        <v>1</v>
      </c>
      <c r="E65" s="5">
        <f>COUNTIFS(E83:E192, "=1",$B$83:$B$192, "&gt;=2009",$B$83:$B$192, "&lt;=2011")</f>
        <v>3</v>
      </c>
      <c r="F65" s="22">
        <v>5</v>
      </c>
      <c r="G65" s="5">
        <f>COUNTIFS(G83:G192, "=1",$B$83:$B$192, "&gt;=2009",$B$83:$B$192, "&lt;=2011")</f>
        <v>2</v>
      </c>
      <c r="H65" s="5">
        <v>9</v>
      </c>
      <c r="I65" s="5">
        <f>COUNTIFS(I83:I192, "=1",$B$83:$B$192, "&gt;=2009",$B$83:$B$192, "&lt;=2011")</f>
        <v>8</v>
      </c>
      <c r="K65" s="5">
        <v>13</v>
      </c>
      <c r="L65" s="5">
        <f>COUNTIFS(L83:L192, "=1",$B$83:$B$192, "&gt;=2009",$B$83:$B$192, "&lt;=2011")</f>
        <v>9</v>
      </c>
      <c r="M65" s="30">
        <v>17</v>
      </c>
      <c r="N65" s="5">
        <f>COUNTIFS(N83:N192, "=1",$B$83:$B$192, "&gt;=2009",$B$83:$B$192, "&lt;=2011")</f>
        <v>1</v>
      </c>
      <c r="O65" s="30">
        <v>21</v>
      </c>
      <c r="P65" s="5">
        <f>COUNTIFS(P83:P192, "=1",$B$83:$B$192, "&gt;=2009",$B$83:$B$192, "&lt;=2011")</f>
        <v>5</v>
      </c>
      <c r="R65" s="5">
        <v>25</v>
      </c>
      <c r="S65" s="5">
        <f>COUNTIFS(S83:S192, "=1",$B$83:$B$192, "&gt;=2009",$B$83:$B$192, "&lt;=2011")</f>
        <v>0</v>
      </c>
      <c r="T65" s="30">
        <v>29</v>
      </c>
      <c r="U65" s="5">
        <f>COUNTIFS(U83:U192, "=1",$B$83:$B$192, "&gt;=2009",$B$83:$B$192, "&lt;=2011")</f>
        <v>0</v>
      </c>
      <c r="V65" s="30">
        <v>33</v>
      </c>
      <c r="W65" s="5">
        <f>COUNTIFS(W83:W192, "=1",$B$83:$B$192, "&gt;=2009",$B$83:$B$192, "&lt;=2011")</f>
        <v>0</v>
      </c>
    </row>
    <row r="66" spans="2:23" x14ac:dyDescent="0.2">
      <c r="B66" s="5">
        <v>5</v>
      </c>
      <c r="D66" s="5">
        <v>1</v>
      </c>
      <c r="E66" s="5">
        <f>COUNTIFS(E83:E192, "=1",$B$83:$B$192, "&gt;=2012",$B$83:$B$192, "&lt;=2014")</f>
        <v>5</v>
      </c>
      <c r="F66" s="22">
        <v>5</v>
      </c>
      <c r="G66" s="5">
        <f>COUNTIFS(G83:G192, "=1",$B$83:$B$192, "&gt;=2012",$B$83:$B$192, "&lt;=2014")</f>
        <v>8</v>
      </c>
      <c r="H66" s="5">
        <v>9</v>
      </c>
      <c r="I66" s="5">
        <f>COUNTIFS(I83:I192, "=1",$B$83:$B$192, "&gt;=2012",$B$83:$B$192, "&lt;=2014")</f>
        <v>12</v>
      </c>
      <c r="K66" s="5">
        <v>13</v>
      </c>
      <c r="L66" s="5">
        <f>COUNTIFS(L83:L192, "=1",$B$83:$B$192, "&gt;=2012",$B$83:$B$192, "&lt;=2014")</f>
        <v>15</v>
      </c>
      <c r="M66" s="30">
        <v>17</v>
      </c>
      <c r="N66" s="5">
        <f>COUNTIFS(N83:N192, "=1",$B$83:$B$192, "&gt;=2012",$B$83:$B$192, "&lt;=2014")</f>
        <v>3</v>
      </c>
      <c r="O66" s="30">
        <v>21</v>
      </c>
      <c r="P66" s="5">
        <f>COUNTIFS(P83:P192, "=1",$B$83:$B$192, "&gt;=2012",$B$83:$B$192, "&lt;=2014")</f>
        <v>5</v>
      </c>
      <c r="R66" s="5">
        <v>25</v>
      </c>
      <c r="S66" s="5">
        <f>COUNTIFS(S83:S192, "=1",$B$83:$B$192, "&gt;=2012",$B$83:$B$192, "&lt;=2014")</f>
        <v>0</v>
      </c>
      <c r="T66" s="30">
        <v>29</v>
      </c>
      <c r="U66" s="5">
        <f>COUNTIFS(U83:U192, "=1",$B$83:$B$192, "&gt;=2012",$B$83:$B$192, "&lt;=2014")</f>
        <v>0</v>
      </c>
      <c r="V66" s="30">
        <v>33</v>
      </c>
      <c r="W66" s="5">
        <f>COUNTIFS(W83:W192, "=1",$B$83:$B$192, "&gt;=2012",$B$83:$B$192, "&lt;=2014")</f>
        <v>4</v>
      </c>
    </row>
    <row r="67" spans="2:23" x14ac:dyDescent="0.2">
      <c r="B67" s="5">
        <v>6</v>
      </c>
      <c r="D67" s="5">
        <v>1</v>
      </c>
      <c r="E67" s="5">
        <f>COUNTIFS(E83:E192, "=1",$B$83:$B$192, "&gt;=2015",$B$83:$B$192, "&lt;=2017")</f>
        <v>3</v>
      </c>
      <c r="F67" s="22">
        <v>5</v>
      </c>
      <c r="G67" s="5">
        <f>COUNTIFS(G83:G192, "=1",$B$83:$B$192, "&gt;=2015",$B$83:$B$192, "&lt;=2017")</f>
        <v>6</v>
      </c>
      <c r="H67" s="5">
        <v>9</v>
      </c>
      <c r="I67" s="5">
        <f>COUNTIFS(I83:I192, "=1",$B$83:$B$192, "&gt;=2015",$B$83:$B$192, "&lt;=2017")</f>
        <v>11</v>
      </c>
      <c r="K67" s="5">
        <v>13</v>
      </c>
      <c r="L67" s="5">
        <f>COUNTIFS(L83:L192, "=1",$B$83:$B$192, "&gt;=2015",$B$83:$B$192, "&lt;=2017")</f>
        <v>18</v>
      </c>
      <c r="M67" s="30">
        <v>17</v>
      </c>
      <c r="N67" s="5">
        <f>COUNTIFS(N83:N192, "=1",$B$83:$B$192, "&gt;=2015",$B$83:$B$192, "&lt;=2017")</f>
        <v>2</v>
      </c>
      <c r="O67" s="30">
        <v>21</v>
      </c>
      <c r="P67" s="5">
        <f>COUNTIFS(P83:P192, "=1",$B$83:$B$192, "&gt;=2015",$B$83:$B$192, "&lt;=2017")</f>
        <v>6</v>
      </c>
      <c r="R67" s="5">
        <v>25</v>
      </c>
      <c r="S67" s="5">
        <f>COUNTIFS(S83:S192, "=1",$B$83:$B$192, "&gt;=2015",$B$83:$B$192, "&lt;=2017")</f>
        <v>0</v>
      </c>
      <c r="T67" s="30">
        <v>29</v>
      </c>
      <c r="U67" s="5">
        <f>COUNTIFS(U83:U192, "=1",$B$83:$B$192, "&gt;=2015",$B$83:$B$192, "&lt;=2017")</f>
        <v>0</v>
      </c>
      <c r="V67" s="30">
        <v>33</v>
      </c>
      <c r="W67" s="5">
        <f>COUNTIFS(W83:W192, "=1",$B$83:$B$192, "&gt;=2015",$B$83:$B$192, "&lt;=2017")</f>
        <v>5</v>
      </c>
    </row>
    <row r="68" spans="2:23" x14ac:dyDescent="0.2">
      <c r="B68" s="5">
        <v>7</v>
      </c>
      <c r="D68" s="5">
        <v>1</v>
      </c>
      <c r="E68" s="5">
        <f>COUNTIFS(E83:E192, "=1",$B$83:$B$192, "&gt;=2018",$B$83:$B$192, "&lt;=2020")</f>
        <v>4</v>
      </c>
      <c r="F68" s="22">
        <v>5</v>
      </c>
      <c r="G68" s="5">
        <f>COUNTIFS(G83:G192, "=1",$B$83:$B$192, "&gt;=2018",$B$83:$B$192, "&lt;=2020")</f>
        <v>4</v>
      </c>
      <c r="H68" s="5">
        <v>9</v>
      </c>
      <c r="I68" s="5">
        <f>COUNTIFS(I83:I192, "=1",$B$83:$B$192, "&gt;=2018",$B$83:$B$192, "&lt;=2020")</f>
        <v>14</v>
      </c>
      <c r="K68" s="5">
        <v>13</v>
      </c>
      <c r="L68" s="5">
        <f>COUNTIFS(L83:L192, "=1",$B$83:$B$192, "&gt;=2018",$B$83:$B$192, "&lt;=2020")</f>
        <v>19</v>
      </c>
      <c r="M68" s="30">
        <v>17</v>
      </c>
      <c r="N68" s="5">
        <f>COUNTIFS(N83:N192, "=1",$B$83:$B$192, "&gt;=2018",$B$83:$B$192, "&lt;=2020")</f>
        <v>3</v>
      </c>
      <c r="O68" s="30">
        <v>21</v>
      </c>
      <c r="P68" s="5">
        <f>COUNTIFS(P83:P192, "=1",$B$83:$B$192, "&gt;=2018",$B$83:$B$192, "&lt;=2020")</f>
        <v>5</v>
      </c>
      <c r="R68" s="5">
        <v>25</v>
      </c>
      <c r="S68" s="5">
        <f>COUNTIFS(S83:S192, "=1",$B$83:$B$192, "&gt;=2018",$B$83:$B$192, "&lt;=2020")</f>
        <v>0</v>
      </c>
      <c r="T68" s="30">
        <v>29</v>
      </c>
      <c r="U68" s="5">
        <f>COUNTIFS(U83:U192, "=1",$B$83:$B$192, "&gt;=2018",$B$83:$B$192, "&lt;=2020")</f>
        <v>0</v>
      </c>
      <c r="V68" s="30">
        <v>33</v>
      </c>
      <c r="W68" s="5">
        <f>COUNTIFS(W83:W192, "=1",$B$83:$B$192, "&gt;=2018",$B$83:$B$192, "&lt;=2020")</f>
        <v>8</v>
      </c>
    </row>
    <row r="69" spans="2:23" x14ac:dyDescent="0.2">
      <c r="B69" s="5">
        <v>8</v>
      </c>
      <c r="D69" s="5">
        <v>1</v>
      </c>
      <c r="E69" s="5">
        <f>COUNTIFS(E83:E192, "=1",$B$83:$B$192, "&gt;=2021",$B$83:$B$192, "&lt;=2023")</f>
        <v>8</v>
      </c>
      <c r="F69" s="22">
        <v>5</v>
      </c>
      <c r="G69" s="5">
        <f>COUNTIFS(G83:G192, "=1",$B$83:$B$192, "&gt;=2021",$B$83:$B$192, "&lt;=2023")</f>
        <v>7</v>
      </c>
      <c r="H69" s="5">
        <v>9</v>
      </c>
      <c r="I69" s="5">
        <f>COUNTIFS(I83:I192, "=1",$B$83:$B$192, "&gt;=2021",$B$83:$B$192, "&lt;=2023")</f>
        <v>16</v>
      </c>
      <c r="K69" s="5">
        <v>13</v>
      </c>
      <c r="L69" s="5">
        <f>COUNTIFS(L83:L192, "=1",$B$83:$B$192, "&gt;=2021",$B$83:$B$192, "&lt;=2023")</f>
        <v>21</v>
      </c>
      <c r="M69" s="30">
        <v>17</v>
      </c>
      <c r="N69" s="5">
        <f>COUNTIFS(N83:N192, "=1",$B$83:$B$192, "&gt;=2021",$B$83:$B$192, "&lt;=2023")</f>
        <v>2</v>
      </c>
      <c r="O69" s="30">
        <v>21</v>
      </c>
      <c r="P69" s="5">
        <f>COUNTIFS(P83:P192, "=1",$B$83:$B$192, "&gt;=2021",$B$83:$B$192, "&lt;=2023")</f>
        <v>7</v>
      </c>
      <c r="R69" s="5">
        <v>25</v>
      </c>
      <c r="S69" s="5">
        <f>COUNTIFS(S83:S192, "=1",$B$83:$B$192, "&gt;=2021",$B$83:$B$192, "&lt;=2023")</f>
        <v>0</v>
      </c>
      <c r="T69" s="30">
        <v>29</v>
      </c>
      <c r="U69" s="5">
        <f>COUNTIFS(U83:U192, "=1",$B$83:$B$192, "&gt;=2021",$B$83:$B$192, "&lt;=2023")</f>
        <v>0</v>
      </c>
      <c r="V69" s="30">
        <v>33</v>
      </c>
      <c r="W69" s="5">
        <f>COUNTIFS(W83:W192, "=1",$B$83:$B$192, "&gt;=2021",$B$83:$B$192, "&lt;=2023")</f>
        <v>4</v>
      </c>
    </row>
    <row r="70" spans="2:23" x14ac:dyDescent="0.2">
      <c r="B70" s="3">
        <v>0</v>
      </c>
      <c r="D70" s="3">
        <v>2</v>
      </c>
      <c r="E70" s="3">
        <f>COUNTIFS(E83:E192, "=2",$B$83:$B$192, "&lt;2000")</f>
        <v>0</v>
      </c>
      <c r="F70" s="23">
        <v>6</v>
      </c>
      <c r="G70" s="3">
        <f>COUNTIFS(G83:G192, "=2",$B$83:$B$192, "&lt;2000")</f>
        <v>0</v>
      </c>
      <c r="H70" s="3">
        <v>10</v>
      </c>
      <c r="I70" s="3">
        <f>COUNTIFS(I83:I192, "=2",$B$83:$B$192, "&lt;2000")</f>
        <v>1</v>
      </c>
      <c r="K70" s="3">
        <v>14</v>
      </c>
      <c r="L70" s="3">
        <f>COUNTIFS(L83:L192, "=2",$B$83:$B$192, "&lt;2000")</f>
        <v>0</v>
      </c>
      <c r="M70" s="31">
        <v>18</v>
      </c>
      <c r="N70" s="3">
        <f>COUNTIFS(N83:N192, "=2",$B$83:$B$192, "&lt;2000")</f>
        <v>2</v>
      </c>
      <c r="O70" s="31">
        <v>22</v>
      </c>
      <c r="P70" s="3">
        <f>COUNTIFS(P83:P192, "=2",$B$83:$B$192, "&lt;2000")</f>
        <v>1</v>
      </c>
      <c r="R70" s="3">
        <v>26</v>
      </c>
      <c r="S70" s="3">
        <f>COUNTIFS(S83:S192, "=2",$B$83:$B$192, "&lt;2000")</f>
        <v>0</v>
      </c>
      <c r="T70" s="31">
        <v>30</v>
      </c>
      <c r="U70" s="3">
        <f>COUNTIFS(U83:U192, "=2",$B$83:$B$192, "&lt;2000")</f>
        <v>2</v>
      </c>
      <c r="V70" s="31">
        <v>34</v>
      </c>
      <c r="W70" s="3">
        <f>COUNTIFS(W83:W192, "=2",$B$83:$B$192, "&lt;2000")</f>
        <v>0</v>
      </c>
    </row>
    <row r="71" spans="2:23" x14ac:dyDescent="0.2">
      <c r="B71" s="3">
        <v>1</v>
      </c>
      <c r="D71" s="3">
        <v>2</v>
      </c>
      <c r="E71" s="3">
        <f>COUNTIFS(E83:E192, "=2",$B$83:$B$192, "&gt;=2000",$B$83:$B$192, "&lt;=2002")</f>
        <v>0</v>
      </c>
      <c r="F71" s="23">
        <v>6</v>
      </c>
      <c r="G71" s="3">
        <f>COUNTIFS(G83:G192, "=2",$B$83:$B$192, "&gt;=2000",$B$83:$B$192, "&lt;=2002")</f>
        <v>0</v>
      </c>
      <c r="H71" s="3">
        <v>10</v>
      </c>
      <c r="I71" s="3">
        <f>COUNTIFS(I83:I192, "=2",$B$83:$B$192, "&gt;=2000",$B$83:$B$192, "&lt;=2002")</f>
        <v>0</v>
      </c>
      <c r="K71" s="3">
        <v>14</v>
      </c>
      <c r="L71" s="3">
        <f>COUNTIFS(L83:L192, "=2",$B$83:$B$192, "&gt;=2000",$B$83:$B$192, "&lt;=2002")</f>
        <v>0</v>
      </c>
      <c r="M71" s="31">
        <v>18</v>
      </c>
      <c r="N71" s="3">
        <f>COUNTIFS(N83:N192, "=2",$B$83:$B$192, "&gt;=2000",$B$83:$B$192, "&lt;=2002")</f>
        <v>3</v>
      </c>
      <c r="O71" s="31">
        <v>22</v>
      </c>
      <c r="P71" s="3">
        <f>COUNTIFS(P83:P192, "=2",$B$83:$B$192, "&gt;=2000",$B$83:$B$192, "&lt;=2002")</f>
        <v>2</v>
      </c>
      <c r="R71" s="3">
        <v>26</v>
      </c>
      <c r="S71" s="3">
        <f>COUNTIFS(S83:S192, "=2",$B$83:$B$192, "&gt;=2000",$B$83:$B$192, "&lt;=2002")</f>
        <v>0</v>
      </c>
      <c r="T71" s="31">
        <v>30</v>
      </c>
      <c r="U71" s="3">
        <f>COUNTIFS(U83:U192, "=2",$B$83:$B$192, "&gt;=2000",$B$83:$B$192, "&lt;=2002")</f>
        <v>3</v>
      </c>
      <c r="V71" s="31">
        <v>34</v>
      </c>
      <c r="W71" s="3">
        <f>COUNTIFS(W83:W192, "=2",$B$83:$B$192, "&gt;=2000",$B$83:$B$192, "&lt;=2002")</f>
        <v>0</v>
      </c>
    </row>
    <row r="72" spans="2:23" x14ac:dyDescent="0.2">
      <c r="B72" s="3">
        <v>2</v>
      </c>
      <c r="D72" s="3">
        <v>2</v>
      </c>
      <c r="E72" s="3">
        <f>COUNTIFS(E83:E192, "=2",$B$83:$B$192, "&gt;=2003",$B$83:$B$192, "&lt;=2005")</f>
        <v>1</v>
      </c>
      <c r="F72" s="23">
        <v>6</v>
      </c>
      <c r="G72" s="3">
        <f>COUNTIFS(G83:G192, "=2",$B$83:$B$192, "&gt;=2003",$B$83:$B$192, "&lt;=2005")</f>
        <v>0</v>
      </c>
      <c r="H72" s="3">
        <v>10</v>
      </c>
      <c r="I72" s="3">
        <f>COUNTIFS(I83:I192, "=2",$B$83:$B$192, "&gt;=2003",$B$83:$B$192, "&lt;=2005")</f>
        <v>0</v>
      </c>
      <c r="K72" s="3">
        <v>14</v>
      </c>
      <c r="L72" s="3">
        <f>COUNTIFS(L83:L192, "=2",$B$83:$B$192, "&gt;=2003",$B$83:$B$192, "&lt;=2005")</f>
        <v>0</v>
      </c>
      <c r="M72" s="31">
        <v>18</v>
      </c>
      <c r="N72" s="3">
        <f>COUNTIFS(N83:N192, "=2",$B$83:$B$192, "&gt;=2003",$B$83:$B$192, "&lt;=2005")</f>
        <v>4</v>
      </c>
      <c r="O72" s="31">
        <v>22</v>
      </c>
      <c r="P72" s="3">
        <f>COUNTIFS(P83:P192, "=2",$B$83:$B$192, "&gt;=2003",$B$83:$B$192, "&lt;=2005")</f>
        <v>1</v>
      </c>
      <c r="R72" s="3">
        <v>26</v>
      </c>
      <c r="S72" s="3">
        <f>COUNTIFS(S83:S192, "=2",$B$83:$B$192, "&gt;=2003",$B$83:$B$192, "&lt;=2005")</f>
        <v>0</v>
      </c>
      <c r="T72" s="31">
        <v>30</v>
      </c>
      <c r="U72" s="3">
        <f>COUNTIFS(U83:U192, "=2",$B$83:$B$192, "&gt;=2003",$B$83:$B$192, "&lt;=2005")</f>
        <v>4</v>
      </c>
      <c r="V72" s="31">
        <v>34</v>
      </c>
      <c r="W72" s="3">
        <f>COUNTIFS(W83:W192, "=2",$B$83:$B$192, "&gt;=2003",$B$83:$B$192, "&lt;=2005")</f>
        <v>0</v>
      </c>
    </row>
    <row r="73" spans="2:23" x14ac:dyDescent="0.2">
      <c r="B73" s="14">
        <v>3</v>
      </c>
      <c r="D73" s="14">
        <v>2</v>
      </c>
      <c r="E73" s="3">
        <f>COUNTIFS(E83:E192, "=2",$B$83:$B$192, "&gt;=2006",$B$83:$B$192, "&lt;=2008")</f>
        <v>0</v>
      </c>
      <c r="F73" s="23">
        <v>6</v>
      </c>
      <c r="G73" s="3">
        <f>COUNTIFS(G83:G192, "=2",$B$83:$B$192, "&gt;=2006",$B$83:$B$192, "&lt;=2008")</f>
        <v>0</v>
      </c>
      <c r="H73" s="3">
        <v>10</v>
      </c>
      <c r="I73" s="3">
        <f>COUNTIFS(I83:I192, "=2",$B$83:$B$192, "&gt;=2006",$B$83:$B$192, "&lt;=2008")</f>
        <v>0</v>
      </c>
      <c r="J73" s="17"/>
      <c r="K73" s="3">
        <v>14</v>
      </c>
      <c r="L73" s="3">
        <f>COUNTIFS(L83:L192, "=2",$B$83:$B$192, "&gt;=2006",$B$83:$B$192, "&lt;=2008")</f>
        <v>0</v>
      </c>
      <c r="M73" s="31">
        <v>18</v>
      </c>
      <c r="N73" s="3">
        <f>COUNTIFS(N83:N192, "=2",$B$83:$B$192, "&gt;=2006",$B$83:$B$192, "&lt;=2008")</f>
        <v>5</v>
      </c>
      <c r="O73" s="31">
        <v>22</v>
      </c>
      <c r="P73" s="3">
        <f>COUNTIFS(P83:P192, "=2",$B$83:$B$192, "&gt;=2006",$B$83:$B$192, "&lt;=2008")</f>
        <v>0</v>
      </c>
      <c r="R73" s="3">
        <v>26</v>
      </c>
      <c r="S73" s="3">
        <f>COUNTIFS(S83:S192, "=2",$B$83:$B$192, "&gt;=2006",$B$83:$B$192, "&lt;=2008")</f>
        <v>0</v>
      </c>
      <c r="T73" s="31">
        <v>30</v>
      </c>
      <c r="U73" s="3">
        <f>COUNTIFS(U83:U192, "=2",$B$83:$B$192, "&gt;=2006",$B$83:$B$192, "&lt;=2008")</f>
        <v>5</v>
      </c>
      <c r="V73" s="31">
        <v>34</v>
      </c>
      <c r="W73" s="3">
        <f>COUNTIFS(W83:W192, "=2",$B$83:$B$192, "&gt;=2006",$B$83:$B$192, "&lt;=2008")</f>
        <v>0</v>
      </c>
    </row>
    <row r="74" spans="2:23" x14ac:dyDescent="0.2">
      <c r="B74" s="3">
        <v>4</v>
      </c>
      <c r="D74" s="3">
        <v>2</v>
      </c>
      <c r="E74" s="3">
        <f>COUNTIFS(E83:E192, "=2",$B$83:$B$192, "&gt;=2009",$B$83:$B$192, "&lt;=2011")</f>
        <v>3</v>
      </c>
      <c r="F74" s="23">
        <v>6</v>
      </c>
      <c r="G74" s="3">
        <f>COUNTIFS(G83:G192, "=2",$B$83:$B$192, "&gt;=2009",$B$83:$B$192, "&lt;=2011")</f>
        <v>0</v>
      </c>
      <c r="H74" s="3">
        <v>10</v>
      </c>
      <c r="I74" s="3">
        <f>COUNTIFS(I83:I192, "=2",$B$83:$B$192, "&gt;=2009",$B$83:$B$192, "&lt;=2011")</f>
        <v>0</v>
      </c>
      <c r="K74" s="3">
        <v>14</v>
      </c>
      <c r="L74" s="3">
        <f>COUNTIFS(L83:L192, "=2",$B$83:$B$192, "&gt;=2009",$B$83:$B$192, "&lt;=2011")</f>
        <v>0</v>
      </c>
      <c r="M74" s="31">
        <v>18</v>
      </c>
      <c r="N74" s="3">
        <f>COUNTIFS(N83:N192, "=2",$B$83:$B$192, "&gt;=2009",$B$83:$B$192, "&lt;=2011")</f>
        <v>9</v>
      </c>
      <c r="O74" s="31">
        <v>22</v>
      </c>
      <c r="P74" s="3">
        <f>COUNTIFS(P83:P192, "=2",$B$83:$B$192, "&gt;=2009",$B$83:$B$192, "&lt;=2011")</f>
        <v>4</v>
      </c>
      <c r="R74" s="3">
        <v>26</v>
      </c>
      <c r="S74" s="3">
        <f>COUNTIFS(S83:S192, "=2",$B$83:$B$192, "&gt;=2009",$B$83:$B$192, "&lt;=2011")</f>
        <v>0</v>
      </c>
      <c r="T74" s="31">
        <v>30</v>
      </c>
      <c r="U74" s="3">
        <f>COUNTIFS(U83:U192, "=2",$B$83:$B$192, "&gt;=2009",$B$83:$B$192, "&lt;=2011")</f>
        <v>10</v>
      </c>
      <c r="V74" s="31">
        <v>34</v>
      </c>
      <c r="W74" s="3">
        <f>COUNTIFS(W83:W192, "=2",$B$83:$B$192, "&gt;=2009",$B$83:$B$192, "&lt;=2011")</f>
        <v>0</v>
      </c>
    </row>
    <row r="75" spans="2:23" x14ac:dyDescent="0.2">
      <c r="B75" s="3">
        <v>5</v>
      </c>
      <c r="D75" s="3">
        <v>2</v>
      </c>
      <c r="E75" s="3">
        <f>COUNTIFS(E83:E192, "=2",$B$83:$B$192, "&gt;=2012",$B$83:$B$192, "&lt;=2014")</f>
        <v>9</v>
      </c>
      <c r="F75" s="23">
        <v>6</v>
      </c>
      <c r="G75" s="3">
        <f>COUNTIFS(G83:G192, "=2",$B$83:$B$192, "&gt;=2012",$B$83:$B$192, "&lt;=2014")</f>
        <v>4</v>
      </c>
      <c r="H75" s="3">
        <v>10</v>
      </c>
      <c r="I75" s="3">
        <f>COUNTIFS(I83:I192, "=2",$B$83:$B$192, "&gt;=2012",$B$83:$B$192, "&lt;=2014")</f>
        <v>2</v>
      </c>
      <c r="K75" s="3">
        <v>14</v>
      </c>
      <c r="L75" s="3">
        <f>COUNTIFS(L83:L192, "=2",$B$83:$B$192, "&gt;=2012",$B$83:$B$192, "&lt;=2014")</f>
        <v>1</v>
      </c>
      <c r="M75" s="31">
        <v>18</v>
      </c>
      <c r="N75" s="3">
        <f>COUNTIFS(N83:N192, "=2",$B$83:$B$192, "&gt;=2012",$B$83:$B$192, "&lt;=2014")</f>
        <v>14</v>
      </c>
      <c r="O75" s="31">
        <v>22</v>
      </c>
      <c r="P75" s="3">
        <f>COUNTIFS(P83:P192, "=2",$B$83:$B$192, "&gt;=2012",$B$83:$B$192, "&lt;=2014")</f>
        <v>7</v>
      </c>
      <c r="R75" s="3">
        <v>26</v>
      </c>
      <c r="S75" s="3">
        <f>COUNTIFS(S83:S192, "=2",$B$83:$B$192, "&gt;=2012",$B$83:$B$192, "&lt;=2014")</f>
        <v>1</v>
      </c>
      <c r="T75" s="31">
        <v>30</v>
      </c>
      <c r="U75" s="3">
        <f>COUNTIFS(U83:U192, "=2",$B$83:$B$192, "&gt;=2012",$B$83:$B$192, "&lt;=2014")</f>
        <v>16</v>
      </c>
      <c r="V75" s="31">
        <v>34</v>
      </c>
      <c r="W75" s="3">
        <f>COUNTIFS(W83:W192, "=2",$B$83:$B$192, "&gt;=2012",$B$83:$B$192, "&lt;=2014")</f>
        <v>3</v>
      </c>
    </row>
    <row r="76" spans="2:23" x14ac:dyDescent="0.2">
      <c r="B76" s="3">
        <v>6</v>
      </c>
      <c r="D76" s="3">
        <v>2</v>
      </c>
      <c r="E76" s="3">
        <f>COUNTIFS(E83:E192, "=2",$B$83:$B$192, "&gt;=2015",$B$83:$B$192, "&lt;=2017")</f>
        <v>12</v>
      </c>
      <c r="F76" s="23">
        <v>6</v>
      </c>
      <c r="G76" s="3">
        <f>COUNTIFS(G83:G192, "=2",$B$83:$B$192, "&gt;=2015",$B$83:$B$192, "&lt;=2017")</f>
        <v>4</v>
      </c>
      <c r="H76" s="3">
        <v>10</v>
      </c>
      <c r="I76" s="3">
        <f>COUNTIFS(I83:I192, "=2",$B$83:$B$192, "&gt;=2015",$B$83:$B$192, "&lt;=2017")</f>
        <v>3</v>
      </c>
      <c r="K76" s="3">
        <v>14</v>
      </c>
      <c r="L76" s="3">
        <f>COUNTIFS(L83:L192, "=2",$B$83:$B$192, "&gt;=2015",$B$83:$B$192, "&lt;=2017")</f>
        <v>0</v>
      </c>
      <c r="M76" s="31">
        <v>18</v>
      </c>
      <c r="N76" s="3">
        <f>COUNTIFS(N83:N192, "=2",$B$83:$B$192, "&gt;=2015",$B$83:$B$192, "&lt;=2017")</f>
        <v>16</v>
      </c>
      <c r="O76" s="31">
        <v>22</v>
      </c>
      <c r="P76" s="3">
        <f>COUNTIFS(P83:P192, "=2",$B$83:$B$192, "&gt;=2015",$B$83:$B$192, "&lt;=2017")</f>
        <v>4</v>
      </c>
      <c r="R76" s="3">
        <v>26</v>
      </c>
      <c r="S76" s="3">
        <f>COUNTIFS(S83:S192, "=2",$B$83:$B$192, "&gt;=2015",$B$83:$B$192, "&lt;=2017")</f>
        <v>0</v>
      </c>
      <c r="T76" s="31">
        <v>30</v>
      </c>
      <c r="U76" s="3">
        <f>COUNTIFS(U83:U192, "=2",$B$83:$B$192, "&gt;=2015",$B$83:$B$192, "&lt;=2017")</f>
        <v>18</v>
      </c>
      <c r="V76" s="31">
        <v>34</v>
      </c>
      <c r="W76" s="3">
        <f>COUNTIFS(W83:W192, "=2",$B$83:$B$192, "&gt;=2015",$B$83:$B$192, "&lt;=2017")</f>
        <v>0</v>
      </c>
    </row>
    <row r="77" spans="2:23" x14ac:dyDescent="0.2">
      <c r="B77" s="3">
        <v>7</v>
      </c>
      <c r="D77" s="3">
        <v>2</v>
      </c>
      <c r="E77" s="3">
        <f>COUNTIFS(E83:E192, "=2",$B$83:$B$192, "&gt;=2018",$B$83:$B$192, "&lt;=2020")</f>
        <v>13</v>
      </c>
      <c r="F77" s="23">
        <v>6</v>
      </c>
      <c r="G77" s="3">
        <f>COUNTIFS(G83:G192, "=2",$B$83:$B$192, "&gt;=2018",$B$83:$B$192, "&lt;=2020")</f>
        <v>8</v>
      </c>
      <c r="H77" s="3">
        <v>10</v>
      </c>
      <c r="I77" s="3">
        <f>COUNTIFS(I83:I192, "=2",$B$83:$B$192, "&gt;=2018",$B$83:$B$192, "&lt;=2020")</f>
        <v>3</v>
      </c>
      <c r="K77" s="3">
        <v>14</v>
      </c>
      <c r="L77" s="3">
        <f>COUNTIFS(L83:L192, "=2",$B$83:$B$192, "&gt;=2018",$B$83:$B$192, "&lt;=2020")</f>
        <v>1</v>
      </c>
      <c r="M77" s="31">
        <v>18</v>
      </c>
      <c r="N77" s="3">
        <f>COUNTIFS(N83:N192, "=2",$B$83:$B$192, "&gt;=2018",$B$83:$B$192, "&lt;=2020")</f>
        <v>17</v>
      </c>
      <c r="O77" s="31">
        <v>22</v>
      </c>
      <c r="P77" s="3">
        <f>COUNTIFS(P83:P192, "=2",$B$83:$B$192, "&gt;=2018",$B$83:$B$192, "&lt;=2020")</f>
        <v>9</v>
      </c>
      <c r="R77" s="3">
        <v>26</v>
      </c>
      <c r="S77" s="3">
        <f>COUNTIFS(S83:S192, "=2",$B$83:$B$192, "&gt;=2018",$B$83:$B$192, "&lt;=2020")</f>
        <v>0</v>
      </c>
      <c r="T77" s="31">
        <v>30</v>
      </c>
      <c r="U77" s="3">
        <f>COUNTIFS(U83:U192, "=2",$B$83:$B$192, "&gt;=2018",$B$83:$B$192, "&lt;=2020")</f>
        <v>19</v>
      </c>
      <c r="V77" s="31">
        <v>34</v>
      </c>
      <c r="W77" s="3">
        <f>COUNTIFS(W83:W192, "=2",$B$83:$B$192, "&gt;=2018",$B$83:$B$192, "&lt;=2020")</f>
        <v>0</v>
      </c>
    </row>
    <row r="78" spans="2:23" x14ac:dyDescent="0.2">
      <c r="B78" s="3">
        <v>8</v>
      </c>
      <c r="D78" s="3">
        <v>2</v>
      </c>
      <c r="E78" s="3">
        <f>COUNTIFS(E83:E192, "=2",$B$83:$B$192, "&gt;=2021",$B$83:$B$192, "&lt;=2023")</f>
        <v>8</v>
      </c>
      <c r="F78" s="23">
        <v>6</v>
      </c>
      <c r="G78" s="3">
        <f>COUNTIFS(G83:G192, "=2",$B$83:$B$192, "&gt;=2021",$B$83:$B$192, "&lt;=2023")</f>
        <v>6</v>
      </c>
      <c r="H78" s="3">
        <v>10</v>
      </c>
      <c r="I78" s="3">
        <f>COUNTIFS(I83:I192, "=2",$B$83:$B$192, "&gt;=2021",$B$83:$B$192, "&lt;=2023")</f>
        <v>3</v>
      </c>
      <c r="K78" s="3">
        <v>14</v>
      </c>
      <c r="L78" s="3">
        <f>COUNTIFS(L83:L192, "=2",$B$83:$B$192, "&gt;=2021",$B$83:$B$192, "&lt;=2023")</f>
        <v>0</v>
      </c>
      <c r="M78" s="31">
        <v>18</v>
      </c>
      <c r="N78" s="3">
        <f>COUNTIFS(N83:N192, "=2",$B$83:$B$192, "&gt;=2021",$B$83:$B$192, "&lt;=2023")</f>
        <v>19</v>
      </c>
      <c r="O78" s="31">
        <v>22</v>
      </c>
      <c r="P78" s="3">
        <f>COUNTIFS(P83:P192, "=2",$B$83:$B$192, "&gt;=2021",$B$83:$B$192, "&lt;=2023")</f>
        <v>8</v>
      </c>
      <c r="R78" s="3">
        <v>26</v>
      </c>
      <c r="S78" s="3">
        <f>COUNTIFS(S83:S192, "=2",$B$83:$B$192, "&gt;=2021",$B$83:$B$192, "&lt;=2023")</f>
        <v>0</v>
      </c>
      <c r="T78" s="31">
        <v>30</v>
      </c>
      <c r="U78" s="3">
        <f>COUNTIFS(U83:U192, "=2",$B$83:$B$192, "&gt;=2021",$B$83:$B$192, "&lt;=2023")</f>
        <v>21</v>
      </c>
      <c r="V78" s="31">
        <v>34</v>
      </c>
      <c r="W78" s="3">
        <f>COUNTIFS(W83:W192, "=2",$B$83:$B$192, "&gt;=2021",$B$83:$B$192, "&lt;=2023")</f>
        <v>0</v>
      </c>
    </row>
    <row r="79" spans="2:23" ht="20" x14ac:dyDescent="0.2">
      <c r="B79" s="19" t="s">
        <v>30</v>
      </c>
      <c r="D79" s="21"/>
      <c r="E79" s="21">
        <f>SUM(E52:E78)</f>
        <v>100</v>
      </c>
      <c r="F79" s="21"/>
      <c r="G79" s="4">
        <f>SUM(G52:G78)</f>
        <v>100</v>
      </c>
      <c r="H79" s="4"/>
      <c r="I79" s="4">
        <f>SUM(I52:I78)</f>
        <v>100</v>
      </c>
      <c r="K79" s="4"/>
      <c r="L79" s="4">
        <f>SUM(L52:L78)</f>
        <v>100</v>
      </c>
      <c r="M79" s="29"/>
      <c r="N79" s="29">
        <f>SUM(N52:N78)</f>
        <v>100</v>
      </c>
      <c r="O79" s="29"/>
      <c r="P79" s="4">
        <f>SUM(P52:P78)</f>
        <v>100</v>
      </c>
      <c r="R79" s="4"/>
      <c r="S79" s="4">
        <f>SUM(S52:S78)</f>
        <v>100</v>
      </c>
      <c r="T79" s="29"/>
      <c r="U79" s="29">
        <f>SUM(U52:U78)</f>
        <v>100</v>
      </c>
      <c r="V79" s="29"/>
      <c r="W79" s="4">
        <f>SUM(W52:W78)</f>
        <v>100</v>
      </c>
    </row>
    <row r="81" spans="1:23" ht="40" x14ac:dyDescent="0.2">
      <c r="A81" s="10" t="s">
        <v>181</v>
      </c>
      <c r="B81" s="10" t="s">
        <v>28</v>
      </c>
      <c r="C81" s="10" t="s">
        <v>31</v>
      </c>
      <c r="E81" s="24" t="s">
        <v>133</v>
      </c>
      <c r="F81" s="24"/>
      <c r="G81" s="6" t="s">
        <v>134</v>
      </c>
      <c r="H81" s="6"/>
      <c r="I81" s="6" t="s">
        <v>135</v>
      </c>
      <c r="J81" s="12"/>
      <c r="K81" s="6"/>
      <c r="L81" s="32" t="s">
        <v>29</v>
      </c>
      <c r="M81" s="32"/>
      <c r="N81" s="6" t="s">
        <v>136</v>
      </c>
      <c r="O81" s="32"/>
      <c r="P81" s="6" t="s">
        <v>137</v>
      </c>
      <c r="R81" s="6"/>
      <c r="S81" s="32" t="s">
        <v>138</v>
      </c>
      <c r="T81" s="32"/>
      <c r="U81" s="6" t="s">
        <v>49</v>
      </c>
      <c r="V81" s="32"/>
      <c r="W81" s="6" t="s">
        <v>50</v>
      </c>
    </row>
    <row r="82" spans="1:23" s="59" customFormat="1" ht="34" x14ac:dyDescent="0.2">
      <c r="B82" s="59">
        <v>2009</v>
      </c>
      <c r="C82" s="80">
        <f>(2024-B82)/9</f>
        <v>1.6666666666666667</v>
      </c>
      <c r="D82" s="60" t="s">
        <v>106</v>
      </c>
      <c r="G82" s="61"/>
      <c r="H82" s="61"/>
      <c r="I82" s="61"/>
      <c r="J82" s="61"/>
      <c r="K82" s="61"/>
      <c r="L82" s="61"/>
    </row>
    <row r="83" spans="1:23" ht="40" x14ac:dyDescent="0.2">
      <c r="A83" s="3" t="s">
        <v>107</v>
      </c>
      <c r="B83" s="7">
        <v>2009</v>
      </c>
      <c r="C83" s="7" t="s">
        <v>17</v>
      </c>
      <c r="D83" s="58" t="s">
        <v>182</v>
      </c>
      <c r="E83" s="7">
        <v>2</v>
      </c>
      <c r="F83" s="25"/>
      <c r="G83" s="7">
        <v>0</v>
      </c>
      <c r="H83" s="7"/>
      <c r="I83" s="7">
        <v>1</v>
      </c>
      <c r="J83" s="13"/>
      <c r="K83" s="7"/>
      <c r="L83" s="7">
        <v>1</v>
      </c>
      <c r="M83" s="33"/>
      <c r="N83" s="7">
        <v>2</v>
      </c>
      <c r="O83" s="33"/>
      <c r="P83" s="7">
        <v>0</v>
      </c>
      <c r="R83" s="7"/>
      <c r="S83" s="7">
        <v>0</v>
      </c>
      <c r="T83" s="33"/>
      <c r="U83" s="7">
        <v>2</v>
      </c>
      <c r="V83" s="33"/>
      <c r="W83" s="7">
        <v>0</v>
      </c>
    </row>
    <row r="84" spans="1:23" ht="40" x14ac:dyDescent="0.2">
      <c r="A84" s="3" t="s">
        <v>146</v>
      </c>
      <c r="B84" s="7">
        <v>2014</v>
      </c>
      <c r="C84" s="7" t="s">
        <v>17</v>
      </c>
      <c r="D84" s="58" t="s">
        <v>183</v>
      </c>
      <c r="E84" s="7">
        <v>2</v>
      </c>
      <c r="F84" s="25"/>
      <c r="G84" s="7">
        <v>1</v>
      </c>
      <c r="H84" s="7"/>
      <c r="I84" s="7">
        <v>1</v>
      </c>
      <c r="J84" s="13"/>
      <c r="K84" s="7"/>
      <c r="L84" s="7">
        <v>1</v>
      </c>
      <c r="M84" s="33"/>
      <c r="N84" s="7">
        <v>2</v>
      </c>
      <c r="O84" s="33"/>
      <c r="P84" s="7">
        <v>0</v>
      </c>
      <c r="R84" s="7"/>
      <c r="S84" s="7">
        <v>0</v>
      </c>
      <c r="T84" s="33"/>
      <c r="U84" s="7">
        <v>2</v>
      </c>
      <c r="V84" s="33"/>
      <c r="W84" s="7">
        <v>0</v>
      </c>
    </row>
    <row r="85" spans="1:23" ht="40" x14ac:dyDescent="0.2">
      <c r="A85" s="3" t="s">
        <v>184</v>
      </c>
      <c r="B85" s="7">
        <v>2015</v>
      </c>
      <c r="C85" s="7" t="s">
        <v>17</v>
      </c>
      <c r="D85" s="58" t="s">
        <v>185</v>
      </c>
      <c r="E85" s="7">
        <v>2</v>
      </c>
      <c r="F85" s="25"/>
      <c r="G85" s="7">
        <v>0</v>
      </c>
      <c r="H85" s="7"/>
      <c r="I85" s="7">
        <v>1</v>
      </c>
      <c r="J85" s="13"/>
      <c r="K85" s="7"/>
      <c r="L85" s="7">
        <v>1</v>
      </c>
      <c r="M85" s="33"/>
      <c r="N85" s="7">
        <v>2</v>
      </c>
      <c r="O85" s="33"/>
      <c r="P85" s="7">
        <v>0</v>
      </c>
      <c r="R85" s="7"/>
      <c r="S85" s="7">
        <v>0</v>
      </c>
      <c r="T85" s="33"/>
      <c r="U85" s="7">
        <v>2</v>
      </c>
      <c r="V85" s="33"/>
      <c r="W85" s="7">
        <v>0</v>
      </c>
    </row>
    <row r="86" spans="1:23" ht="34" x14ac:dyDescent="0.2">
      <c r="A86" s="3" t="s">
        <v>147</v>
      </c>
      <c r="B86" s="7">
        <v>2017</v>
      </c>
      <c r="C86" s="7" t="s">
        <v>17</v>
      </c>
      <c r="D86" s="58" t="s">
        <v>297</v>
      </c>
      <c r="E86" s="7">
        <v>2</v>
      </c>
      <c r="F86" s="25"/>
      <c r="G86" s="7">
        <v>1</v>
      </c>
      <c r="H86" s="7"/>
      <c r="I86" s="7">
        <v>1</v>
      </c>
      <c r="J86" s="13"/>
      <c r="K86" s="7"/>
      <c r="L86" s="7">
        <v>1</v>
      </c>
      <c r="M86" s="33"/>
      <c r="N86" s="7">
        <v>2</v>
      </c>
      <c r="O86" s="33"/>
      <c r="P86" s="7">
        <v>0</v>
      </c>
      <c r="R86" s="7"/>
      <c r="S86" s="7">
        <v>0</v>
      </c>
      <c r="T86" s="33"/>
      <c r="U86" s="7">
        <v>2</v>
      </c>
      <c r="V86" s="33"/>
      <c r="W86" s="7">
        <v>0</v>
      </c>
    </row>
    <row r="87" spans="1:23" ht="34" x14ac:dyDescent="0.2">
      <c r="A87" s="3" t="s">
        <v>186</v>
      </c>
      <c r="B87" s="7">
        <v>2019</v>
      </c>
      <c r="C87" s="7" t="s">
        <v>17</v>
      </c>
      <c r="D87" s="58" t="s">
        <v>187</v>
      </c>
      <c r="E87" s="7">
        <v>2</v>
      </c>
      <c r="F87" s="25"/>
      <c r="G87" s="7">
        <v>0</v>
      </c>
      <c r="H87" s="7"/>
      <c r="I87" s="7">
        <v>1</v>
      </c>
      <c r="J87" s="13"/>
      <c r="K87" s="7"/>
      <c r="L87" s="7">
        <v>1</v>
      </c>
      <c r="M87" s="33"/>
      <c r="N87" s="7">
        <v>2</v>
      </c>
      <c r="O87" s="33"/>
      <c r="P87" s="7">
        <v>2</v>
      </c>
      <c r="R87" s="7"/>
      <c r="S87" s="7">
        <v>0</v>
      </c>
      <c r="T87" s="33"/>
      <c r="U87" s="7">
        <v>2</v>
      </c>
      <c r="V87" s="33"/>
      <c r="W87" s="7">
        <v>0</v>
      </c>
    </row>
    <row r="88" spans="1:23" ht="34" x14ac:dyDescent="0.2">
      <c r="A88" s="3" t="s">
        <v>148</v>
      </c>
      <c r="B88" s="7">
        <v>2020</v>
      </c>
      <c r="C88" s="7" t="s">
        <v>17</v>
      </c>
      <c r="D88" s="58" t="s">
        <v>188</v>
      </c>
      <c r="E88" s="7">
        <v>2</v>
      </c>
      <c r="F88" s="25"/>
      <c r="G88" s="7">
        <v>0</v>
      </c>
      <c r="H88" s="7"/>
      <c r="I88" s="7">
        <v>1</v>
      </c>
      <c r="J88" s="13"/>
      <c r="K88" s="7"/>
      <c r="L88" s="7">
        <v>1</v>
      </c>
      <c r="M88" s="33"/>
      <c r="N88" s="7">
        <v>2</v>
      </c>
      <c r="O88" s="33"/>
      <c r="P88" s="7">
        <v>2</v>
      </c>
      <c r="R88" s="7"/>
      <c r="S88" s="7">
        <v>0</v>
      </c>
      <c r="T88" s="33"/>
      <c r="U88" s="7">
        <v>2</v>
      </c>
      <c r="V88" s="33"/>
      <c r="W88" s="7">
        <v>0</v>
      </c>
    </row>
    <row r="89" spans="1:23" ht="34" x14ac:dyDescent="0.2">
      <c r="A89" s="3" t="s">
        <v>190</v>
      </c>
      <c r="B89" s="7">
        <v>2021</v>
      </c>
      <c r="C89" s="7" t="s">
        <v>17</v>
      </c>
      <c r="D89" s="58" t="s">
        <v>191</v>
      </c>
      <c r="E89" s="7">
        <v>1</v>
      </c>
      <c r="F89" s="25"/>
      <c r="G89" s="7">
        <v>2</v>
      </c>
      <c r="H89" s="7"/>
      <c r="I89" s="7">
        <v>1</v>
      </c>
      <c r="J89" s="13"/>
      <c r="K89" s="7"/>
      <c r="L89" s="7">
        <v>1</v>
      </c>
      <c r="M89" s="33"/>
      <c r="N89" s="7">
        <v>2</v>
      </c>
      <c r="O89" s="33"/>
      <c r="P89" s="7">
        <v>0</v>
      </c>
      <c r="R89" s="7"/>
      <c r="S89" s="7">
        <v>0</v>
      </c>
      <c r="T89" s="33"/>
      <c r="U89" s="7">
        <v>2</v>
      </c>
      <c r="V89" s="33"/>
      <c r="W89" s="7">
        <v>0</v>
      </c>
    </row>
    <row r="90" spans="1:23" ht="34" x14ac:dyDescent="0.2">
      <c r="A90" s="3" t="s">
        <v>149</v>
      </c>
      <c r="B90" s="7">
        <v>2022</v>
      </c>
      <c r="C90" s="7" t="s">
        <v>17</v>
      </c>
      <c r="D90" s="58" t="s">
        <v>189</v>
      </c>
      <c r="E90" s="7">
        <v>2</v>
      </c>
      <c r="F90" s="25"/>
      <c r="G90" s="7">
        <v>0</v>
      </c>
      <c r="H90" s="7"/>
      <c r="I90" s="7">
        <v>1</v>
      </c>
      <c r="J90" s="13"/>
      <c r="K90" s="7"/>
      <c r="L90" s="7">
        <v>1</v>
      </c>
      <c r="M90" s="33"/>
      <c r="N90" s="7">
        <v>2</v>
      </c>
      <c r="O90" s="33"/>
      <c r="P90" s="7">
        <v>0</v>
      </c>
      <c r="R90" s="7"/>
      <c r="S90" s="7">
        <v>0</v>
      </c>
      <c r="T90" s="33"/>
      <c r="U90" s="7">
        <v>2</v>
      </c>
      <c r="V90" s="33"/>
      <c r="W90" s="7">
        <v>0</v>
      </c>
    </row>
    <row r="91" spans="1:23" ht="34" x14ac:dyDescent="0.2">
      <c r="A91" s="3" t="s">
        <v>150</v>
      </c>
      <c r="B91" s="7">
        <v>2023</v>
      </c>
      <c r="C91" s="7" t="s">
        <v>17</v>
      </c>
      <c r="D91" s="58" t="s">
        <v>192</v>
      </c>
      <c r="E91" s="7">
        <v>1</v>
      </c>
      <c r="F91" s="25"/>
      <c r="G91" s="7">
        <v>0</v>
      </c>
      <c r="H91" s="7"/>
      <c r="I91" s="7">
        <v>1</v>
      </c>
      <c r="J91" s="13"/>
      <c r="K91" s="7"/>
      <c r="L91" s="7">
        <v>1</v>
      </c>
      <c r="M91" s="33"/>
      <c r="N91" s="7">
        <v>2</v>
      </c>
      <c r="O91" s="33"/>
      <c r="P91" s="7">
        <v>0</v>
      </c>
      <c r="R91" s="7"/>
      <c r="S91" s="7">
        <v>0</v>
      </c>
      <c r="T91" s="33"/>
      <c r="U91" s="7">
        <v>2</v>
      </c>
      <c r="V91" s="33"/>
      <c r="W91" s="7">
        <v>0</v>
      </c>
    </row>
    <row r="92" spans="1:23" s="59" customFormat="1" ht="34" x14ac:dyDescent="0.2">
      <c r="B92" s="59">
        <v>2004</v>
      </c>
      <c r="C92" s="80">
        <f>(2024-B92)/9</f>
        <v>2.2222222222222223</v>
      </c>
      <c r="D92" s="60" t="s">
        <v>108</v>
      </c>
      <c r="E92" s="24" t="s">
        <v>133</v>
      </c>
      <c r="F92" s="24"/>
      <c r="G92" s="6" t="s">
        <v>134</v>
      </c>
      <c r="H92" s="6"/>
      <c r="I92" s="6" t="s">
        <v>135</v>
      </c>
      <c r="J92" s="12"/>
      <c r="K92" s="6"/>
      <c r="L92" s="32" t="s">
        <v>29</v>
      </c>
      <c r="M92" s="32"/>
      <c r="N92" s="6" t="s">
        <v>136</v>
      </c>
      <c r="O92" s="32"/>
      <c r="P92" s="6" t="s">
        <v>137</v>
      </c>
      <c r="Q92" s="1"/>
      <c r="R92" s="6"/>
      <c r="S92" s="32" t="s">
        <v>138</v>
      </c>
      <c r="T92" s="32"/>
      <c r="U92" s="6" t="s">
        <v>49</v>
      </c>
      <c r="V92" s="32"/>
      <c r="W92" s="6" t="s">
        <v>50</v>
      </c>
    </row>
    <row r="93" spans="1:23" ht="34" x14ac:dyDescent="0.2">
      <c r="A93" s="4" t="s">
        <v>109</v>
      </c>
      <c r="B93" s="8">
        <v>2010</v>
      </c>
      <c r="C93" s="8" t="s">
        <v>19</v>
      </c>
      <c r="D93" s="58" t="s">
        <v>193</v>
      </c>
      <c r="E93" s="8">
        <v>1</v>
      </c>
      <c r="F93" s="26"/>
      <c r="G93" s="8">
        <v>1</v>
      </c>
      <c r="H93" s="8"/>
      <c r="I93" s="8">
        <v>1</v>
      </c>
      <c r="J93" s="13"/>
      <c r="K93" s="8"/>
      <c r="L93" s="8">
        <v>0</v>
      </c>
      <c r="M93" s="34"/>
      <c r="N93" s="8">
        <v>2</v>
      </c>
      <c r="O93" s="34"/>
      <c r="P93" s="8">
        <v>1</v>
      </c>
      <c r="R93" s="8"/>
      <c r="S93" s="8">
        <v>0</v>
      </c>
      <c r="T93" s="34"/>
      <c r="U93" s="8">
        <v>2</v>
      </c>
      <c r="V93" s="34"/>
      <c r="W93" s="8">
        <v>0</v>
      </c>
    </row>
    <row r="94" spans="1:23" ht="34" x14ac:dyDescent="0.2">
      <c r="A94" s="4" t="s">
        <v>195</v>
      </c>
      <c r="B94" s="8">
        <v>2013</v>
      </c>
      <c r="C94" s="8" t="s">
        <v>19</v>
      </c>
      <c r="D94" s="58" t="s">
        <v>194</v>
      </c>
      <c r="E94" s="8">
        <v>2</v>
      </c>
      <c r="F94" s="26"/>
      <c r="G94" s="8">
        <v>1</v>
      </c>
      <c r="H94" s="8"/>
      <c r="I94" s="8">
        <v>0</v>
      </c>
      <c r="J94" s="13"/>
      <c r="K94" s="8"/>
      <c r="L94" s="8">
        <v>1</v>
      </c>
      <c r="M94" s="34"/>
      <c r="N94" s="8">
        <v>2</v>
      </c>
      <c r="O94" s="34"/>
      <c r="P94" s="8">
        <v>0</v>
      </c>
      <c r="R94" s="8"/>
      <c r="S94" s="8">
        <v>0</v>
      </c>
      <c r="T94" s="34"/>
      <c r="U94" s="8">
        <v>2</v>
      </c>
      <c r="V94" s="34"/>
      <c r="W94" s="8">
        <v>0</v>
      </c>
    </row>
    <row r="95" spans="1:23" ht="34" x14ac:dyDescent="0.2">
      <c r="A95" s="4" t="s">
        <v>196</v>
      </c>
      <c r="B95" s="8">
        <v>2014</v>
      </c>
      <c r="C95" s="8" t="s">
        <v>19</v>
      </c>
      <c r="D95" s="58" t="s">
        <v>197</v>
      </c>
      <c r="E95" s="8">
        <v>2</v>
      </c>
      <c r="F95" s="26"/>
      <c r="G95" s="8">
        <v>1</v>
      </c>
      <c r="H95" s="8"/>
      <c r="I95" s="8">
        <v>1</v>
      </c>
      <c r="J95" s="13"/>
      <c r="K95" s="8"/>
      <c r="L95" s="8">
        <v>0</v>
      </c>
      <c r="M95" s="34"/>
      <c r="N95" s="8">
        <v>2</v>
      </c>
      <c r="O95" s="34"/>
      <c r="P95" s="8">
        <v>0</v>
      </c>
      <c r="R95" s="8"/>
      <c r="S95" s="8">
        <v>0</v>
      </c>
      <c r="T95" s="34"/>
      <c r="U95" s="8">
        <v>2</v>
      </c>
      <c r="V95" s="34"/>
      <c r="W95" s="8">
        <v>0</v>
      </c>
    </row>
    <row r="96" spans="1:23" ht="34" x14ac:dyDescent="0.2">
      <c r="A96" s="4" t="s">
        <v>299</v>
      </c>
      <c r="B96" s="8">
        <v>2015</v>
      </c>
      <c r="C96" s="8" t="s">
        <v>19</v>
      </c>
      <c r="D96" s="58" t="s">
        <v>298</v>
      </c>
      <c r="E96" s="8">
        <v>2</v>
      </c>
      <c r="F96" s="26"/>
      <c r="G96" s="8">
        <v>1</v>
      </c>
      <c r="H96" s="8"/>
      <c r="I96" s="8">
        <v>1</v>
      </c>
      <c r="J96" s="13"/>
      <c r="K96" s="8"/>
      <c r="L96" s="8">
        <v>1</v>
      </c>
      <c r="M96" s="34"/>
      <c r="N96" s="8">
        <v>2</v>
      </c>
      <c r="O96" s="34"/>
      <c r="P96" s="8">
        <v>2</v>
      </c>
      <c r="R96" s="8"/>
      <c r="S96" s="8">
        <v>0</v>
      </c>
      <c r="T96" s="34"/>
      <c r="U96" s="8">
        <v>2</v>
      </c>
      <c r="V96" s="34"/>
      <c r="W96" s="8">
        <v>0</v>
      </c>
    </row>
    <row r="97" spans="1:23" ht="34" x14ac:dyDescent="0.2">
      <c r="A97" s="4" t="s">
        <v>301</v>
      </c>
      <c r="B97" s="8">
        <v>2016</v>
      </c>
      <c r="C97" s="8" t="s">
        <v>19</v>
      </c>
      <c r="D97" s="58" t="s">
        <v>300</v>
      </c>
      <c r="E97" s="8">
        <v>1</v>
      </c>
      <c r="F97" s="26"/>
      <c r="G97" s="8">
        <v>2</v>
      </c>
      <c r="H97" s="8"/>
      <c r="I97" s="8">
        <v>1</v>
      </c>
      <c r="J97" s="13"/>
      <c r="K97" s="8"/>
      <c r="L97" s="8">
        <v>1</v>
      </c>
      <c r="M97" s="34"/>
      <c r="N97" s="8">
        <v>2</v>
      </c>
      <c r="O97" s="34"/>
      <c r="P97" s="8">
        <v>0</v>
      </c>
      <c r="R97" s="8"/>
      <c r="S97" s="8">
        <v>0</v>
      </c>
      <c r="T97" s="34"/>
      <c r="U97" s="8">
        <v>2</v>
      </c>
      <c r="V97" s="34"/>
      <c r="W97" s="8">
        <v>0</v>
      </c>
    </row>
    <row r="98" spans="1:23" ht="34" x14ac:dyDescent="0.2">
      <c r="A98" s="4" t="s">
        <v>198</v>
      </c>
      <c r="B98" s="8">
        <v>2017</v>
      </c>
      <c r="C98" s="8" t="s">
        <v>19</v>
      </c>
      <c r="D98" s="58" t="s">
        <v>199</v>
      </c>
      <c r="E98" s="8">
        <v>2</v>
      </c>
      <c r="F98" s="26"/>
      <c r="G98" s="8">
        <v>1</v>
      </c>
      <c r="H98" s="8"/>
      <c r="I98" s="8">
        <v>1</v>
      </c>
      <c r="J98" s="13"/>
      <c r="K98" s="8"/>
      <c r="L98" s="8">
        <v>1</v>
      </c>
      <c r="M98" s="34"/>
      <c r="N98" s="8">
        <v>2</v>
      </c>
      <c r="O98" s="34"/>
      <c r="P98" s="8">
        <v>0</v>
      </c>
      <c r="R98" s="8"/>
      <c r="S98" s="8">
        <v>0</v>
      </c>
      <c r="T98" s="34"/>
      <c r="U98" s="8">
        <v>2</v>
      </c>
      <c r="V98" s="34"/>
      <c r="W98" s="8">
        <v>0</v>
      </c>
    </row>
    <row r="99" spans="1:23" ht="34" x14ac:dyDescent="0.2">
      <c r="A99" s="4" t="s">
        <v>303</v>
      </c>
      <c r="B99" s="8">
        <v>2019</v>
      </c>
      <c r="C99" s="8" t="s">
        <v>19</v>
      </c>
      <c r="D99" s="58" t="s">
        <v>302</v>
      </c>
      <c r="E99" s="8">
        <v>2</v>
      </c>
      <c r="F99" s="26"/>
      <c r="G99" s="8">
        <v>0</v>
      </c>
      <c r="H99" s="8"/>
      <c r="I99" s="8">
        <v>1</v>
      </c>
      <c r="J99" s="13"/>
      <c r="K99" s="8"/>
      <c r="L99" s="8">
        <v>1</v>
      </c>
      <c r="M99" s="34"/>
      <c r="N99" s="8">
        <v>2</v>
      </c>
      <c r="O99" s="34"/>
      <c r="P99" s="8">
        <v>0</v>
      </c>
      <c r="R99" s="8"/>
      <c r="S99" s="8">
        <v>0</v>
      </c>
      <c r="T99" s="34"/>
      <c r="U99" s="8">
        <v>2</v>
      </c>
      <c r="V99" s="34"/>
      <c r="W99" s="8">
        <v>0</v>
      </c>
    </row>
    <row r="100" spans="1:23" ht="34" x14ac:dyDescent="0.2">
      <c r="A100" s="4" t="s">
        <v>200</v>
      </c>
      <c r="B100" s="8">
        <v>2021</v>
      </c>
      <c r="C100" s="8" t="s">
        <v>19</v>
      </c>
      <c r="D100" s="58" t="s">
        <v>201</v>
      </c>
      <c r="E100" s="8">
        <v>2</v>
      </c>
      <c r="F100" s="26"/>
      <c r="G100" s="8">
        <v>1</v>
      </c>
      <c r="H100" s="8"/>
      <c r="I100" s="8">
        <v>1</v>
      </c>
      <c r="J100" s="13"/>
      <c r="K100" s="8"/>
      <c r="L100" s="8">
        <v>1</v>
      </c>
      <c r="M100" s="34"/>
      <c r="N100" s="8">
        <v>2</v>
      </c>
      <c r="O100" s="34"/>
      <c r="P100" s="8">
        <v>0</v>
      </c>
      <c r="R100" s="8"/>
      <c r="S100" s="8">
        <v>0</v>
      </c>
      <c r="T100" s="34"/>
      <c r="U100" s="8">
        <v>2</v>
      </c>
      <c r="V100" s="34"/>
      <c r="W100" s="8">
        <v>0</v>
      </c>
    </row>
    <row r="101" spans="1:23" ht="40" x14ac:dyDescent="0.2">
      <c r="A101" s="4" t="s">
        <v>202</v>
      </c>
      <c r="B101" s="8">
        <v>2023</v>
      </c>
      <c r="C101" s="8" t="s">
        <v>19</v>
      </c>
      <c r="D101" s="58" t="s">
        <v>203</v>
      </c>
      <c r="E101" s="8">
        <v>2</v>
      </c>
      <c r="F101" s="26"/>
      <c r="G101" s="8">
        <v>1</v>
      </c>
      <c r="H101" s="8"/>
      <c r="I101" s="8">
        <v>1</v>
      </c>
      <c r="J101" s="13"/>
      <c r="K101" s="8"/>
      <c r="L101" s="8">
        <v>1</v>
      </c>
      <c r="M101" s="34"/>
      <c r="N101" s="8">
        <v>2</v>
      </c>
      <c r="O101" s="34"/>
      <c r="P101" s="8">
        <v>0</v>
      </c>
      <c r="R101" s="8"/>
      <c r="S101" s="8">
        <v>0</v>
      </c>
      <c r="T101" s="34"/>
      <c r="U101" s="8">
        <v>2</v>
      </c>
      <c r="V101" s="34"/>
      <c r="W101" s="8">
        <v>0</v>
      </c>
    </row>
    <row r="102" spans="1:23" s="59" customFormat="1" ht="34" x14ac:dyDescent="0.2">
      <c r="B102" s="59">
        <v>2006</v>
      </c>
      <c r="C102" s="80">
        <f>(2024-B102)/9</f>
        <v>2</v>
      </c>
      <c r="D102" s="60" t="s">
        <v>110</v>
      </c>
      <c r="E102" s="24" t="s">
        <v>133</v>
      </c>
      <c r="F102" s="24"/>
      <c r="G102" s="6" t="s">
        <v>134</v>
      </c>
      <c r="H102" s="6"/>
      <c r="I102" s="6" t="s">
        <v>135</v>
      </c>
      <c r="J102" s="12"/>
      <c r="K102" s="6"/>
      <c r="L102" s="32" t="s">
        <v>29</v>
      </c>
      <c r="M102" s="32"/>
      <c r="N102" s="6" t="s">
        <v>136</v>
      </c>
      <c r="O102" s="32"/>
      <c r="P102" s="6" t="s">
        <v>137</v>
      </c>
      <c r="Q102" s="1"/>
      <c r="R102" s="6"/>
      <c r="S102" s="32" t="s">
        <v>138</v>
      </c>
      <c r="T102" s="32"/>
      <c r="U102" s="6" t="s">
        <v>49</v>
      </c>
      <c r="V102" s="32"/>
      <c r="W102" s="6" t="s">
        <v>50</v>
      </c>
    </row>
    <row r="103" spans="1:23" ht="34" x14ac:dyDescent="0.2">
      <c r="A103" s="5" t="s">
        <v>111</v>
      </c>
      <c r="B103" s="9">
        <v>2006</v>
      </c>
      <c r="C103" s="9" t="s">
        <v>20</v>
      </c>
      <c r="D103" s="58" t="s">
        <v>204</v>
      </c>
      <c r="E103" s="9">
        <v>0</v>
      </c>
      <c r="F103" s="27"/>
      <c r="G103" s="9">
        <v>0</v>
      </c>
      <c r="H103" s="9"/>
      <c r="I103" s="9">
        <v>1</v>
      </c>
      <c r="J103" s="13"/>
      <c r="K103" s="9"/>
      <c r="L103" s="9">
        <v>1</v>
      </c>
      <c r="M103" s="35"/>
      <c r="N103" s="9">
        <v>2</v>
      </c>
      <c r="O103" s="35"/>
      <c r="P103" s="9">
        <v>1</v>
      </c>
      <c r="R103" s="9"/>
      <c r="S103" s="9">
        <v>0</v>
      </c>
      <c r="T103" s="35"/>
      <c r="U103" s="9">
        <v>2</v>
      </c>
      <c r="V103" s="35"/>
      <c r="W103" s="9">
        <v>0</v>
      </c>
    </row>
    <row r="104" spans="1:23" ht="34" x14ac:dyDescent="0.2">
      <c r="A104" s="5" t="s">
        <v>151</v>
      </c>
      <c r="B104" s="9">
        <v>2007</v>
      </c>
      <c r="C104" s="9" t="s">
        <v>20</v>
      </c>
      <c r="D104" s="58" t="s">
        <v>205</v>
      </c>
      <c r="E104" s="9">
        <v>0</v>
      </c>
      <c r="F104" s="27"/>
      <c r="G104" s="9">
        <v>0</v>
      </c>
      <c r="H104" s="9"/>
      <c r="I104" s="9">
        <v>1</v>
      </c>
      <c r="J104" s="13"/>
      <c r="K104" s="9"/>
      <c r="L104" s="9">
        <v>1</v>
      </c>
      <c r="M104" s="35"/>
      <c r="N104" s="9">
        <v>2</v>
      </c>
      <c r="O104" s="35"/>
      <c r="P104" s="9">
        <v>1</v>
      </c>
      <c r="R104" s="9"/>
      <c r="S104" s="9">
        <v>0</v>
      </c>
      <c r="T104" s="35"/>
      <c r="U104" s="9">
        <v>2</v>
      </c>
      <c r="V104" s="35"/>
      <c r="W104" s="9">
        <v>0</v>
      </c>
    </row>
    <row r="105" spans="1:23" ht="40" x14ac:dyDescent="0.2">
      <c r="A105" s="5" t="s">
        <v>152</v>
      </c>
      <c r="B105" s="9">
        <v>2009</v>
      </c>
      <c r="C105" s="9" t="s">
        <v>20</v>
      </c>
      <c r="D105" s="58" t="s">
        <v>206</v>
      </c>
      <c r="E105" s="9">
        <v>0</v>
      </c>
      <c r="F105" s="27"/>
      <c r="G105" s="9">
        <v>0</v>
      </c>
      <c r="H105" s="9"/>
      <c r="I105" s="9">
        <v>1</v>
      </c>
      <c r="J105" s="13"/>
      <c r="K105" s="9"/>
      <c r="L105" s="9">
        <v>1</v>
      </c>
      <c r="M105" s="35"/>
      <c r="N105" s="9">
        <v>2</v>
      </c>
      <c r="O105" s="35"/>
      <c r="P105" s="9">
        <v>1</v>
      </c>
      <c r="R105" s="9"/>
      <c r="S105" s="9">
        <v>0</v>
      </c>
      <c r="T105" s="35"/>
      <c r="U105" s="9">
        <v>2</v>
      </c>
      <c r="V105" s="35"/>
      <c r="W105" s="9">
        <v>0</v>
      </c>
    </row>
    <row r="106" spans="1:23" ht="34" x14ac:dyDescent="0.2">
      <c r="A106" s="5" t="s">
        <v>153</v>
      </c>
      <c r="B106" s="9">
        <v>2011</v>
      </c>
      <c r="C106" s="9" t="s">
        <v>20</v>
      </c>
      <c r="D106" s="58" t="s">
        <v>207</v>
      </c>
      <c r="E106" s="9">
        <v>0</v>
      </c>
      <c r="F106" s="27"/>
      <c r="G106" s="9">
        <v>0</v>
      </c>
      <c r="H106" s="9"/>
      <c r="I106" s="9">
        <v>1</v>
      </c>
      <c r="J106" s="13"/>
      <c r="K106" s="9"/>
      <c r="L106" s="9">
        <v>1</v>
      </c>
      <c r="M106" s="35"/>
      <c r="N106" s="9">
        <v>2</v>
      </c>
      <c r="O106" s="35"/>
      <c r="P106" s="9">
        <v>2</v>
      </c>
      <c r="R106" s="9"/>
      <c r="S106" s="9">
        <v>0</v>
      </c>
      <c r="T106" s="35"/>
      <c r="U106" s="9">
        <v>2</v>
      </c>
      <c r="V106" s="35"/>
      <c r="W106" s="9">
        <v>0</v>
      </c>
    </row>
    <row r="107" spans="1:23" ht="34" x14ac:dyDescent="0.2">
      <c r="A107" s="5" t="s">
        <v>154</v>
      </c>
      <c r="B107" s="9">
        <v>2013</v>
      </c>
      <c r="C107" s="9" t="s">
        <v>20</v>
      </c>
      <c r="D107" s="58" t="s">
        <v>208</v>
      </c>
      <c r="E107" s="9">
        <v>0</v>
      </c>
      <c r="F107" s="27"/>
      <c r="G107" s="9">
        <v>0</v>
      </c>
      <c r="H107" s="9"/>
      <c r="I107" s="9">
        <v>1</v>
      </c>
      <c r="J107" s="13"/>
      <c r="K107" s="9"/>
      <c r="L107" s="9">
        <v>1</v>
      </c>
      <c r="M107" s="35"/>
      <c r="N107" s="9">
        <v>2</v>
      </c>
      <c r="O107" s="35"/>
      <c r="P107" s="9">
        <v>1</v>
      </c>
      <c r="R107" s="9"/>
      <c r="S107" s="9">
        <v>0</v>
      </c>
      <c r="T107" s="35"/>
      <c r="U107" s="9">
        <v>2</v>
      </c>
      <c r="V107" s="35"/>
      <c r="W107" s="9">
        <v>0</v>
      </c>
    </row>
    <row r="108" spans="1:23" ht="34" x14ac:dyDescent="0.2">
      <c r="A108" s="5" t="s">
        <v>210</v>
      </c>
      <c r="B108" s="9">
        <v>2015</v>
      </c>
      <c r="C108" s="9" t="s">
        <v>20</v>
      </c>
      <c r="D108" s="58" t="s">
        <v>209</v>
      </c>
      <c r="E108" s="9">
        <v>0</v>
      </c>
      <c r="F108" s="27"/>
      <c r="G108" s="9">
        <v>0</v>
      </c>
      <c r="H108" s="9"/>
      <c r="I108" s="9">
        <v>1</v>
      </c>
      <c r="J108" s="13"/>
      <c r="K108" s="9"/>
      <c r="L108" s="9">
        <v>1</v>
      </c>
      <c r="M108" s="35"/>
      <c r="N108" s="9">
        <v>2</v>
      </c>
      <c r="O108" s="35"/>
      <c r="P108" s="9">
        <v>0</v>
      </c>
      <c r="R108" s="9"/>
      <c r="S108" s="9">
        <v>0</v>
      </c>
      <c r="T108" s="35"/>
      <c r="U108" s="9">
        <v>2</v>
      </c>
      <c r="V108" s="35"/>
      <c r="W108" s="9">
        <v>0</v>
      </c>
    </row>
    <row r="109" spans="1:23" ht="34" x14ac:dyDescent="0.2">
      <c r="A109" s="5" t="s">
        <v>155</v>
      </c>
      <c r="B109" s="9">
        <v>2019</v>
      </c>
      <c r="C109" s="9" t="s">
        <v>20</v>
      </c>
      <c r="D109" s="58" t="s">
        <v>211</v>
      </c>
      <c r="E109" s="9">
        <v>0</v>
      </c>
      <c r="F109" s="27"/>
      <c r="G109" s="9">
        <v>0</v>
      </c>
      <c r="H109" s="9"/>
      <c r="I109" s="9">
        <v>1</v>
      </c>
      <c r="J109" s="13"/>
      <c r="K109" s="9"/>
      <c r="L109" s="9">
        <v>1</v>
      </c>
      <c r="M109" s="35"/>
      <c r="N109" s="9">
        <v>2</v>
      </c>
      <c r="O109" s="35"/>
      <c r="P109" s="9">
        <v>1</v>
      </c>
      <c r="R109" s="9"/>
      <c r="S109" s="9">
        <v>0</v>
      </c>
      <c r="T109" s="35"/>
      <c r="U109" s="9">
        <v>2</v>
      </c>
      <c r="V109" s="35"/>
      <c r="W109" s="9">
        <v>0</v>
      </c>
    </row>
    <row r="110" spans="1:23" ht="40" x14ac:dyDescent="0.2">
      <c r="A110" s="5" t="s">
        <v>156</v>
      </c>
      <c r="B110" s="9">
        <v>2021</v>
      </c>
      <c r="C110" s="9" t="s">
        <v>20</v>
      </c>
      <c r="D110" s="58" t="s">
        <v>212</v>
      </c>
      <c r="E110" s="9">
        <v>0</v>
      </c>
      <c r="F110" s="27"/>
      <c r="G110" s="9">
        <v>0</v>
      </c>
      <c r="H110" s="9"/>
      <c r="I110" s="9">
        <v>1</v>
      </c>
      <c r="J110" s="13"/>
      <c r="K110" s="9"/>
      <c r="L110" s="9">
        <v>1</v>
      </c>
      <c r="M110" s="35"/>
      <c r="N110" s="9">
        <v>2</v>
      </c>
      <c r="O110" s="35"/>
      <c r="P110" s="9">
        <v>0</v>
      </c>
      <c r="R110" s="9"/>
      <c r="S110" s="9">
        <v>0</v>
      </c>
      <c r="T110" s="35"/>
      <c r="U110" s="9">
        <v>2</v>
      </c>
      <c r="V110" s="35"/>
      <c r="W110" s="9">
        <v>0</v>
      </c>
    </row>
    <row r="111" spans="1:23" ht="34" x14ac:dyDescent="0.2">
      <c r="A111" s="5" t="s">
        <v>157</v>
      </c>
      <c r="B111" s="9">
        <v>2023</v>
      </c>
      <c r="C111" s="9" t="s">
        <v>20</v>
      </c>
      <c r="D111" s="58" t="s">
        <v>213</v>
      </c>
      <c r="E111" s="9">
        <v>0</v>
      </c>
      <c r="F111" s="27"/>
      <c r="G111" s="9">
        <v>0</v>
      </c>
      <c r="H111" s="9"/>
      <c r="I111" s="9">
        <v>1</v>
      </c>
      <c r="J111" s="13"/>
      <c r="K111" s="9"/>
      <c r="L111" s="9">
        <v>1</v>
      </c>
      <c r="M111" s="35"/>
      <c r="N111" s="9">
        <v>2</v>
      </c>
      <c r="O111" s="35"/>
      <c r="P111" s="9">
        <v>1</v>
      </c>
      <c r="R111" s="9"/>
      <c r="S111" s="9">
        <v>0</v>
      </c>
      <c r="T111" s="35"/>
      <c r="U111" s="9">
        <v>2</v>
      </c>
      <c r="V111" s="35"/>
      <c r="W111" s="9">
        <v>0</v>
      </c>
    </row>
    <row r="112" spans="1:23" s="59" customFormat="1" ht="51" x14ac:dyDescent="0.2">
      <c r="B112" s="59">
        <v>2010</v>
      </c>
      <c r="C112" s="80">
        <f>(2024-B112)/9</f>
        <v>1.5555555555555556</v>
      </c>
      <c r="D112" s="60" t="s">
        <v>112</v>
      </c>
      <c r="E112" s="24" t="s">
        <v>133</v>
      </c>
      <c r="F112" s="24"/>
      <c r="G112" s="6" t="s">
        <v>134</v>
      </c>
      <c r="H112" s="6"/>
      <c r="I112" s="6" t="s">
        <v>135</v>
      </c>
      <c r="J112" s="12"/>
      <c r="K112" s="6"/>
      <c r="L112" s="32" t="s">
        <v>29</v>
      </c>
      <c r="M112" s="32"/>
      <c r="N112" s="6" t="s">
        <v>136</v>
      </c>
      <c r="O112" s="32"/>
      <c r="P112" s="6" t="s">
        <v>137</v>
      </c>
      <c r="Q112" s="1"/>
      <c r="R112" s="6"/>
      <c r="S112" s="32" t="s">
        <v>138</v>
      </c>
      <c r="T112" s="32"/>
      <c r="U112" s="6" t="s">
        <v>49</v>
      </c>
      <c r="V112" s="32"/>
      <c r="W112" s="6" t="s">
        <v>50</v>
      </c>
    </row>
    <row r="113" spans="1:23" ht="34" x14ac:dyDescent="0.2">
      <c r="A113" s="3" t="s">
        <v>113</v>
      </c>
      <c r="B113" s="7">
        <v>2010</v>
      </c>
      <c r="C113" s="7" t="s">
        <v>60</v>
      </c>
      <c r="D113" s="58" t="s">
        <v>214</v>
      </c>
      <c r="E113" s="7">
        <v>2</v>
      </c>
      <c r="F113" s="25"/>
      <c r="G113" s="7">
        <v>0</v>
      </c>
      <c r="H113" s="7"/>
      <c r="I113" s="7">
        <v>0</v>
      </c>
      <c r="J113" s="13"/>
      <c r="K113" s="7"/>
      <c r="L113" s="7">
        <v>1</v>
      </c>
      <c r="M113" s="33"/>
      <c r="N113" s="7">
        <v>2</v>
      </c>
      <c r="O113" s="33"/>
      <c r="P113" s="7">
        <v>2</v>
      </c>
      <c r="R113" s="7"/>
      <c r="S113" s="7">
        <v>0</v>
      </c>
      <c r="T113" s="33"/>
      <c r="U113" s="7">
        <v>2</v>
      </c>
      <c r="V113" s="33"/>
      <c r="W113" s="7">
        <v>0</v>
      </c>
    </row>
    <row r="114" spans="1:23" ht="34" x14ac:dyDescent="0.2">
      <c r="A114" s="3" t="s">
        <v>216</v>
      </c>
      <c r="B114" s="7">
        <v>2011</v>
      </c>
      <c r="C114" s="7" t="s">
        <v>60</v>
      </c>
      <c r="D114" s="58" t="s">
        <v>215</v>
      </c>
      <c r="E114" s="7">
        <v>2</v>
      </c>
      <c r="F114" s="25"/>
      <c r="G114" s="7">
        <v>0</v>
      </c>
      <c r="H114" s="7"/>
      <c r="I114" s="7">
        <v>0</v>
      </c>
      <c r="J114" s="13"/>
      <c r="K114" s="7"/>
      <c r="L114" s="7">
        <v>1</v>
      </c>
      <c r="M114" s="33"/>
      <c r="N114" s="7">
        <v>2</v>
      </c>
      <c r="O114" s="33"/>
      <c r="P114" s="7">
        <v>1</v>
      </c>
      <c r="R114" s="7"/>
      <c r="S114" s="7">
        <v>0</v>
      </c>
      <c r="T114" s="33"/>
      <c r="U114" s="7">
        <v>2</v>
      </c>
      <c r="V114" s="33"/>
      <c r="W114" s="7">
        <v>0</v>
      </c>
    </row>
    <row r="115" spans="1:23" ht="40" x14ac:dyDescent="0.2">
      <c r="A115" s="3" t="s">
        <v>158</v>
      </c>
      <c r="B115" s="7">
        <v>2013</v>
      </c>
      <c r="C115" s="7" t="s">
        <v>60</v>
      </c>
      <c r="D115" s="58" t="s">
        <v>217</v>
      </c>
      <c r="E115" s="7">
        <v>2</v>
      </c>
      <c r="F115" s="25"/>
      <c r="G115" s="7">
        <v>0</v>
      </c>
      <c r="H115" s="7"/>
      <c r="I115" s="7">
        <v>0</v>
      </c>
      <c r="J115" s="13"/>
      <c r="K115" s="7"/>
      <c r="L115" s="7">
        <v>1</v>
      </c>
      <c r="M115" s="33"/>
      <c r="N115" s="7">
        <v>2</v>
      </c>
      <c r="O115" s="33"/>
      <c r="P115" s="7">
        <v>2</v>
      </c>
      <c r="R115" s="7"/>
      <c r="S115" s="7">
        <v>0</v>
      </c>
      <c r="T115" s="33"/>
      <c r="U115" s="7">
        <v>2</v>
      </c>
      <c r="V115" s="33"/>
      <c r="W115" s="7">
        <v>1</v>
      </c>
    </row>
    <row r="116" spans="1:23" ht="34" x14ac:dyDescent="0.2">
      <c r="A116" s="3" t="s">
        <v>159</v>
      </c>
      <c r="B116" s="7">
        <v>2015</v>
      </c>
      <c r="C116" s="7" t="s">
        <v>60</v>
      </c>
      <c r="D116" s="58" t="s">
        <v>218</v>
      </c>
      <c r="E116" s="7">
        <v>2</v>
      </c>
      <c r="F116" s="25"/>
      <c r="G116" s="7">
        <v>0</v>
      </c>
      <c r="H116" s="7"/>
      <c r="I116" s="7">
        <v>0</v>
      </c>
      <c r="J116" s="13"/>
      <c r="K116" s="7"/>
      <c r="L116" s="7">
        <v>1</v>
      </c>
      <c r="M116" s="33"/>
      <c r="N116" s="7">
        <v>2</v>
      </c>
      <c r="O116" s="33"/>
      <c r="P116" s="7">
        <v>2</v>
      </c>
      <c r="R116" s="7"/>
      <c r="S116" s="7">
        <v>0</v>
      </c>
      <c r="T116" s="33"/>
      <c r="U116" s="7">
        <v>2</v>
      </c>
      <c r="V116" s="33"/>
      <c r="W116" s="7">
        <v>1</v>
      </c>
    </row>
    <row r="117" spans="1:23" ht="34" x14ac:dyDescent="0.2">
      <c r="A117" s="3" t="s">
        <v>160</v>
      </c>
      <c r="B117" s="7">
        <v>2017</v>
      </c>
      <c r="C117" s="7" t="s">
        <v>60</v>
      </c>
      <c r="D117" s="58" t="s">
        <v>219</v>
      </c>
      <c r="E117" s="7">
        <v>2</v>
      </c>
      <c r="F117" s="25"/>
      <c r="G117" s="7">
        <v>0</v>
      </c>
      <c r="H117" s="7"/>
      <c r="I117" s="7">
        <v>0</v>
      </c>
      <c r="J117" s="13"/>
      <c r="K117" s="7"/>
      <c r="L117" s="7">
        <v>1</v>
      </c>
      <c r="M117" s="33"/>
      <c r="N117" s="7">
        <v>2</v>
      </c>
      <c r="O117" s="33"/>
      <c r="P117" s="7">
        <v>1</v>
      </c>
      <c r="R117" s="7"/>
      <c r="S117" s="7">
        <v>0</v>
      </c>
      <c r="T117" s="33"/>
      <c r="U117" s="7">
        <v>2</v>
      </c>
      <c r="V117" s="33"/>
      <c r="W117" s="7">
        <v>1</v>
      </c>
    </row>
    <row r="118" spans="1:23" ht="34" x14ac:dyDescent="0.2">
      <c r="A118" s="3" t="s">
        <v>220</v>
      </c>
      <c r="B118" s="7">
        <v>2019</v>
      </c>
      <c r="C118" s="7" t="s">
        <v>60</v>
      </c>
      <c r="D118" s="58" t="s">
        <v>221</v>
      </c>
      <c r="E118" s="7">
        <v>2</v>
      </c>
      <c r="F118" s="25"/>
      <c r="G118" s="7">
        <v>0</v>
      </c>
      <c r="H118" s="7"/>
      <c r="I118" s="7">
        <v>0</v>
      </c>
      <c r="J118" s="13"/>
      <c r="K118" s="7"/>
      <c r="L118" s="7">
        <v>1</v>
      </c>
      <c r="M118" s="33"/>
      <c r="N118" s="7">
        <v>2</v>
      </c>
      <c r="O118" s="33"/>
      <c r="P118" s="7">
        <v>1</v>
      </c>
      <c r="R118" s="7"/>
      <c r="S118" s="7">
        <v>0</v>
      </c>
      <c r="T118" s="33"/>
      <c r="U118" s="7">
        <v>2</v>
      </c>
      <c r="V118" s="33"/>
      <c r="W118" s="7">
        <v>1</v>
      </c>
    </row>
    <row r="119" spans="1:23" ht="34" x14ac:dyDescent="0.2">
      <c r="A119" s="3" t="s">
        <v>161</v>
      </c>
      <c r="B119" s="7">
        <v>2020</v>
      </c>
      <c r="C119" s="7" t="s">
        <v>60</v>
      </c>
      <c r="D119" s="58" t="s">
        <v>222</v>
      </c>
      <c r="E119" s="7">
        <v>2</v>
      </c>
      <c r="F119" s="25"/>
      <c r="G119" s="7">
        <v>0</v>
      </c>
      <c r="H119" s="7"/>
      <c r="I119" s="7">
        <v>0</v>
      </c>
      <c r="J119" s="13"/>
      <c r="K119" s="7"/>
      <c r="L119" s="7">
        <v>1</v>
      </c>
      <c r="M119" s="33"/>
      <c r="N119" s="7">
        <v>2</v>
      </c>
      <c r="O119" s="33"/>
      <c r="P119" s="7">
        <v>2</v>
      </c>
      <c r="R119" s="7"/>
      <c r="S119" s="7">
        <v>0</v>
      </c>
      <c r="T119" s="33"/>
      <c r="U119" s="7">
        <v>2</v>
      </c>
      <c r="V119" s="33"/>
      <c r="W119" s="7">
        <v>0</v>
      </c>
    </row>
    <row r="120" spans="1:23" ht="34" x14ac:dyDescent="0.2">
      <c r="A120" s="3" t="s">
        <v>162</v>
      </c>
      <c r="B120" s="7">
        <v>2022</v>
      </c>
      <c r="C120" s="7" t="s">
        <v>60</v>
      </c>
      <c r="D120" s="58" t="s">
        <v>223</v>
      </c>
      <c r="E120" s="7">
        <v>2</v>
      </c>
      <c r="F120" s="25"/>
      <c r="G120" s="7">
        <v>0</v>
      </c>
      <c r="H120" s="7"/>
      <c r="I120" s="7">
        <v>0</v>
      </c>
      <c r="J120" s="13"/>
      <c r="K120" s="7"/>
      <c r="L120" s="7">
        <v>1</v>
      </c>
      <c r="M120" s="33"/>
      <c r="N120" s="7">
        <v>2</v>
      </c>
      <c r="O120" s="33"/>
      <c r="P120" s="7">
        <v>2</v>
      </c>
      <c r="R120" s="7"/>
      <c r="S120" s="7">
        <v>0</v>
      </c>
      <c r="T120" s="33"/>
      <c r="U120" s="7">
        <v>2</v>
      </c>
      <c r="V120" s="33"/>
      <c r="W120" s="7">
        <v>0</v>
      </c>
    </row>
    <row r="121" spans="1:23" ht="34" x14ac:dyDescent="0.2">
      <c r="A121" s="3" t="s">
        <v>163</v>
      </c>
      <c r="B121" s="7">
        <v>2023</v>
      </c>
      <c r="C121" s="7" t="s">
        <v>60</v>
      </c>
      <c r="D121" s="58" t="s">
        <v>224</v>
      </c>
      <c r="E121" s="7">
        <v>2</v>
      </c>
      <c r="F121" s="25"/>
      <c r="G121" s="7">
        <v>0</v>
      </c>
      <c r="H121" s="7"/>
      <c r="I121" s="7">
        <v>0</v>
      </c>
      <c r="J121" s="13"/>
      <c r="K121" s="7"/>
      <c r="L121" s="7">
        <v>1</v>
      </c>
      <c r="M121" s="33"/>
      <c r="N121" s="7">
        <v>2</v>
      </c>
      <c r="O121" s="33"/>
      <c r="P121" s="7">
        <v>1</v>
      </c>
      <c r="R121" s="7"/>
      <c r="S121" s="7">
        <v>0</v>
      </c>
      <c r="T121" s="33"/>
      <c r="U121" s="7">
        <v>2</v>
      </c>
      <c r="V121" s="33"/>
      <c r="W121" s="7">
        <v>0</v>
      </c>
    </row>
    <row r="122" spans="1:23" s="59" customFormat="1" ht="34" x14ac:dyDescent="0.2">
      <c r="B122" s="59">
        <v>1998</v>
      </c>
      <c r="C122" s="80">
        <f>(2024-B122)/9</f>
        <v>2.8888888888888888</v>
      </c>
      <c r="D122" s="60" t="s">
        <v>114</v>
      </c>
      <c r="E122" s="24" t="s">
        <v>133</v>
      </c>
      <c r="F122" s="24"/>
      <c r="G122" s="6" t="s">
        <v>134</v>
      </c>
      <c r="H122" s="6"/>
      <c r="I122" s="6" t="s">
        <v>135</v>
      </c>
      <c r="J122" s="12"/>
      <c r="K122" s="6"/>
      <c r="L122" s="32" t="s">
        <v>29</v>
      </c>
      <c r="M122" s="32"/>
      <c r="N122" s="6" t="s">
        <v>136</v>
      </c>
      <c r="O122" s="32"/>
      <c r="P122" s="6" t="s">
        <v>137</v>
      </c>
      <c r="Q122" s="1"/>
      <c r="R122" s="6"/>
      <c r="S122" s="32" t="s">
        <v>138</v>
      </c>
      <c r="T122" s="32"/>
      <c r="U122" s="6" t="s">
        <v>49</v>
      </c>
      <c r="V122" s="32"/>
      <c r="W122" s="6" t="s">
        <v>50</v>
      </c>
    </row>
    <row r="123" spans="1:23" ht="34" x14ac:dyDescent="0.2">
      <c r="A123" s="4" t="s">
        <v>305</v>
      </c>
      <c r="B123" s="8">
        <v>2000</v>
      </c>
      <c r="C123" s="8" t="s">
        <v>21</v>
      </c>
      <c r="D123" s="58" t="s">
        <v>304</v>
      </c>
      <c r="E123" s="8">
        <v>1</v>
      </c>
      <c r="F123" s="26"/>
      <c r="G123" s="8">
        <v>0</v>
      </c>
      <c r="H123" s="8"/>
      <c r="I123" s="8">
        <v>1</v>
      </c>
      <c r="J123" s="13"/>
      <c r="K123" s="8"/>
      <c r="L123" s="8">
        <v>1</v>
      </c>
      <c r="M123" s="34"/>
      <c r="N123" s="8">
        <v>2</v>
      </c>
      <c r="O123" s="34"/>
      <c r="P123" s="8">
        <v>2</v>
      </c>
      <c r="R123" s="8"/>
      <c r="S123" s="8">
        <v>0</v>
      </c>
      <c r="T123" s="34"/>
      <c r="U123" s="8">
        <v>2</v>
      </c>
      <c r="V123" s="34"/>
      <c r="W123" s="8">
        <v>0</v>
      </c>
    </row>
    <row r="124" spans="1:23" ht="34" x14ac:dyDescent="0.2">
      <c r="A124" s="4" t="s">
        <v>226</v>
      </c>
      <c r="B124" s="8">
        <v>2003</v>
      </c>
      <c r="C124" s="8" t="s">
        <v>21</v>
      </c>
      <c r="D124" s="58" t="s">
        <v>225</v>
      </c>
      <c r="E124" s="8">
        <v>1</v>
      </c>
      <c r="F124" s="26"/>
      <c r="G124" s="8">
        <v>0</v>
      </c>
      <c r="H124" s="8"/>
      <c r="I124" s="8">
        <v>1</v>
      </c>
      <c r="J124" s="13"/>
      <c r="K124" s="8"/>
      <c r="L124" s="8">
        <v>1</v>
      </c>
      <c r="M124" s="34"/>
      <c r="N124" s="8">
        <v>2</v>
      </c>
      <c r="O124" s="34"/>
      <c r="P124" s="8">
        <v>1</v>
      </c>
      <c r="R124" s="8"/>
      <c r="S124" s="8">
        <v>0</v>
      </c>
      <c r="T124" s="34"/>
      <c r="U124" s="8">
        <v>2</v>
      </c>
      <c r="V124" s="34"/>
      <c r="W124" s="8">
        <v>0</v>
      </c>
    </row>
    <row r="125" spans="1:23" ht="34" x14ac:dyDescent="0.2">
      <c r="A125" s="4" t="s">
        <v>307</v>
      </c>
      <c r="B125" s="8">
        <v>2006</v>
      </c>
      <c r="C125" s="8" t="s">
        <v>21</v>
      </c>
      <c r="D125" s="58" t="s">
        <v>306</v>
      </c>
      <c r="E125" s="8">
        <v>1</v>
      </c>
      <c r="F125" s="26"/>
      <c r="G125" s="8">
        <v>0</v>
      </c>
      <c r="H125" s="8"/>
      <c r="I125" s="8">
        <v>1</v>
      </c>
      <c r="J125" s="13"/>
      <c r="K125" s="8"/>
      <c r="L125" s="8">
        <v>1</v>
      </c>
      <c r="M125" s="34"/>
      <c r="N125" s="8">
        <v>2</v>
      </c>
      <c r="O125" s="34"/>
      <c r="P125" s="8">
        <v>1</v>
      </c>
      <c r="R125" s="8"/>
      <c r="S125" s="8">
        <v>0</v>
      </c>
      <c r="T125" s="34"/>
      <c r="U125" s="8">
        <v>2</v>
      </c>
      <c r="V125" s="34"/>
      <c r="W125" s="8">
        <v>0</v>
      </c>
    </row>
    <row r="126" spans="1:23" ht="34" x14ac:dyDescent="0.2">
      <c r="A126" s="4" t="s">
        <v>309</v>
      </c>
      <c r="B126" s="8">
        <v>2009</v>
      </c>
      <c r="C126" s="8" t="s">
        <v>21</v>
      </c>
      <c r="D126" s="58" t="s">
        <v>308</v>
      </c>
      <c r="E126" s="8">
        <v>1</v>
      </c>
      <c r="F126" s="26"/>
      <c r="G126" s="8">
        <v>0</v>
      </c>
      <c r="H126" s="8"/>
      <c r="I126" s="8">
        <v>1</v>
      </c>
      <c r="J126" s="13"/>
      <c r="K126" s="8"/>
      <c r="L126" s="8">
        <v>1</v>
      </c>
      <c r="M126" s="34"/>
      <c r="N126" s="8">
        <v>2</v>
      </c>
      <c r="O126" s="34"/>
      <c r="P126" s="8">
        <v>1</v>
      </c>
      <c r="R126" s="8"/>
      <c r="S126" s="8">
        <v>0</v>
      </c>
      <c r="T126" s="34"/>
      <c r="U126" s="8">
        <v>2</v>
      </c>
      <c r="V126" s="34"/>
      <c r="W126" s="8">
        <v>0</v>
      </c>
    </row>
    <row r="127" spans="1:23" ht="40" x14ac:dyDescent="0.2">
      <c r="A127" s="4" t="s">
        <v>227</v>
      </c>
      <c r="B127" s="8">
        <v>2012</v>
      </c>
      <c r="C127" s="8" t="s">
        <v>21</v>
      </c>
      <c r="D127" s="58" t="s">
        <v>228</v>
      </c>
      <c r="E127" s="8">
        <v>1</v>
      </c>
      <c r="F127" s="26"/>
      <c r="G127" s="8">
        <v>0</v>
      </c>
      <c r="H127" s="8"/>
      <c r="I127" s="8">
        <v>1</v>
      </c>
      <c r="J127" s="13"/>
      <c r="K127" s="8"/>
      <c r="L127" s="8">
        <v>1</v>
      </c>
      <c r="M127" s="34"/>
      <c r="N127" s="8">
        <v>2</v>
      </c>
      <c r="O127" s="34"/>
      <c r="P127" s="8">
        <v>1</v>
      </c>
      <c r="R127" s="8"/>
      <c r="S127" s="8">
        <v>0</v>
      </c>
      <c r="T127" s="34"/>
      <c r="U127" s="8">
        <v>2</v>
      </c>
      <c r="V127" s="34"/>
      <c r="W127" s="8">
        <v>0</v>
      </c>
    </row>
    <row r="128" spans="1:23" ht="34" x14ac:dyDescent="0.2">
      <c r="A128" s="4" t="s">
        <v>229</v>
      </c>
      <c r="B128" s="8">
        <v>2015</v>
      </c>
      <c r="C128" s="8" t="s">
        <v>21</v>
      </c>
      <c r="D128" s="58" t="s">
        <v>230</v>
      </c>
      <c r="E128" s="8">
        <v>2</v>
      </c>
      <c r="F128" s="26"/>
      <c r="G128" s="8">
        <v>0</v>
      </c>
      <c r="H128" s="8"/>
      <c r="I128" s="8">
        <v>1</v>
      </c>
      <c r="J128" s="13"/>
      <c r="K128" s="8"/>
      <c r="L128" s="8">
        <v>1</v>
      </c>
      <c r="M128" s="34"/>
      <c r="N128" s="8">
        <v>2</v>
      </c>
      <c r="O128" s="34"/>
      <c r="P128" s="8">
        <v>0</v>
      </c>
      <c r="R128" s="8"/>
      <c r="S128" s="8">
        <v>0</v>
      </c>
      <c r="T128" s="34"/>
      <c r="U128" s="8">
        <v>2</v>
      </c>
      <c r="V128" s="34"/>
      <c r="W128" s="8">
        <v>0</v>
      </c>
    </row>
    <row r="129" spans="1:23" ht="34" x14ac:dyDescent="0.2">
      <c r="A129" s="4" t="s">
        <v>231</v>
      </c>
      <c r="B129" s="8">
        <v>2018</v>
      </c>
      <c r="C129" s="8" t="s">
        <v>21</v>
      </c>
      <c r="D129" s="58" t="s">
        <v>232</v>
      </c>
      <c r="E129" s="8">
        <v>2</v>
      </c>
      <c r="F129" s="26"/>
      <c r="G129" s="8">
        <v>1</v>
      </c>
      <c r="H129" s="8"/>
      <c r="I129" s="8">
        <v>1</v>
      </c>
      <c r="J129" s="13"/>
      <c r="K129" s="8"/>
      <c r="L129" s="8">
        <v>1</v>
      </c>
      <c r="M129" s="34"/>
      <c r="N129" s="8">
        <v>2</v>
      </c>
      <c r="O129" s="34"/>
      <c r="P129" s="8">
        <v>0</v>
      </c>
      <c r="R129" s="8"/>
      <c r="S129" s="8">
        <v>0</v>
      </c>
      <c r="T129" s="34"/>
      <c r="U129" s="8">
        <v>2</v>
      </c>
      <c r="V129" s="34"/>
      <c r="W129" s="8">
        <v>0</v>
      </c>
    </row>
    <row r="130" spans="1:23" ht="34" x14ac:dyDescent="0.2">
      <c r="A130" s="4" t="s">
        <v>233</v>
      </c>
      <c r="B130" s="8">
        <v>2021</v>
      </c>
      <c r="C130" s="8" t="s">
        <v>21</v>
      </c>
      <c r="D130" s="58" t="s">
        <v>234</v>
      </c>
      <c r="E130" s="8">
        <v>1</v>
      </c>
      <c r="F130" s="26"/>
      <c r="G130" s="8">
        <v>1</v>
      </c>
      <c r="H130" s="8"/>
      <c r="I130" s="8">
        <v>1</v>
      </c>
      <c r="J130" s="13"/>
      <c r="K130" s="8"/>
      <c r="L130" s="8">
        <v>1</v>
      </c>
      <c r="M130" s="34"/>
      <c r="N130" s="8">
        <v>2</v>
      </c>
      <c r="O130" s="34"/>
      <c r="P130" s="8">
        <v>1</v>
      </c>
      <c r="R130" s="8"/>
      <c r="S130" s="8">
        <v>0</v>
      </c>
      <c r="T130" s="34"/>
      <c r="U130" s="8">
        <v>2</v>
      </c>
      <c r="V130" s="34"/>
      <c r="W130" s="8">
        <v>0</v>
      </c>
    </row>
    <row r="131" spans="1:23" ht="34" x14ac:dyDescent="0.2">
      <c r="A131" s="4" t="s">
        <v>164</v>
      </c>
      <c r="B131" s="8">
        <v>2023</v>
      </c>
      <c r="C131" s="8" t="s">
        <v>21</v>
      </c>
      <c r="D131" s="58" t="s">
        <v>235</v>
      </c>
      <c r="E131" s="8">
        <v>1</v>
      </c>
      <c r="F131" s="26"/>
      <c r="G131" s="8">
        <v>0</v>
      </c>
      <c r="H131" s="8"/>
      <c r="I131" s="8">
        <v>1</v>
      </c>
      <c r="J131" s="13"/>
      <c r="K131" s="8"/>
      <c r="L131" s="8">
        <v>1</v>
      </c>
      <c r="M131" s="34"/>
      <c r="N131" s="8">
        <v>2</v>
      </c>
      <c r="O131" s="34"/>
      <c r="P131" s="8">
        <v>1</v>
      </c>
      <c r="R131" s="8"/>
      <c r="S131" s="8">
        <v>0</v>
      </c>
      <c r="T131" s="34"/>
      <c r="U131" s="8">
        <v>2</v>
      </c>
      <c r="V131" s="34"/>
      <c r="W131" s="8">
        <v>0</v>
      </c>
    </row>
    <row r="132" spans="1:23" s="59" customFormat="1" ht="40" x14ac:dyDescent="0.2">
      <c r="A132" s="59" t="s">
        <v>312</v>
      </c>
      <c r="B132" s="59">
        <v>1988</v>
      </c>
      <c r="C132" s="80">
        <f>(2024-B132)/9</f>
        <v>4</v>
      </c>
      <c r="D132" s="60" t="s">
        <v>115</v>
      </c>
      <c r="E132" s="24" t="s">
        <v>133</v>
      </c>
      <c r="F132" s="24"/>
      <c r="G132" s="6" t="s">
        <v>134</v>
      </c>
      <c r="H132" s="6"/>
      <c r="I132" s="6" t="s">
        <v>135</v>
      </c>
      <c r="J132" s="12"/>
      <c r="K132" s="6"/>
      <c r="L132" s="32" t="s">
        <v>29</v>
      </c>
      <c r="M132" s="32"/>
      <c r="N132" s="6" t="s">
        <v>136</v>
      </c>
      <c r="O132" s="32"/>
      <c r="P132" s="6" t="s">
        <v>137</v>
      </c>
      <c r="Q132" s="1"/>
      <c r="R132" s="6"/>
      <c r="S132" s="32" t="s">
        <v>138</v>
      </c>
      <c r="T132" s="32"/>
      <c r="U132" s="6" t="s">
        <v>49</v>
      </c>
      <c r="V132" s="32"/>
      <c r="W132" s="6" t="s">
        <v>50</v>
      </c>
    </row>
    <row r="133" spans="1:23" ht="40" x14ac:dyDescent="0.2">
      <c r="A133" s="5" t="s">
        <v>116</v>
      </c>
      <c r="B133" s="9">
        <v>1989</v>
      </c>
      <c r="C133" s="9" t="s">
        <v>22</v>
      </c>
      <c r="D133" s="58" t="s">
        <v>236</v>
      </c>
      <c r="E133" s="9">
        <v>0</v>
      </c>
      <c r="F133" s="27"/>
      <c r="G133" s="9">
        <v>0</v>
      </c>
      <c r="H133" s="9"/>
      <c r="I133" s="9">
        <v>1</v>
      </c>
      <c r="J133" s="13"/>
      <c r="K133" s="9"/>
      <c r="L133" s="9">
        <v>1</v>
      </c>
      <c r="M133" s="35"/>
      <c r="N133" s="9">
        <v>2</v>
      </c>
      <c r="O133" s="35"/>
      <c r="P133" s="9">
        <v>1</v>
      </c>
      <c r="R133" s="9"/>
      <c r="S133" s="9">
        <v>0</v>
      </c>
      <c r="T133" s="35"/>
      <c r="U133" s="9">
        <v>2</v>
      </c>
      <c r="V133" s="35"/>
      <c r="W133" s="9">
        <v>0</v>
      </c>
    </row>
    <row r="134" spans="1:23" ht="40" x14ac:dyDescent="0.2">
      <c r="A134" s="5" t="s">
        <v>237</v>
      </c>
      <c r="B134" s="9">
        <v>2000</v>
      </c>
      <c r="C134" s="9" t="s">
        <v>22</v>
      </c>
      <c r="D134" s="58" t="s">
        <v>238</v>
      </c>
      <c r="E134" s="9">
        <v>0</v>
      </c>
      <c r="F134" s="27"/>
      <c r="G134" s="9">
        <v>0</v>
      </c>
      <c r="H134" s="9"/>
      <c r="I134" s="9">
        <v>1</v>
      </c>
      <c r="J134" s="13"/>
      <c r="K134" s="9"/>
      <c r="L134" s="9">
        <v>1</v>
      </c>
      <c r="M134" s="35"/>
      <c r="N134" s="9">
        <v>2</v>
      </c>
      <c r="O134" s="35"/>
      <c r="P134" s="9">
        <v>0</v>
      </c>
      <c r="R134" s="9"/>
      <c r="S134" s="9">
        <v>0</v>
      </c>
      <c r="T134" s="35"/>
      <c r="U134" s="9">
        <v>2</v>
      </c>
      <c r="V134" s="35"/>
      <c r="W134" s="9">
        <v>0</v>
      </c>
    </row>
    <row r="135" spans="1:23" ht="40" x14ac:dyDescent="0.2">
      <c r="A135" s="5" t="s">
        <v>239</v>
      </c>
      <c r="B135" s="9">
        <v>2004</v>
      </c>
      <c r="C135" s="9" t="s">
        <v>22</v>
      </c>
      <c r="D135" s="58" t="s">
        <v>240</v>
      </c>
      <c r="E135" s="9">
        <v>0</v>
      </c>
      <c r="F135" s="27"/>
      <c r="G135" s="9">
        <v>0</v>
      </c>
      <c r="H135" s="9"/>
      <c r="I135" s="9">
        <v>1</v>
      </c>
      <c r="J135" s="13"/>
      <c r="K135" s="9"/>
      <c r="L135" s="9">
        <v>1</v>
      </c>
      <c r="M135" s="35"/>
      <c r="N135" s="9">
        <v>2</v>
      </c>
      <c r="O135" s="35"/>
      <c r="P135" s="9">
        <v>2</v>
      </c>
      <c r="R135" s="9"/>
      <c r="S135" s="9">
        <v>0</v>
      </c>
      <c r="T135" s="35"/>
      <c r="U135" s="9">
        <v>2</v>
      </c>
      <c r="V135" s="35"/>
      <c r="W135" s="9">
        <v>0</v>
      </c>
    </row>
    <row r="136" spans="1:23" ht="40" x14ac:dyDescent="0.2">
      <c r="A136" s="5" t="s">
        <v>241</v>
      </c>
      <c r="B136" s="9">
        <v>2008</v>
      </c>
      <c r="C136" s="9" t="s">
        <v>22</v>
      </c>
      <c r="D136" s="58" t="s">
        <v>242</v>
      </c>
      <c r="E136" s="9">
        <v>0</v>
      </c>
      <c r="F136" s="27"/>
      <c r="G136" s="9">
        <v>0</v>
      </c>
      <c r="H136" s="9"/>
      <c r="I136" s="9">
        <v>1</v>
      </c>
      <c r="J136" s="13"/>
      <c r="K136" s="9"/>
      <c r="L136" s="9">
        <v>1</v>
      </c>
      <c r="M136" s="35"/>
      <c r="N136" s="9">
        <v>2</v>
      </c>
      <c r="O136" s="35"/>
      <c r="P136" s="9">
        <v>1</v>
      </c>
      <c r="R136" s="9"/>
      <c r="S136" s="9">
        <v>0</v>
      </c>
      <c r="T136" s="35"/>
      <c r="U136" s="9">
        <v>2</v>
      </c>
      <c r="V136" s="35"/>
      <c r="W136" s="9">
        <v>0</v>
      </c>
    </row>
    <row r="137" spans="1:23" ht="40" x14ac:dyDescent="0.2">
      <c r="A137" s="5" t="s">
        <v>243</v>
      </c>
      <c r="B137" s="9">
        <v>2011</v>
      </c>
      <c r="C137" s="9" t="s">
        <v>22</v>
      </c>
      <c r="D137" s="58" t="s">
        <v>244</v>
      </c>
      <c r="E137" s="9">
        <v>0</v>
      </c>
      <c r="F137" s="27"/>
      <c r="G137" s="9">
        <v>0</v>
      </c>
      <c r="H137" s="9"/>
      <c r="I137" s="9">
        <v>1</v>
      </c>
      <c r="J137" s="13"/>
      <c r="K137" s="9"/>
      <c r="L137" s="9">
        <v>1</v>
      </c>
      <c r="M137" s="35"/>
      <c r="N137" s="9">
        <v>2</v>
      </c>
      <c r="O137" s="35"/>
      <c r="P137" s="9">
        <v>1</v>
      </c>
      <c r="R137" s="9"/>
      <c r="S137" s="9">
        <v>0</v>
      </c>
      <c r="T137" s="35"/>
      <c r="U137" s="9">
        <v>2</v>
      </c>
      <c r="V137" s="35"/>
      <c r="W137" s="9">
        <v>0</v>
      </c>
    </row>
    <row r="138" spans="1:23" ht="40" x14ac:dyDescent="0.2">
      <c r="A138" s="5" t="s">
        <v>311</v>
      </c>
      <c r="B138" s="9">
        <v>2014</v>
      </c>
      <c r="C138" s="9" t="s">
        <v>22</v>
      </c>
      <c r="D138" s="58" t="s">
        <v>310</v>
      </c>
      <c r="E138" s="9">
        <v>0</v>
      </c>
      <c r="F138" s="27"/>
      <c r="G138" s="9">
        <v>0</v>
      </c>
      <c r="H138" s="9"/>
      <c r="I138" s="9">
        <v>1</v>
      </c>
      <c r="J138" s="13"/>
      <c r="K138" s="9"/>
      <c r="L138" s="9">
        <v>1</v>
      </c>
      <c r="M138" s="35"/>
      <c r="N138" s="9">
        <v>2</v>
      </c>
      <c r="O138" s="35"/>
      <c r="P138" s="9">
        <v>1</v>
      </c>
      <c r="R138" s="9"/>
      <c r="S138" s="9">
        <v>0</v>
      </c>
      <c r="T138" s="35"/>
      <c r="U138" s="9">
        <v>2</v>
      </c>
      <c r="V138" s="35"/>
      <c r="W138" s="9">
        <v>0</v>
      </c>
    </row>
    <row r="139" spans="1:23" ht="40" x14ac:dyDescent="0.2">
      <c r="A139" s="5" t="s">
        <v>245</v>
      </c>
      <c r="B139" s="9">
        <v>2017</v>
      </c>
      <c r="C139" s="9" t="s">
        <v>22</v>
      </c>
      <c r="D139" s="58" t="s">
        <v>246</v>
      </c>
      <c r="E139" s="9">
        <v>0</v>
      </c>
      <c r="F139" s="27"/>
      <c r="G139" s="9">
        <v>0</v>
      </c>
      <c r="H139" s="9"/>
      <c r="I139" s="9">
        <v>1</v>
      </c>
      <c r="J139" s="13"/>
      <c r="K139" s="9"/>
      <c r="L139" s="9">
        <v>1</v>
      </c>
      <c r="M139" s="35"/>
      <c r="N139" s="9">
        <v>2</v>
      </c>
      <c r="O139" s="35"/>
      <c r="P139" s="9">
        <v>1</v>
      </c>
      <c r="R139" s="9"/>
      <c r="S139" s="9">
        <v>0</v>
      </c>
      <c r="T139" s="35"/>
      <c r="U139" s="9">
        <v>2</v>
      </c>
      <c r="V139" s="35"/>
      <c r="W139" s="9">
        <v>0</v>
      </c>
    </row>
    <row r="140" spans="1:23" ht="40" x14ac:dyDescent="0.2">
      <c r="A140" s="5" t="s">
        <v>247</v>
      </c>
      <c r="B140" s="9">
        <v>2020</v>
      </c>
      <c r="C140" s="9" t="s">
        <v>22</v>
      </c>
      <c r="D140" s="58" t="s">
        <v>248</v>
      </c>
      <c r="E140" s="9">
        <v>0</v>
      </c>
      <c r="F140" s="27"/>
      <c r="G140" s="9">
        <v>0</v>
      </c>
      <c r="H140" s="9"/>
      <c r="I140" s="9">
        <v>1</v>
      </c>
      <c r="J140" s="13"/>
      <c r="K140" s="9"/>
      <c r="L140" s="9">
        <v>1</v>
      </c>
      <c r="M140" s="35"/>
      <c r="N140" s="9">
        <v>2</v>
      </c>
      <c r="O140" s="35"/>
      <c r="P140" s="9">
        <v>1</v>
      </c>
      <c r="R140" s="9"/>
      <c r="S140" s="9">
        <v>0</v>
      </c>
      <c r="T140" s="35"/>
      <c r="U140" s="9">
        <v>2</v>
      </c>
      <c r="V140" s="35"/>
      <c r="W140" s="9">
        <v>0</v>
      </c>
    </row>
    <row r="141" spans="1:23" ht="40" x14ac:dyDescent="0.2">
      <c r="A141" s="5" t="s">
        <v>314</v>
      </c>
      <c r="B141" s="9">
        <v>2023</v>
      </c>
      <c r="C141" s="9" t="s">
        <v>22</v>
      </c>
      <c r="D141" s="58" t="s">
        <v>313</v>
      </c>
      <c r="E141" s="9">
        <v>0</v>
      </c>
      <c r="F141" s="27"/>
      <c r="G141" s="9">
        <v>0</v>
      </c>
      <c r="H141" s="9"/>
      <c r="I141" s="9">
        <v>1</v>
      </c>
      <c r="J141" s="13"/>
      <c r="K141" s="9"/>
      <c r="L141" s="9">
        <v>1</v>
      </c>
      <c r="M141" s="35"/>
      <c r="N141" s="9">
        <v>2</v>
      </c>
      <c r="O141" s="35"/>
      <c r="P141" s="9">
        <v>1</v>
      </c>
      <c r="R141" s="9"/>
      <c r="S141" s="9">
        <v>0</v>
      </c>
      <c r="T141" s="35"/>
      <c r="U141" s="9">
        <v>2</v>
      </c>
      <c r="V141" s="35"/>
      <c r="W141" s="9">
        <v>0</v>
      </c>
    </row>
    <row r="142" spans="1:23" s="59" customFormat="1" ht="34" x14ac:dyDescent="0.2">
      <c r="B142" s="59">
        <v>2012</v>
      </c>
      <c r="C142" s="80">
        <f>(2024-B142)/9</f>
        <v>1.3333333333333333</v>
      </c>
      <c r="D142" s="60" t="s">
        <v>117</v>
      </c>
      <c r="E142" s="24" t="s">
        <v>133</v>
      </c>
      <c r="F142" s="24"/>
      <c r="G142" s="6" t="s">
        <v>134</v>
      </c>
      <c r="H142" s="6"/>
      <c r="I142" s="6" t="s">
        <v>135</v>
      </c>
      <c r="J142" s="12"/>
      <c r="K142" s="6"/>
      <c r="L142" s="32" t="s">
        <v>29</v>
      </c>
      <c r="M142" s="32"/>
      <c r="N142" s="6" t="s">
        <v>136</v>
      </c>
      <c r="O142" s="32"/>
      <c r="P142" s="6" t="s">
        <v>137</v>
      </c>
      <c r="Q142" s="1"/>
      <c r="R142" s="6"/>
      <c r="S142" s="32" t="s">
        <v>138</v>
      </c>
      <c r="T142" s="32"/>
      <c r="U142" s="6" t="s">
        <v>49</v>
      </c>
      <c r="V142" s="32"/>
      <c r="W142" s="6" t="s">
        <v>50</v>
      </c>
    </row>
    <row r="143" spans="1:23" ht="34" x14ac:dyDescent="0.2">
      <c r="A143" s="3" t="s">
        <v>249</v>
      </c>
      <c r="B143" s="7">
        <v>2012</v>
      </c>
      <c r="C143" s="7" t="s">
        <v>23</v>
      </c>
      <c r="D143" s="58" t="s">
        <v>250</v>
      </c>
      <c r="E143" s="7">
        <v>2</v>
      </c>
      <c r="F143" s="25"/>
      <c r="G143" s="7">
        <v>0</v>
      </c>
      <c r="H143" s="7"/>
      <c r="I143" s="7">
        <v>0</v>
      </c>
      <c r="J143" s="13"/>
      <c r="K143" s="7"/>
      <c r="L143" s="7">
        <v>1</v>
      </c>
      <c r="M143" s="33"/>
      <c r="N143" s="7">
        <v>2</v>
      </c>
      <c r="O143" s="33"/>
      <c r="P143" s="7">
        <v>0</v>
      </c>
      <c r="R143" s="7"/>
      <c r="S143" s="7">
        <v>0</v>
      </c>
      <c r="T143" s="33"/>
      <c r="U143" s="7">
        <v>2</v>
      </c>
      <c r="V143" s="33"/>
      <c r="W143" s="7">
        <v>0</v>
      </c>
    </row>
    <row r="144" spans="1:23" ht="34" x14ac:dyDescent="0.2">
      <c r="A144" s="3" t="s">
        <v>251</v>
      </c>
      <c r="B144" s="7">
        <v>2013</v>
      </c>
      <c r="C144" s="7" t="s">
        <v>23</v>
      </c>
      <c r="D144" s="58" t="s">
        <v>252</v>
      </c>
      <c r="E144" s="7">
        <v>2</v>
      </c>
      <c r="F144" s="25"/>
      <c r="G144" s="7">
        <v>2</v>
      </c>
      <c r="H144" s="7"/>
      <c r="I144" s="7">
        <v>1</v>
      </c>
      <c r="J144" s="13"/>
      <c r="K144" s="7"/>
      <c r="L144" s="7">
        <v>1</v>
      </c>
      <c r="M144" s="33"/>
      <c r="N144" s="7">
        <v>2</v>
      </c>
      <c r="O144" s="33"/>
      <c r="P144" s="7">
        <v>2</v>
      </c>
      <c r="R144" s="7"/>
      <c r="S144" s="7">
        <v>0</v>
      </c>
      <c r="T144" s="33"/>
      <c r="U144" s="7">
        <v>2</v>
      </c>
      <c r="V144" s="33"/>
      <c r="W144" s="7">
        <v>1</v>
      </c>
    </row>
    <row r="145" spans="1:23" ht="34" x14ac:dyDescent="0.2">
      <c r="A145" s="3" t="s">
        <v>165</v>
      </c>
      <c r="B145" s="7">
        <v>2014</v>
      </c>
      <c r="C145" s="7" t="s">
        <v>23</v>
      </c>
      <c r="D145" s="58" t="s">
        <v>253</v>
      </c>
      <c r="E145" s="7">
        <v>2</v>
      </c>
      <c r="F145" s="25"/>
      <c r="G145" s="7">
        <v>2</v>
      </c>
      <c r="H145" s="7"/>
      <c r="I145" s="7">
        <v>1</v>
      </c>
      <c r="J145" s="13"/>
      <c r="K145" s="7"/>
      <c r="L145" s="7">
        <v>1</v>
      </c>
      <c r="M145" s="33"/>
      <c r="N145" s="7">
        <v>2</v>
      </c>
      <c r="O145" s="33"/>
      <c r="P145" s="7">
        <v>2</v>
      </c>
      <c r="R145" s="7"/>
      <c r="S145" s="7">
        <v>0</v>
      </c>
      <c r="T145" s="33"/>
      <c r="U145" s="7">
        <v>2</v>
      </c>
      <c r="V145" s="33"/>
      <c r="W145" s="7">
        <v>1</v>
      </c>
    </row>
    <row r="146" spans="1:23" ht="34" x14ac:dyDescent="0.2">
      <c r="A146" s="3" t="s">
        <v>254</v>
      </c>
      <c r="B146" s="7">
        <v>2015</v>
      </c>
      <c r="C146" s="7" t="s">
        <v>23</v>
      </c>
      <c r="D146" s="58" t="s">
        <v>255</v>
      </c>
      <c r="E146" s="7">
        <v>2</v>
      </c>
      <c r="F146" s="25"/>
      <c r="G146" s="7">
        <v>0</v>
      </c>
      <c r="H146" s="7"/>
      <c r="I146" s="7">
        <v>0</v>
      </c>
      <c r="J146" s="13"/>
      <c r="K146" s="7"/>
      <c r="L146" s="7">
        <v>1</v>
      </c>
      <c r="M146" s="33"/>
      <c r="N146" s="7">
        <v>2</v>
      </c>
      <c r="O146" s="33"/>
      <c r="P146" s="7">
        <v>0</v>
      </c>
      <c r="R146" s="7"/>
      <c r="S146" s="7">
        <v>0</v>
      </c>
      <c r="T146" s="33"/>
      <c r="U146" s="7">
        <v>2</v>
      </c>
      <c r="V146" s="33"/>
      <c r="W146" s="7">
        <v>0</v>
      </c>
    </row>
    <row r="147" spans="1:23" ht="34" x14ac:dyDescent="0.2">
      <c r="A147" s="3" t="s">
        <v>256</v>
      </c>
      <c r="B147" s="7">
        <v>2016</v>
      </c>
      <c r="C147" s="7" t="s">
        <v>23</v>
      </c>
      <c r="D147" s="58" t="s">
        <v>257</v>
      </c>
      <c r="E147" s="7">
        <v>2</v>
      </c>
      <c r="F147" s="25"/>
      <c r="G147" s="7">
        <v>0</v>
      </c>
      <c r="H147" s="7"/>
      <c r="I147" s="7">
        <v>0</v>
      </c>
      <c r="J147" s="13"/>
      <c r="K147" s="7"/>
      <c r="L147" s="7">
        <v>1</v>
      </c>
      <c r="M147" s="33"/>
      <c r="N147" s="7">
        <v>2</v>
      </c>
      <c r="O147" s="33"/>
      <c r="P147" s="7">
        <v>0</v>
      </c>
      <c r="R147" s="7"/>
      <c r="S147" s="7">
        <v>0</v>
      </c>
      <c r="T147" s="33"/>
      <c r="U147" s="7">
        <v>2</v>
      </c>
      <c r="V147" s="33"/>
      <c r="W147" s="7">
        <v>0</v>
      </c>
    </row>
    <row r="148" spans="1:23" ht="34" x14ac:dyDescent="0.2">
      <c r="A148" s="3" t="s">
        <v>166</v>
      </c>
      <c r="B148" s="7">
        <v>2019</v>
      </c>
      <c r="C148" s="7" t="s">
        <v>23</v>
      </c>
      <c r="D148" s="58" t="s">
        <v>258</v>
      </c>
      <c r="E148" s="7">
        <v>2</v>
      </c>
      <c r="F148" s="25"/>
      <c r="G148" s="7">
        <v>2</v>
      </c>
      <c r="H148" s="7"/>
      <c r="I148" s="7">
        <v>1</v>
      </c>
      <c r="J148" s="13"/>
      <c r="K148" s="7"/>
      <c r="L148" s="7">
        <v>1</v>
      </c>
      <c r="M148" s="33"/>
      <c r="N148" s="7">
        <v>2</v>
      </c>
      <c r="O148" s="33"/>
      <c r="P148" s="7">
        <v>2</v>
      </c>
      <c r="R148" s="7"/>
      <c r="S148" s="7">
        <v>0</v>
      </c>
      <c r="T148" s="33"/>
      <c r="U148" s="7">
        <v>2</v>
      </c>
      <c r="V148" s="33"/>
      <c r="W148" s="7">
        <v>1</v>
      </c>
    </row>
    <row r="149" spans="1:23" ht="51" x14ac:dyDescent="0.2">
      <c r="A149" s="3" t="s">
        <v>167</v>
      </c>
      <c r="B149" s="7">
        <v>2020</v>
      </c>
      <c r="C149" s="7" t="s">
        <v>23</v>
      </c>
      <c r="D149" s="58" t="s">
        <v>259</v>
      </c>
      <c r="E149" s="7">
        <v>2</v>
      </c>
      <c r="F149" s="25"/>
      <c r="G149" s="7">
        <v>2</v>
      </c>
      <c r="H149" s="7"/>
      <c r="I149" s="7">
        <v>1</v>
      </c>
      <c r="J149" s="13"/>
      <c r="K149" s="7"/>
      <c r="L149" s="7">
        <v>1</v>
      </c>
      <c r="M149" s="33"/>
      <c r="N149" s="7">
        <v>2</v>
      </c>
      <c r="O149" s="33"/>
      <c r="P149" s="7">
        <v>2</v>
      </c>
      <c r="R149" s="7"/>
      <c r="S149" s="7">
        <v>0</v>
      </c>
      <c r="T149" s="33"/>
      <c r="U149" s="7">
        <v>2</v>
      </c>
      <c r="V149" s="33"/>
      <c r="W149" s="7">
        <v>1</v>
      </c>
    </row>
    <row r="150" spans="1:23" ht="34" x14ac:dyDescent="0.2">
      <c r="A150" s="3" t="s">
        <v>168</v>
      </c>
      <c r="B150" s="7">
        <v>2021</v>
      </c>
      <c r="C150" s="7" t="s">
        <v>23</v>
      </c>
      <c r="D150" s="58" t="s">
        <v>260</v>
      </c>
      <c r="E150" s="7">
        <v>2</v>
      </c>
      <c r="F150" s="25"/>
      <c r="G150" s="7">
        <v>2</v>
      </c>
      <c r="H150" s="7"/>
      <c r="I150" s="7">
        <v>1</v>
      </c>
      <c r="J150" s="13"/>
      <c r="K150" s="7"/>
      <c r="L150" s="7">
        <v>1</v>
      </c>
      <c r="M150" s="33"/>
      <c r="N150" s="7">
        <v>2</v>
      </c>
      <c r="O150" s="33"/>
      <c r="P150" s="7">
        <v>2</v>
      </c>
      <c r="R150" s="7"/>
      <c r="S150" s="7">
        <v>0</v>
      </c>
      <c r="T150" s="33"/>
      <c r="U150" s="7">
        <v>2</v>
      </c>
      <c r="V150" s="33"/>
      <c r="W150" s="7">
        <v>1</v>
      </c>
    </row>
    <row r="151" spans="1:23" ht="34" x14ac:dyDescent="0.2">
      <c r="A151" s="3" t="s">
        <v>169</v>
      </c>
      <c r="B151" s="7">
        <v>2023</v>
      </c>
      <c r="C151" s="7" t="s">
        <v>23</v>
      </c>
      <c r="D151" s="58" t="s">
        <v>261</v>
      </c>
      <c r="E151" s="7">
        <v>2</v>
      </c>
      <c r="F151" s="25"/>
      <c r="G151" s="7">
        <v>2</v>
      </c>
      <c r="H151" s="7"/>
      <c r="I151" s="7">
        <v>1</v>
      </c>
      <c r="J151" s="13"/>
      <c r="K151" s="7"/>
      <c r="L151" s="7">
        <v>1</v>
      </c>
      <c r="M151" s="33"/>
      <c r="N151" s="7">
        <v>2</v>
      </c>
      <c r="O151" s="33"/>
      <c r="P151" s="7">
        <v>2</v>
      </c>
      <c r="R151" s="7"/>
      <c r="S151" s="7">
        <v>0</v>
      </c>
      <c r="T151" s="33"/>
      <c r="U151" s="7">
        <v>2</v>
      </c>
      <c r="V151" s="33"/>
      <c r="W151" s="7">
        <v>1</v>
      </c>
    </row>
    <row r="152" spans="1:23" s="59" customFormat="1" ht="34" x14ac:dyDescent="0.2">
      <c r="B152" s="59">
        <v>2012</v>
      </c>
      <c r="C152" s="80">
        <f>(2024-B152)/9</f>
        <v>1.3333333333333333</v>
      </c>
      <c r="D152" s="60" t="s">
        <v>118</v>
      </c>
      <c r="E152" s="24" t="s">
        <v>133</v>
      </c>
      <c r="F152" s="24"/>
      <c r="G152" s="6" t="s">
        <v>134</v>
      </c>
      <c r="H152" s="6"/>
      <c r="I152" s="6" t="s">
        <v>135</v>
      </c>
      <c r="J152" s="12"/>
      <c r="K152" s="6"/>
      <c r="L152" s="32" t="s">
        <v>29</v>
      </c>
      <c r="M152" s="32"/>
      <c r="N152" s="6" t="s">
        <v>136</v>
      </c>
      <c r="O152" s="32"/>
      <c r="P152" s="6" t="s">
        <v>137</v>
      </c>
      <c r="Q152" s="1"/>
      <c r="R152" s="6"/>
      <c r="S152" s="32" t="s">
        <v>138</v>
      </c>
      <c r="T152" s="32"/>
      <c r="U152" s="6" t="s">
        <v>49</v>
      </c>
      <c r="V152" s="32"/>
      <c r="W152" s="6" t="s">
        <v>50</v>
      </c>
    </row>
    <row r="153" spans="1:23" ht="34" x14ac:dyDescent="0.2">
      <c r="A153" s="4" t="s">
        <v>119</v>
      </c>
      <c r="B153" s="8">
        <v>2009</v>
      </c>
      <c r="C153" s="8" t="s">
        <v>62</v>
      </c>
      <c r="D153" s="58" t="s">
        <v>262</v>
      </c>
      <c r="E153" s="8">
        <v>1</v>
      </c>
      <c r="F153" s="26"/>
      <c r="G153" s="8">
        <v>1</v>
      </c>
      <c r="H153" s="8"/>
      <c r="I153" s="8">
        <v>1</v>
      </c>
      <c r="J153" s="13"/>
      <c r="K153" s="8"/>
      <c r="L153" s="8">
        <v>1</v>
      </c>
      <c r="M153" s="34"/>
      <c r="N153" s="8">
        <v>1</v>
      </c>
      <c r="O153" s="34"/>
      <c r="P153" s="8">
        <v>2</v>
      </c>
      <c r="R153" s="8"/>
      <c r="S153" s="8">
        <v>0</v>
      </c>
      <c r="T153" s="34"/>
      <c r="U153" s="8">
        <v>2</v>
      </c>
      <c r="V153" s="34"/>
      <c r="W153" s="8">
        <v>0</v>
      </c>
    </row>
    <row r="154" spans="1:23" ht="34" x14ac:dyDescent="0.2">
      <c r="A154" s="4" t="s">
        <v>263</v>
      </c>
      <c r="B154" s="8">
        <v>2012</v>
      </c>
      <c r="C154" s="8" t="s">
        <v>62</v>
      </c>
      <c r="D154" s="58" t="s">
        <v>264</v>
      </c>
      <c r="E154" s="8">
        <v>1</v>
      </c>
      <c r="F154" s="26"/>
      <c r="G154" s="8">
        <v>1</v>
      </c>
      <c r="H154" s="8"/>
      <c r="I154" s="8">
        <v>1</v>
      </c>
      <c r="J154" s="13"/>
      <c r="K154" s="8"/>
      <c r="L154" s="8">
        <v>1</v>
      </c>
      <c r="M154" s="34"/>
      <c r="N154" s="8">
        <v>1</v>
      </c>
      <c r="O154" s="34"/>
      <c r="P154" s="8">
        <v>2</v>
      </c>
      <c r="R154" s="8"/>
      <c r="S154" s="8">
        <v>0</v>
      </c>
      <c r="T154" s="34"/>
      <c r="U154" s="8">
        <v>2</v>
      </c>
      <c r="V154" s="34"/>
      <c r="W154" s="8">
        <v>0</v>
      </c>
    </row>
    <row r="155" spans="1:23" ht="40" x14ac:dyDescent="0.2">
      <c r="A155" s="4" t="s">
        <v>170</v>
      </c>
      <c r="B155" s="8">
        <v>2014</v>
      </c>
      <c r="C155" s="8" t="s">
        <v>62</v>
      </c>
      <c r="D155" s="58" t="s">
        <v>265</v>
      </c>
      <c r="E155" s="8">
        <v>1</v>
      </c>
      <c r="F155" s="26"/>
      <c r="G155" s="8">
        <v>1</v>
      </c>
      <c r="H155" s="8"/>
      <c r="I155" s="8">
        <v>1</v>
      </c>
      <c r="J155" s="13"/>
      <c r="K155" s="8"/>
      <c r="L155" s="8">
        <v>1</v>
      </c>
      <c r="M155" s="34"/>
      <c r="N155" s="8">
        <v>1</v>
      </c>
      <c r="O155" s="34"/>
      <c r="P155" s="8">
        <v>2</v>
      </c>
      <c r="R155" s="8"/>
      <c r="S155" s="8">
        <v>0</v>
      </c>
      <c r="T155" s="34"/>
      <c r="U155" s="8">
        <v>2</v>
      </c>
      <c r="V155" s="34"/>
      <c r="W155" s="8">
        <v>0</v>
      </c>
    </row>
    <row r="156" spans="1:23" ht="34" x14ac:dyDescent="0.2">
      <c r="A156" s="4" t="s">
        <v>171</v>
      </c>
      <c r="B156" s="8">
        <v>2015</v>
      </c>
      <c r="C156" s="8" t="s">
        <v>62</v>
      </c>
      <c r="D156" s="58" t="s">
        <v>266</v>
      </c>
      <c r="E156" s="8">
        <v>1</v>
      </c>
      <c r="F156" s="26"/>
      <c r="G156" s="8">
        <v>2</v>
      </c>
      <c r="H156" s="8"/>
      <c r="I156" s="8">
        <v>2</v>
      </c>
      <c r="J156" s="13"/>
      <c r="K156" s="8"/>
      <c r="L156" s="8">
        <v>1</v>
      </c>
      <c r="M156" s="34"/>
      <c r="N156" s="8">
        <v>1</v>
      </c>
      <c r="O156" s="34"/>
      <c r="P156" s="8">
        <v>2</v>
      </c>
      <c r="R156" s="8"/>
      <c r="S156" s="8">
        <v>0</v>
      </c>
      <c r="T156" s="34"/>
      <c r="U156" s="8">
        <v>2</v>
      </c>
      <c r="V156" s="34"/>
      <c r="W156" s="8">
        <v>1</v>
      </c>
    </row>
    <row r="157" spans="1:23" ht="34" x14ac:dyDescent="0.2">
      <c r="A157" s="4" t="s">
        <v>268</v>
      </c>
      <c r="B157" s="8">
        <v>2017</v>
      </c>
      <c r="C157" s="8" t="s">
        <v>62</v>
      </c>
      <c r="D157" s="58" t="s">
        <v>269</v>
      </c>
      <c r="E157" s="8">
        <v>1</v>
      </c>
      <c r="F157" s="26"/>
      <c r="G157" s="8">
        <v>1</v>
      </c>
      <c r="H157" s="8"/>
      <c r="I157" s="8">
        <v>1</v>
      </c>
      <c r="J157" s="13"/>
      <c r="K157" s="8"/>
      <c r="L157" s="8">
        <v>1</v>
      </c>
      <c r="M157" s="34"/>
      <c r="N157" s="8">
        <v>1</v>
      </c>
      <c r="O157" s="34"/>
      <c r="P157" s="8">
        <v>2</v>
      </c>
      <c r="R157" s="8"/>
      <c r="S157" s="8">
        <v>0</v>
      </c>
      <c r="T157" s="34"/>
      <c r="U157" s="8">
        <v>2</v>
      </c>
      <c r="V157" s="34"/>
      <c r="W157" s="8">
        <v>1</v>
      </c>
    </row>
    <row r="158" spans="1:23" ht="34" x14ac:dyDescent="0.2">
      <c r="A158" s="4" t="s">
        <v>172</v>
      </c>
      <c r="B158" s="8">
        <v>2019</v>
      </c>
      <c r="C158" s="8" t="s">
        <v>62</v>
      </c>
      <c r="D158" s="58" t="s">
        <v>267</v>
      </c>
      <c r="E158" s="8">
        <v>1</v>
      </c>
      <c r="F158" s="26"/>
      <c r="G158" s="8">
        <v>2</v>
      </c>
      <c r="H158" s="8"/>
      <c r="I158" s="8">
        <v>2</v>
      </c>
      <c r="J158" s="13"/>
      <c r="K158" s="8"/>
      <c r="L158" s="8">
        <v>1</v>
      </c>
      <c r="M158" s="34"/>
      <c r="N158" s="8">
        <v>1</v>
      </c>
      <c r="O158" s="34"/>
      <c r="P158" s="8">
        <v>2</v>
      </c>
      <c r="R158" s="8"/>
      <c r="S158" s="8">
        <v>0</v>
      </c>
      <c r="T158" s="34"/>
      <c r="U158" s="8">
        <v>2</v>
      </c>
      <c r="V158" s="34"/>
      <c r="W158" s="8">
        <v>1</v>
      </c>
    </row>
    <row r="159" spans="1:23" ht="34" x14ac:dyDescent="0.2">
      <c r="A159" s="4" t="s">
        <v>270</v>
      </c>
      <c r="B159" s="8">
        <v>2020</v>
      </c>
      <c r="C159" s="8" t="s">
        <v>62</v>
      </c>
      <c r="D159" s="58" t="s">
        <v>271</v>
      </c>
      <c r="E159" s="8">
        <v>1</v>
      </c>
      <c r="F159" s="26"/>
      <c r="G159" s="8">
        <v>1</v>
      </c>
      <c r="H159" s="8"/>
      <c r="I159" s="8">
        <v>1</v>
      </c>
      <c r="J159" s="13"/>
      <c r="K159" s="8"/>
      <c r="L159" s="8">
        <v>1</v>
      </c>
      <c r="M159" s="34"/>
      <c r="N159" s="8">
        <v>1</v>
      </c>
      <c r="O159" s="34"/>
      <c r="P159" s="8">
        <v>2</v>
      </c>
      <c r="R159" s="8"/>
      <c r="S159" s="8">
        <v>0</v>
      </c>
      <c r="T159" s="34"/>
      <c r="U159" s="8">
        <v>2</v>
      </c>
      <c r="V159" s="34"/>
      <c r="W159" s="8">
        <v>1</v>
      </c>
    </row>
    <row r="160" spans="1:23" ht="34" x14ac:dyDescent="0.2">
      <c r="A160" s="4" t="s">
        <v>173</v>
      </c>
      <c r="B160" s="8">
        <v>2022</v>
      </c>
      <c r="C160" s="8" t="s">
        <v>62</v>
      </c>
      <c r="D160" s="58" t="s">
        <v>272</v>
      </c>
      <c r="E160" s="8">
        <v>1</v>
      </c>
      <c r="F160" s="26"/>
      <c r="G160" s="8">
        <v>1</v>
      </c>
      <c r="H160" s="8"/>
      <c r="I160" s="8">
        <v>1</v>
      </c>
      <c r="J160" s="13"/>
      <c r="K160" s="8"/>
      <c r="L160" s="8">
        <v>1</v>
      </c>
      <c r="M160" s="34"/>
      <c r="N160" s="8">
        <v>1</v>
      </c>
      <c r="O160" s="34"/>
      <c r="P160" s="8">
        <v>2</v>
      </c>
      <c r="R160" s="8"/>
      <c r="S160" s="8">
        <v>0</v>
      </c>
      <c r="T160" s="34"/>
      <c r="U160" s="8">
        <v>2</v>
      </c>
      <c r="V160" s="34"/>
      <c r="W160" s="8">
        <v>1</v>
      </c>
    </row>
    <row r="161" spans="1:23" ht="34" x14ac:dyDescent="0.2">
      <c r="A161" s="4" t="s">
        <v>273</v>
      </c>
      <c r="B161" s="8">
        <v>2023</v>
      </c>
      <c r="C161" s="8" t="s">
        <v>62</v>
      </c>
      <c r="D161" s="58" t="s">
        <v>274</v>
      </c>
      <c r="E161" s="8">
        <v>1</v>
      </c>
      <c r="F161" s="26"/>
      <c r="G161" s="8">
        <v>1</v>
      </c>
      <c r="H161" s="8"/>
      <c r="I161" s="8">
        <v>1</v>
      </c>
      <c r="J161" s="13"/>
      <c r="K161" s="8"/>
      <c r="L161" s="8">
        <v>1</v>
      </c>
      <c r="M161" s="34"/>
      <c r="N161" s="8">
        <v>1</v>
      </c>
      <c r="O161" s="34"/>
      <c r="P161" s="8">
        <v>2</v>
      </c>
      <c r="R161" s="8"/>
      <c r="S161" s="8">
        <v>0</v>
      </c>
      <c r="T161" s="34"/>
      <c r="U161" s="8">
        <v>2</v>
      </c>
      <c r="V161" s="34"/>
      <c r="W161" s="8">
        <v>1</v>
      </c>
    </row>
    <row r="162" spans="1:23" s="59" customFormat="1" ht="34" x14ac:dyDescent="0.2">
      <c r="B162" s="59">
        <v>2005</v>
      </c>
      <c r="C162" s="80">
        <f>(2024-B162)/9</f>
        <v>2.1111111111111112</v>
      </c>
      <c r="D162" s="60" t="s">
        <v>120</v>
      </c>
      <c r="E162" s="24" t="s">
        <v>133</v>
      </c>
      <c r="F162" s="24"/>
      <c r="G162" s="6" t="s">
        <v>134</v>
      </c>
      <c r="H162" s="6"/>
      <c r="I162" s="6" t="s">
        <v>135</v>
      </c>
      <c r="J162" s="12"/>
      <c r="K162" s="6"/>
      <c r="L162" s="32" t="s">
        <v>29</v>
      </c>
      <c r="M162" s="32"/>
      <c r="N162" s="6" t="s">
        <v>136</v>
      </c>
      <c r="O162" s="32"/>
      <c r="P162" s="6" t="s">
        <v>137</v>
      </c>
      <c r="Q162" s="1"/>
      <c r="R162" s="6"/>
      <c r="S162" s="32" t="s">
        <v>138</v>
      </c>
      <c r="T162" s="32"/>
      <c r="U162" s="6" t="s">
        <v>49</v>
      </c>
      <c r="V162" s="32"/>
      <c r="W162" s="6" t="s">
        <v>50</v>
      </c>
    </row>
    <row r="163" spans="1:23" ht="34" x14ac:dyDescent="0.2">
      <c r="A163" s="5" t="s">
        <v>316</v>
      </c>
      <c r="B163" s="9">
        <v>2015</v>
      </c>
      <c r="C163" s="9" t="s">
        <v>24</v>
      </c>
      <c r="D163" s="58" t="s">
        <v>315</v>
      </c>
      <c r="E163" s="9">
        <v>2</v>
      </c>
      <c r="F163" s="27"/>
      <c r="G163" s="9">
        <v>2</v>
      </c>
      <c r="H163" s="9"/>
      <c r="I163" s="9">
        <v>2</v>
      </c>
      <c r="J163" s="13"/>
      <c r="K163" s="9"/>
      <c r="L163" s="9">
        <v>1</v>
      </c>
      <c r="M163" s="35"/>
      <c r="N163" s="9">
        <v>2</v>
      </c>
      <c r="O163" s="35"/>
      <c r="P163" s="9">
        <v>1</v>
      </c>
      <c r="R163" s="9"/>
      <c r="S163" s="9">
        <v>0</v>
      </c>
      <c r="T163" s="35"/>
      <c r="U163" s="9">
        <v>2</v>
      </c>
      <c r="V163" s="35"/>
      <c r="W163" s="9">
        <v>0</v>
      </c>
    </row>
    <row r="164" spans="1:23" ht="34" x14ac:dyDescent="0.2">
      <c r="A164" s="5" t="s">
        <v>174</v>
      </c>
      <c r="B164" s="9">
        <v>2016</v>
      </c>
      <c r="C164" s="9" t="s">
        <v>24</v>
      </c>
      <c r="D164" s="58" t="s">
        <v>275</v>
      </c>
      <c r="E164" s="9">
        <v>2</v>
      </c>
      <c r="F164" s="27"/>
      <c r="G164" s="9">
        <v>2</v>
      </c>
      <c r="H164" s="9"/>
      <c r="I164" s="9">
        <v>2</v>
      </c>
      <c r="J164" s="13"/>
      <c r="K164" s="9"/>
      <c r="L164" s="9">
        <v>1</v>
      </c>
      <c r="M164" s="35"/>
      <c r="N164" s="9">
        <v>2</v>
      </c>
      <c r="O164" s="35"/>
      <c r="P164" s="9">
        <v>1</v>
      </c>
      <c r="R164" s="9"/>
      <c r="S164" s="9">
        <v>0</v>
      </c>
      <c r="T164" s="35"/>
      <c r="U164" s="9">
        <v>2</v>
      </c>
      <c r="V164" s="35"/>
      <c r="W164" s="9">
        <v>1</v>
      </c>
    </row>
    <row r="165" spans="1:23" ht="34" x14ac:dyDescent="0.2">
      <c r="A165" s="5" t="s">
        <v>175</v>
      </c>
      <c r="B165" s="9">
        <v>2017</v>
      </c>
      <c r="C165" s="9" t="s">
        <v>24</v>
      </c>
      <c r="D165" s="58" t="s">
        <v>276</v>
      </c>
      <c r="E165" s="9">
        <v>2</v>
      </c>
      <c r="F165" s="27"/>
      <c r="G165" s="9">
        <v>1</v>
      </c>
      <c r="H165" s="9"/>
      <c r="I165" s="9">
        <v>1</v>
      </c>
      <c r="J165" s="13"/>
      <c r="K165" s="9"/>
      <c r="L165" s="9">
        <v>1</v>
      </c>
      <c r="M165" s="35"/>
      <c r="N165" s="9">
        <v>2</v>
      </c>
      <c r="O165" s="35"/>
      <c r="P165" s="9">
        <v>1</v>
      </c>
      <c r="R165" s="9"/>
      <c r="S165" s="9">
        <v>0</v>
      </c>
      <c r="T165" s="35"/>
      <c r="U165" s="9">
        <v>2</v>
      </c>
      <c r="V165" s="35"/>
      <c r="W165" s="9">
        <v>0</v>
      </c>
    </row>
    <row r="166" spans="1:23" ht="34" x14ac:dyDescent="0.2">
      <c r="A166" s="5" t="s">
        <v>176</v>
      </c>
      <c r="B166" s="9">
        <v>2018</v>
      </c>
      <c r="C166" s="9" t="s">
        <v>24</v>
      </c>
      <c r="D166" s="58" t="s">
        <v>277</v>
      </c>
      <c r="E166" s="9">
        <v>2</v>
      </c>
      <c r="F166" s="27"/>
      <c r="G166" s="9">
        <v>2</v>
      </c>
      <c r="H166" s="9"/>
      <c r="I166" s="9">
        <v>2</v>
      </c>
      <c r="J166" s="13"/>
      <c r="K166" s="9"/>
      <c r="L166" s="9">
        <v>1</v>
      </c>
      <c r="M166" s="35"/>
      <c r="N166" s="9">
        <v>2</v>
      </c>
      <c r="O166" s="35"/>
      <c r="P166" s="9">
        <v>1</v>
      </c>
      <c r="R166" s="9"/>
      <c r="S166" s="9">
        <v>0</v>
      </c>
      <c r="T166" s="35"/>
      <c r="U166" s="9">
        <v>2</v>
      </c>
      <c r="V166" s="35"/>
      <c r="W166" s="9">
        <v>1</v>
      </c>
    </row>
    <row r="167" spans="1:23" ht="34" x14ac:dyDescent="0.2">
      <c r="A167" s="5" t="s">
        <v>318</v>
      </c>
      <c r="B167" s="9">
        <v>2019</v>
      </c>
      <c r="C167" s="9" t="s">
        <v>24</v>
      </c>
      <c r="D167" s="58" t="s">
        <v>317</v>
      </c>
      <c r="E167" s="9">
        <v>2</v>
      </c>
      <c r="F167" s="27"/>
      <c r="G167" s="9">
        <v>2</v>
      </c>
      <c r="H167" s="9"/>
      <c r="I167" s="9">
        <v>1</v>
      </c>
      <c r="J167" s="13"/>
      <c r="K167" s="9"/>
      <c r="L167" s="9">
        <v>1</v>
      </c>
      <c r="M167" s="35"/>
      <c r="N167" s="9">
        <v>2</v>
      </c>
      <c r="O167" s="35"/>
      <c r="P167" s="9">
        <v>0</v>
      </c>
      <c r="R167" s="9"/>
      <c r="S167" s="9">
        <v>0</v>
      </c>
      <c r="T167" s="35"/>
      <c r="U167" s="9">
        <v>2</v>
      </c>
      <c r="V167" s="35"/>
      <c r="W167" s="9">
        <v>0</v>
      </c>
    </row>
    <row r="168" spans="1:23" ht="34" x14ac:dyDescent="0.2">
      <c r="A168" s="5" t="s">
        <v>177</v>
      </c>
      <c r="B168" s="9">
        <v>2020</v>
      </c>
      <c r="C168" s="9" t="s">
        <v>24</v>
      </c>
      <c r="D168" s="58" t="s">
        <v>278</v>
      </c>
      <c r="E168" s="9">
        <v>2</v>
      </c>
      <c r="F168" s="27"/>
      <c r="G168" s="9">
        <v>1</v>
      </c>
      <c r="H168" s="9"/>
      <c r="I168" s="9">
        <v>0</v>
      </c>
      <c r="J168" s="13"/>
      <c r="K168" s="9"/>
      <c r="L168" s="9">
        <v>1</v>
      </c>
      <c r="M168" s="35"/>
      <c r="N168" s="9">
        <v>2</v>
      </c>
      <c r="O168" s="35"/>
      <c r="P168" s="9">
        <v>0</v>
      </c>
      <c r="R168" s="9"/>
      <c r="S168" s="9">
        <v>0</v>
      </c>
      <c r="T168" s="35"/>
      <c r="U168" s="9">
        <v>2</v>
      </c>
      <c r="V168" s="35"/>
      <c r="W168" s="9">
        <v>0</v>
      </c>
    </row>
    <row r="169" spans="1:23" ht="34" x14ac:dyDescent="0.2">
      <c r="A169" s="5" t="s">
        <v>320</v>
      </c>
      <c r="B169" s="9">
        <v>2021</v>
      </c>
      <c r="C169" s="9" t="s">
        <v>24</v>
      </c>
      <c r="D169" s="58" t="s">
        <v>319</v>
      </c>
      <c r="E169" s="9">
        <v>1</v>
      </c>
      <c r="F169" s="27"/>
      <c r="G169" s="9">
        <v>2</v>
      </c>
      <c r="H169" s="9"/>
      <c r="I169" s="9">
        <v>2</v>
      </c>
      <c r="J169" s="13"/>
      <c r="K169" s="9"/>
      <c r="L169" s="9">
        <v>1</v>
      </c>
      <c r="M169" s="35"/>
      <c r="N169" s="9">
        <v>2</v>
      </c>
      <c r="O169" s="35"/>
      <c r="P169" s="9">
        <v>2</v>
      </c>
      <c r="R169" s="9"/>
      <c r="S169" s="9">
        <v>0</v>
      </c>
      <c r="T169" s="35"/>
      <c r="U169" s="9">
        <v>2</v>
      </c>
      <c r="V169" s="35"/>
      <c r="W169" s="9">
        <v>0</v>
      </c>
    </row>
    <row r="170" spans="1:23" ht="34" x14ac:dyDescent="0.2">
      <c r="A170" s="5" t="s">
        <v>279</v>
      </c>
      <c r="B170" s="9">
        <v>2022</v>
      </c>
      <c r="C170" s="9" t="s">
        <v>24</v>
      </c>
      <c r="D170" s="58" t="s">
        <v>280</v>
      </c>
      <c r="E170" s="9">
        <v>1</v>
      </c>
      <c r="F170" s="27"/>
      <c r="G170" s="9">
        <v>2</v>
      </c>
      <c r="H170" s="9"/>
      <c r="I170" s="9">
        <v>2</v>
      </c>
      <c r="J170" s="13"/>
      <c r="K170" s="9"/>
      <c r="L170" s="9">
        <v>1</v>
      </c>
      <c r="M170" s="35"/>
      <c r="N170" s="9">
        <v>2</v>
      </c>
      <c r="O170" s="35"/>
      <c r="P170" s="9">
        <v>2</v>
      </c>
      <c r="R170" s="9"/>
      <c r="S170" s="9">
        <v>0</v>
      </c>
      <c r="T170" s="35"/>
      <c r="U170" s="9">
        <v>2</v>
      </c>
      <c r="V170" s="35"/>
      <c r="W170" s="9">
        <v>0</v>
      </c>
    </row>
    <row r="171" spans="1:23" ht="34" x14ac:dyDescent="0.2">
      <c r="A171" s="5" t="s">
        <v>322</v>
      </c>
      <c r="B171" s="9">
        <v>2023</v>
      </c>
      <c r="C171" s="9" t="s">
        <v>24</v>
      </c>
      <c r="D171" s="58" t="s">
        <v>321</v>
      </c>
      <c r="E171" s="9">
        <v>2</v>
      </c>
      <c r="F171" s="27"/>
      <c r="G171" s="9">
        <v>2</v>
      </c>
      <c r="H171" s="9"/>
      <c r="I171" s="9">
        <v>2</v>
      </c>
      <c r="J171" s="13"/>
      <c r="K171" s="9"/>
      <c r="L171" s="9">
        <v>1</v>
      </c>
      <c r="M171" s="35"/>
      <c r="N171" s="9">
        <v>2</v>
      </c>
      <c r="O171" s="35"/>
      <c r="P171" s="9">
        <v>1</v>
      </c>
      <c r="R171" s="9"/>
      <c r="S171" s="9">
        <v>0</v>
      </c>
      <c r="T171" s="35"/>
      <c r="U171" s="9">
        <v>2</v>
      </c>
      <c r="V171" s="35"/>
      <c r="W171" s="9">
        <v>0</v>
      </c>
    </row>
    <row r="172" spans="1:23" s="59" customFormat="1" ht="34" x14ac:dyDescent="0.2">
      <c r="B172" s="59">
        <v>1999</v>
      </c>
      <c r="C172" s="80">
        <f>(2024-B172)/9</f>
        <v>2.7777777777777777</v>
      </c>
      <c r="D172" s="60" t="s">
        <v>121</v>
      </c>
      <c r="E172" s="24" t="s">
        <v>133</v>
      </c>
      <c r="F172" s="24"/>
      <c r="G172" s="6" t="s">
        <v>134</v>
      </c>
      <c r="H172" s="6"/>
      <c r="I172" s="6" t="s">
        <v>135</v>
      </c>
      <c r="J172" s="12"/>
      <c r="K172" s="6"/>
      <c r="L172" s="32" t="s">
        <v>29</v>
      </c>
      <c r="M172" s="32"/>
      <c r="N172" s="6" t="s">
        <v>136</v>
      </c>
      <c r="O172" s="32"/>
      <c r="P172" s="6" t="s">
        <v>137</v>
      </c>
      <c r="Q172" s="1"/>
      <c r="R172" s="6"/>
      <c r="S172" s="32" t="s">
        <v>138</v>
      </c>
      <c r="T172" s="32"/>
      <c r="U172" s="6" t="s">
        <v>49</v>
      </c>
      <c r="V172" s="32"/>
      <c r="W172" s="6" t="s">
        <v>50</v>
      </c>
    </row>
    <row r="173" spans="1:23" ht="34" x14ac:dyDescent="0.2">
      <c r="A173" s="3" t="s">
        <v>122</v>
      </c>
      <c r="B173" s="7">
        <v>2000</v>
      </c>
      <c r="C173" s="7" t="s">
        <v>61</v>
      </c>
      <c r="D173" s="58" t="s">
        <v>281</v>
      </c>
      <c r="E173" s="7">
        <v>0</v>
      </c>
      <c r="F173" s="25"/>
      <c r="G173" s="7">
        <v>0</v>
      </c>
      <c r="H173" s="7"/>
      <c r="I173" s="7">
        <v>1</v>
      </c>
      <c r="J173" s="13"/>
      <c r="K173" s="7"/>
      <c r="L173" s="7">
        <v>1</v>
      </c>
      <c r="M173" s="33"/>
      <c r="N173" s="7">
        <v>2</v>
      </c>
      <c r="O173" s="33"/>
      <c r="P173" s="7">
        <v>2</v>
      </c>
      <c r="R173" s="7"/>
      <c r="S173" s="7">
        <v>0</v>
      </c>
      <c r="T173" s="33"/>
      <c r="U173" s="7">
        <v>2</v>
      </c>
      <c r="V173" s="33"/>
      <c r="W173" s="7">
        <v>0</v>
      </c>
    </row>
    <row r="174" spans="1:23" ht="34" x14ac:dyDescent="0.2">
      <c r="A174" s="3" t="s">
        <v>282</v>
      </c>
      <c r="B174" s="7">
        <v>2003</v>
      </c>
      <c r="C174" s="7" t="s">
        <v>61</v>
      </c>
      <c r="D174" s="58" t="s">
        <v>283</v>
      </c>
      <c r="E174" s="7">
        <v>0</v>
      </c>
      <c r="F174" s="25"/>
      <c r="G174" s="7">
        <v>1</v>
      </c>
      <c r="H174" s="7"/>
      <c r="I174" s="7">
        <v>1</v>
      </c>
      <c r="J174" s="13"/>
      <c r="K174" s="7"/>
      <c r="L174" s="7">
        <v>1</v>
      </c>
      <c r="M174" s="33"/>
      <c r="N174" s="7">
        <v>2</v>
      </c>
      <c r="O174" s="33"/>
      <c r="P174" s="7">
        <v>1</v>
      </c>
      <c r="R174" s="7"/>
      <c r="S174" s="7">
        <v>0</v>
      </c>
      <c r="T174" s="33"/>
      <c r="U174" s="7">
        <v>2</v>
      </c>
      <c r="V174" s="33"/>
      <c r="W174" s="7">
        <v>0</v>
      </c>
    </row>
    <row r="175" spans="1:23" ht="34" x14ac:dyDescent="0.2">
      <c r="A175" s="3" t="s">
        <v>178</v>
      </c>
      <c r="B175" s="7">
        <v>2006</v>
      </c>
      <c r="C175" s="7" t="s">
        <v>61</v>
      </c>
      <c r="D175" s="58" t="s">
        <v>284</v>
      </c>
      <c r="E175" s="7">
        <v>0</v>
      </c>
      <c r="F175" s="25"/>
      <c r="G175" s="7">
        <v>0</v>
      </c>
      <c r="H175" s="7"/>
      <c r="I175" s="7">
        <v>1</v>
      </c>
      <c r="J175" s="13"/>
      <c r="K175" s="7"/>
      <c r="L175" s="7">
        <v>1</v>
      </c>
      <c r="M175" s="33"/>
      <c r="N175" s="7">
        <v>2</v>
      </c>
      <c r="O175" s="33"/>
      <c r="P175" s="7">
        <v>1</v>
      </c>
      <c r="R175" s="7"/>
      <c r="S175" s="7">
        <v>0</v>
      </c>
      <c r="T175" s="33"/>
      <c r="U175" s="7">
        <v>2</v>
      </c>
      <c r="V175" s="33"/>
      <c r="W175" s="7">
        <v>0</v>
      </c>
    </row>
    <row r="176" spans="1:23" ht="40" x14ac:dyDescent="0.2">
      <c r="A176" s="3" t="s">
        <v>285</v>
      </c>
      <c r="B176" s="7">
        <v>2009</v>
      </c>
      <c r="C176" s="7" t="s">
        <v>61</v>
      </c>
      <c r="D176" s="58" t="s">
        <v>286</v>
      </c>
      <c r="E176" s="7">
        <v>0</v>
      </c>
      <c r="F176" s="25"/>
      <c r="G176" s="7">
        <v>0</v>
      </c>
      <c r="H176" s="7"/>
      <c r="I176" s="7">
        <v>1</v>
      </c>
      <c r="J176" s="13"/>
      <c r="K176" s="7"/>
      <c r="L176" s="7">
        <v>1</v>
      </c>
      <c r="M176" s="33"/>
      <c r="N176" s="7">
        <v>2</v>
      </c>
      <c r="O176" s="33"/>
      <c r="P176" s="7">
        <v>2</v>
      </c>
      <c r="R176" s="7"/>
      <c r="S176" s="7">
        <v>0</v>
      </c>
      <c r="T176" s="33"/>
      <c r="U176" s="7">
        <v>2</v>
      </c>
      <c r="V176" s="33"/>
      <c r="W176" s="7">
        <v>0</v>
      </c>
    </row>
    <row r="177" spans="1:23" ht="40" x14ac:dyDescent="0.2">
      <c r="A177" s="3" t="s">
        <v>287</v>
      </c>
      <c r="B177" s="7">
        <v>2012</v>
      </c>
      <c r="C177" s="7" t="s">
        <v>61</v>
      </c>
      <c r="D177" s="58" t="s">
        <v>288</v>
      </c>
      <c r="E177" s="7">
        <v>0</v>
      </c>
      <c r="F177" s="25"/>
      <c r="G177" s="7">
        <v>1</v>
      </c>
      <c r="H177" s="7"/>
      <c r="I177" s="7">
        <v>1</v>
      </c>
      <c r="J177" s="13"/>
      <c r="K177" s="7"/>
      <c r="L177" s="7">
        <v>1</v>
      </c>
      <c r="M177" s="33"/>
      <c r="N177" s="7">
        <v>2</v>
      </c>
      <c r="O177" s="33"/>
      <c r="P177" s="7">
        <v>1</v>
      </c>
      <c r="R177" s="7"/>
      <c r="S177" s="7">
        <v>0</v>
      </c>
      <c r="T177" s="33"/>
      <c r="U177" s="7">
        <v>2</v>
      </c>
      <c r="V177" s="33"/>
      <c r="W177" s="7">
        <v>0</v>
      </c>
    </row>
    <row r="178" spans="1:23" ht="40" x14ac:dyDescent="0.2">
      <c r="A178" s="3" t="s">
        <v>289</v>
      </c>
      <c r="B178" s="7">
        <v>2015</v>
      </c>
      <c r="C178" s="7" t="s">
        <v>61</v>
      </c>
      <c r="D178" s="58" t="s">
        <v>290</v>
      </c>
      <c r="E178" s="7">
        <v>0</v>
      </c>
      <c r="F178" s="25"/>
      <c r="G178" s="7">
        <v>1</v>
      </c>
      <c r="H178" s="7"/>
      <c r="I178" s="7">
        <v>1</v>
      </c>
      <c r="J178" s="13"/>
      <c r="K178" s="7"/>
      <c r="L178" s="7">
        <v>1</v>
      </c>
      <c r="M178" s="33"/>
      <c r="N178" s="7">
        <v>2</v>
      </c>
      <c r="O178" s="33"/>
      <c r="P178" s="7">
        <v>1</v>
      </c>
      <c r="R178" s="7"/>
      <c r="S178" s="7">
        <v>0</v>
      </c>
      <c r="T178" s="33"/>
      <c r="U178" s="7">
        <v>2</v>
      </c>
      <c r="V178" s="33"/>
      <c r="W178" s="7">
        <v>0</v>
      </c>
    </row>
    <row r="179" spans="1:23" ht="34" x14ac:dyDescent="0.2">
      <c r="A179" s="3" t="s">
        <v>291</v>
      </c>
      <c r="B179" s="7">
        <v>2018</v>
      </c>
      <c r="C179" s="7" t="s">
        <v>61</v>
      </c>
      <c r="D179" s="58" t="s">
        <v>292</v>
      </c>
      <c r="E179" s="7">
        <v>0</v>
      </c>
      <c r="F179" s="25"/>
      <c r="G179" s="7">
        <v>1</v>
      </c>
      <c r="H179" s="7"/>
      <c r="I179" s="7">
        <v>1</v>
      </c>
      <c r="J179" s="13"/>
      <c r="K179" s="7"/>
      <c r="L179" s="7">
        <v>1</v>
      </c>
      <c r="M179" s="33"/>
      <c r="N179" s="7">
        <v>2</v>
      </c>
      <c r="O179" s="33"/>
      <c r="P179" s="7">
        <v>1</v>
      </c>
      <c r="R179" s="7"/>
      <c r="S179" s="7">
        <v>0</v>
      </c>
      <c r="T179" s="33"/>
      <c r="U179" s="7">
        <v>2</v>
      </c>
      <c r="V179" s="33"/>
      <c r="W179" s="7">
        <v>0</v>
      </c>
    </row>
    <row r="180" spans="1:23" ht="34" x14ac:dyDescent="0.2">
      <c r="A180" s="3" t="s">
        <v>179</v>
      </c>
      <c r="B180" s="7">
        <v>2021</v>
      </c>
      <c r="C180" s="7" t="s">
        <v>61</v>
      </c>
      <c r="D180" s="58" t="s">
        <v>293</v>
      </c>
      <c r="E180" s="7">
        <v>0</v>
      </c>
      <c r="F180" s="25"/>
      <c r="G180" s="7">
        <v>1</v>
      </c>
      <c r="H180" s="7"/>
      <c r="I180" s="7">
        <v>1</v>
      </c>
      <c r="J180" s="13"/>
      <c r="K180" s="7"/>
      <c r="L180" s="7">
        <v>1</v>
      </c>
      <c r="M180" s="33"/>
      <c r="N180" s="7">
        <v>2</v>
      </c>
      <c r="O180" s="33"/>
      <c r="P180" s="7">
        <v>2</v>
      </c>
      <c r="R180" s="7"/>
      <c r="S180" s="7">
        <v>0</v>
      </c>
      <c r="T180" s="33"/>
      <c r="U180" s="7">
        <v>2</v>
      </c>
      <c r="V180" s="33"/>
      <c r="W180" s="7">
        <v>0</v>
      </c>
    </row>
    <row r="181" spans="1:23" ht="34" x14ac:dyDescent="0.2">
      <c r="A181" s="3" t="s">
        <v>180</v>
      </c>
      <c r="B181" s="7">
        <v>2023</v>
      </c>
      <c r="C181" s="7" t="s">
        <v>61</v>
      </c>
      <c r="D181" s="58" t="s">
        <v>294</v>
      </c>
      <c r="E181" s="7">
        <v>0</v>
      </c>
      <c r="F181" s="25"/>
      <c r="G181" s="7">
        <v>1</v>
      </c>
      <c r="H181" s="7"/>
      <c r="I181" s="7">
        <v>1</v>
      </c>
      <c r="J181" s="13"/>
      <c r="K181" s="7"/>
      <c r="L181" s="7">
        <v>1</v>
      </c>
      <c r="M181" s="33"/>
      <c r="N181" s="7">
        <v>2</v>
      </c>
      <c r="O181" s="33"/>
      <c r="P181" s="7">
        <v>1</v>
      </c>
      <c r="R181" s="7"/>
      <c r="S181" s="7">
        <v>0</v>
      </c>
      <c r="T181" s="33"/>
      <c r="U181" s="7">
        <v>2</v>
      </c>
      <c r="V181" s="33"/>
      <c r="W181" s="7">
        <v>0</v>
      </c>
    </row>
    <row r="182" spans="1:23" s="59" customFormat="1" ht="20" x14ac:dyDescent="0.2">
      <c r="B182" s="59" t="s">
        <v>295</v>
      </c>
      <c r="D182" s="59" t="s">
        <v>295</v>
      </c>
      <c r="E182" s="24" t="s">
        <v>133</v>
      </c>
      <c r="F182" s="24"/>
      <c r="G182" s="6" t="s">
        <v>134</v>
      </c>
      <c r="H182" s="6"/>
      <c r="I182" s="6" t="s">
        <v>135</v>
      </c>
      <c r="J182" s="12"/>
      <c r="K182" s="6"/>
      <c r="L182" s="32" t="s">
        <v>29</v>
      </c>
      <c r="M182" s="32"/>
      <c r="N182" s="6" t="s">
        <v>136</v>
      </c>
      <c r="O182" s="32"/>
      <c r="P182" s="6" t="s">
        <v>137</v>
      </c>
      <c r="Q182" s="1"/>
      <c r="R182" s="6"/>
      <c r="S182" s="32" t="s">
        <v>138</v>
      </c>
      <c r="T182" s="32"/>
      <c r="U182" s="6" t="s">
        <v>49</v>
      </c>
      <c r="V182" s="32"/>
      <c r="W182" s="6" t="s">
        <v>50</v>
      </c>
    </row>
    <row r="183" spans="1:23" ht="34" x14ac:dyDescent="0.2">
      <c r="A183" s="4" t="s">
        <v>6</v>
      </c>
      <c r="B183" s="8">
        <v>1980</v>
      </c>
      <c r="C183" s="8" t="s">
        <v>25</v>
      </c>
      <c r="D183" s="58" t="s">
        <v>132</v>
      </c>
      <c r="E183" s="26">
        <v>0</v>
      </c>
      <c r="F183" s="26"/>
      <c r="G183" s="8">
        <v>1</v>
      </c>
      <c r="H183" s="8"/>
      <c r="I183" s="8">
        <v>2</v>
      </c>
      <c r="J183" s="13"/>
      <c r="K183" s="8"/>
      <c r="L183" s="8">
        <v>1</v>
      </c>
      <c r="M183" s="34"/>
      <c r="N183" s="8">
        <v>2</v>
      </c>
      <c r="O183" s="34"/>
      <c r="P183" s="8">
        <v>2</v>
      </c>
      <c r="R183" s="8"/>
      <c r="S183" s="34">
        <v>0</v>
      </c>
      <c r="T183" s="34"/>
      <c r="U183" s="8">
        <v>2</v>
      </c>
      <c r="V183" s="34"/>
      <c r="W183" s="8">
        <v>0</v>
      </c>
    </row>
    <row r="184" spans="1:23" ht="20" x14ac:dyDescent="0.2">
      <c r="A184" s="4" t="s">
        <v>7</v>
      </c>
      <c r="B184" s="8">
        <v>2014</v>
      </c>
      <c r="C184" s="8" t="s">
        <v>25</v>
      </c>
      <c r="D184" s="58" t="s">
        <v>123</v>
      </c>
      <c r="E184" s="26">
        <v>1</v>
      </c>
      <c r="F184" s="26"/>
      <c r="G184" s="8">
        <v>1</v>
      </c>
      <c r="H184" s="8"/>
      <c r="I184" s="8">
        <v>2</v>
      </c>
      <c r="J184" s="13"/>
      <c r="K184" s="8"/>
      <c r="L184" s="8">
        <v>2</v>
      </c>
      <c r="M184" s="34"/>
      <c r="N184" s="8">
        <v>2</v>
      </c>
      <c r="O184" s="34"/>
      <c r="P184" s="8">
        <v>0</v>
      </c>
      <c r="R184" s="8"/>
      <c r="S184" s="34">
        <v>2</v>
      </c>
      <c r="T184" s="34"/>
      <c r="U184" s="8">
        <v>2</v>
      </c>
      <c r="V184" s="34"/>
      <c r="W184" s="8">
        <v>2</v>
      </c>
    </row>
    <row r="185" spans="1:23" ht="34" x14ac:dyDescent="0.2">
      <c r="A185" s="4" t="s">
        <v>8</v>
      </c>
      <c r="B185" s="8">
        <v>2019</v>
      </c>
      <c r="C185" s="8" t="s">
        <v>25</v>
      </c>
      <c r="D185" s="58" t="s">
        <v>124</v>
      </c>
      <c r="E185" s="26">
        <v>2</v>
      </c>
      <c r="F185" s="26"/>
      <c r="G185" s="8">
        <v>0</v>
      </c>
      <c r="H185" s="8"/>
      <c r="I185" s="8">
        <v>1</v>
      </c>
      <c r="J185" s="13"/>
      <c r="K185" s="8"/>
      <c r="L185" s="8">
        <v>1</v>
      </c>
      <c r="M185" s="34"/>
      <c r="N185" s="8">
        <v>1</v>
      </c>
      <c r="O185" s="34"/>
      <c r="P185" s="8">
        <v>2</v>
      </c>
      <c r="R185" s="8"/>
      <c r="S185" s="34">
        <v>0</v>
      </c>
      <c r="T185" s="34"/>
      <c r="U185" s="8">
        <v>2</v>
      </c>
      <c r="V185" s="34"/>
      <c r="W185" s="8">
        <v>0</v>
      </c>
    </row>
    <row r="186" spans="1:23" ht="34" x14ac:dyDescent="0.2">
      <c r="A186" s="4" t="s">
        <v>9</v>
      </c>
      <c r="B186" s="8">
        <v>2019</v>
      </c>
      <c r="C186" s="8" t="s">
        <v>25</v>
      </c>
      <c r="D186" s="58" t="s">
        <v>125</v>
      </c>
      <c r="E186" s="26">
        <v>1</v>
      </c>
      <c r="F186" s="26"/>
      <c r="G186" s="8">
        <v>2</v>
      </c>
      <c r="H186" s="8"/>
      <c r="I186" s="8">
        <v>2</v>
      </c>
      <c r="J186" s="13"/>
      <c r="K186" s="8"/>
      <c r="L186" s="8">
        <v>2</v>
      </c>
      <c r="M186" s="34"/>
      <c r="N186" s="8">
        <v>2</v>
      </c>
      <c r="O186" s="34"/>
      <c r="P186" s="8">
        <v>0</v>
      </c>
      <c r="R186" s="8"/>
      <c r="S186" s="34">
        <v>0</v>
      </c>
      <c r="T186" s="34"/>
      <c r="U186" s="8">
        <v>0</v>
      </c>
      <c r="V186" s="34"/>
      <c r="W186" s="8">
        <v>0</v>
      </c>
    </row>
    <row r="187" spans="1:23" ht="34" x14ac:dyDescent="0.2">
      <c r="A187" s="4" t="s">
        <v>16</v>
      </c>
      <c r="B187" s="8">
        <v>2013</v>
      </c>
      <c r="C187" s="8" t="s">
        <v>25</v>
      </c>
      <c r="D187" s="58" t="s">
        <v>126</v>
      </c>
      <c r="E187" s="26">
        <v>2</v>
      </c>
      <c r="F187" s="26"/>
      <c r="G187" s="8">
        <v>2</v>
      </c>
      <c r="H187" s="8"/>
      <c r="I187" s="8">
        <v>2</v>
      </c>
      <c r="J187" s="13"/>
      <c r="K187" s="8"/>
      <c r="L187" s="8">
        <v>1</v>
      </c>
      <c r="M187" s="34"/>
      <c r="N187" s="8">
        <v>1</v>
      </c>
      <c r="O187" s="34"/>
      <c r="P187" s="8">
        <v>2</v>
      </c>
      <c r="R187" s="8"/>
      <c r="S187" s="34">
        <v>0</v>
      </c>
      <c r="T187" s="34"/>
      <c r="U187" s="8">
        <v>2</v>
      </c>
      <c r="V187" s="34"/>
      <c r="W187" s="8">
        <v>1</v>
      </c>
    </row>
    <row r="188" spans="1:23" ht="34" x14ac:dyDescent="0.2">
      <c r="A188" s="4" t="s">
        <v>14</v>
      </c>
      <c r="B188" s="8">
        <v>2005</v>
      </c>
      <c r="C188" s="8" t="s">
        <v>25</v>
      </c>
      <c r="D188" s="58" t="s">
        <v>127</v>
      </c>
      <c r="E188" s="26">
        <v>2</v>
      </c>
      <c r="F188" s="26"/>
      <c r="G188" s="8">
        <v>1</v>
      </c>
      <c r="H188" s="8"/>
      <c r="I188" s="8">
        <v>1</v>
      </c>
      <c r="J188" s="13"/>
      <c r="K188" s="8"/>
      <c r="L188" s="8">
        <v>1</v>
      </c>
      <c r="M188" s="34"/>
      <c r="N188" s="8">
        <v>2</v>
      </c>
      <c r="O188" s="34"/>
      <c r="P188" s="8">
        <v>0</v>
      </c>
      <c r="R188" s="8"/>
      <c r="S188" s="34">
        <v>0</v>
      </c>
      <c r="T188" s="34"/>
      <c r="U188" s="8">
        <v>2</v>
      </c>
      <c r="V188" s="34"/>
      <c r="W188" s="8">
        <v>0</v>
      </c>
    </row>
    <row r="189" spans="1:23" ht="51" x14ac:dyDescent="0.2">
      <c r="A189" s="4" t="s">
        <v>15</v>
      </c>
      <c r="B189" s="8">
        <v>2018</v>
      </c>
      <c r="C189" s="8" t="s">
        <v>25</v>
      </c>
      <c r="D189" s="58" t="s">
        <v>128</v>
      </c>
      <c r="E189" s="26">
        <v>2</v>
      </c>
      <c r="F189" s="26"/>
      <c r="G189" s="8">
        <v>2</v>
      </c>
      <c r="H189" s="8"/>
      <c r="I189" s="8">
        <v>1</v>
      </c>
      <c r="J189" s="13"/>
      <c r="K189" s="8"/>
      <c r="L189" s="8">
        <v>1</v>
      </c>
      <c r="M189" s="34"/>
      <c r="N189" s="8">
        <v>2</v>
      </c>
      <c r="O189" s="34"/>
      <c r="P189" s="8">
        <v>0</v>
      </c>
      <c r="R189" s="8"/>
      <c r="S189" s="34">
        <v>0</v>
      </c>
      <c r="T189" s="34"/>
      <c r="U189" s="8">
        <v>2</v>
      </c>
      <c r="V189" s="34"/>
      <c r="W189" s="8">
        <v>1</v>
      </c>
    </row>
    <row r="190" spans="1:23" ht="34" x14ac:dyDescent="0.2">
      <c r="A190" s="4" t="s">
        <v>10</v>
      </c>
      <c r="B190" s="8">
        <v>2012</v>
      </c>
      <c r="C190" s="8" t="s">
        <v>25</v>
      </c>
      <c r="D190" s="58" t="s">
        <v>129</v>
      </c>
      <c r="E190" s="26">
        <v>1</v>
      </c>
      <c r="F190" s="26"/>
      <c r="G190" s="8">
        <v>2</v>
      </c>
      <c r="H190" s="8"/>
      <c r="I190" s="8">
        <v>1</v>
      </c>
      <c r="J190" s="13"/>
      <c r="K190" s="8"/>
      <c r="L190" s="8">
        <v>1</v>
      </c>
      <c r="M190" s="34"/>
      <c r="N190" s="8">
        <v>2</v>
      </c>
      <c r="O190" s="34"/>
      <c r="P190" s="8">
        <v>2</v>
      </c>
      <c r="R190" s="8"/>
      <c r="S190" s="34">
        <v>0</v>
      </c>
      <c r="T190" s="34"/>
      <c r="U190" s="8">
        <v>0</v>
      </c>
      <c r="V190" s="34"/>
      <c r="W190" s="8">
        <v>2</v>
      </c>
    </row>
    <row r="191" spans="1:23" ht="34" x14ac:dyDescent="0.2">
      <c r="A191" s="4" t="s">
        <v>11</v>
      </c>
      <c r="B191" s="8">
        <v>2014</v>
      </c>
      <c r="C191" s="8" t="s">
        <v>25</v>
      </c>
      <c r="D191" s="58" t="s">
        <v>130</v>
      </c>
      <c r="E191" s="26">
        <v>2</v>
      </c>
      <c r="F191" s="26"/>
      <c r="G191" s="8">
        <v>1</v>
      </c>
      <c r="H191" s="8"/>
      <c r="I191" s="8">
        <v>1</v>
      </c>
      <c r="J191" s="13"/>
      <c r="K191" s="8"/>
      <c r="L191" s="8">
        <v>1</v>
      </c>
      <c r="M191" s="34"/>
      <c r="N191" s="8">
        <v>2</v>
      </c>
      <c r="O191" s="34"/>
      <c r="P191" s="8">
        <v>1</v>
      </c>
      <c r="R191" s="8"/>
      <c r="S191" s="34">
        <v>0</v>
      </c>
      <c r="T191" s="34"/>
      <c r="U191" s="8">
        <v>2</v>
      </c>
      <c r="V191" s="34"/>
      <c r="W191" s="8">
        <v>2</v>
      </c>
    </row>
    <row r="192" spans="1:23" ht="34" x14ac:dyDescent="0.2">
      <c r="A192" s="4" t="s">
        <v>12</v>
      </c>
      <c r="B192" s="8">
        <v>2018</v>
      </c>
      <c r="C192" s="8" t="s">
        <v>25</v>
      </c>
      <c r="D192" s="58" t="s">
        <v>131</v>
      </c>
      <c r="E192" s="26">
        <v>1</v>
      </c>
      <c r="F192" s="26"/>
      <c r="G192" s="8">
        <v>2</v>
      </c>
      <c r="H192" s="8"/>
      <c r="I192" s="8">
        <v>1</v>
      </c>
      <c r="J192" s="13"/>
      <c r="K192" s="8"/>
      <c r="L192" s="8">
        <v>1</v>
      </c>
      <c r="M192" s="34"/>
      <c r="N192" s="8">
        <v>2</v>
      </c>
      <c r="O192" s="34"/>
      <c r="P192" s="8">
        <v>2</v>
      </c>
      <c r="R192" s="8"/>
      <c r="S192" s="34">
        <v>0</v>
      </c>
      <c r="T192" s="34"/>
      <c r="U192" s="8">
        <v>2</v>
      </c>
      <c r="V192" s="34"/>
      <c r="W192" s="8">
        <v>1</v>
      </c>
    </row>
  </sheetData>
  <mergeCells count="14">
    <mergeCell ref="G22:L22"/>
    <mergeCell ref="AB1:AD1"/>
    <mergeCell ref="AF1:AH1"/>
    <mergeCell ref="G1:L1"/>
    <mergeCell ref="A39:C39"/>
    <mergeCell ref="T1:V1"/>
    <mergeCell ref="X1:Z1"/>
    <mergeCell ref="G6:L6"/>
    <mergeCell ref="G10:L10"/>
    <mergeCell ref="G14:L14"/>
    <mergeCell ref="G18:L18"/>
    <mergeCell ref="G26:L26"/>
    <mergeCell ref="G30:L30"/>
    <mergeCell ref="G34:L34"/>
  </mergeCells>
  <hyperlinks>
    <hyperlink ref="D102" r:id="rId1" xr:uid="{1DE99C31-4087-114D-9EE8-108089677CB2}"/>
    <hyperlink ref="D112" r:id="rId2" xr:uid="{6D750FD0-E9B4-DC45-883F-B8727F3B772D}"/>
    <hyperlink ref="D122" r:id="rId3" xr:uid="{033D7A9A-3DD5-684C-B202-2E54FBD83631}"/>
    <hyperlink ref="D132" r:id="rId4" xr:uid="{FA155534-35FF-DF4B-86FA-206F27CB5C14}"/>
    <hyperlink ref="D142" r:id="rId5" xr:uid="{EFF7707A-DA5A-6746-AD8E-E1B45EB7F5A6}"/>
    <hyperlink ref="D162" r:id="rId6" xr:uid="{487F2A5A-9598-EC44-BE9E-EBECFBADAB89}"/>
    <hyperlink ref="D172" r:id="rId7" xr:uid="{A4BF60B3-8D0D-5B40-94D0-210B971BBA7A}"/>
    <hyperlink ref="D184" r:id="rId8" xr:uid="{D2947A51-411E-2443-BA0D-22DE994D9325}"/>
    <hyperlink ref="D185" r:id="rId9" xr:uid="{E42FAF28-DAB1-204B-8845-E5098CCC866E}"/>
    <hyperlink ref="D186" r:id="rId10" xr:uid="{09BDC405-AD24-CA46-A0C1-6371B6A1A857}"/>
    <hyperlink ref="D187" r:id="rId11" xr:uid="{E3B211DD-67E4-434C-BA67-AE365841B9AB}"/>
    <hyperlink ref="D188" r:id="rId12" xr:uid="{2B4CD4A5-4C31-E946-A3D3-EA6875D3C007}"/>
    <hyperlink ref="D189" r:id="rId13" xr:uid="{709B1D45-E63D-FA41-BBB3-0076AEF10FB2}"/>
    <hyperlink ref="D190" r:id="rId14" xr:uid="{B3C48797-9831-474C-BAA1-4F14C51D1BD6}"/>
    <hyperlink ref="D191" r:id="rId15" xr:uid="{FF269D57-3F26-504F-B676-6CE808C27AF7}"/>
    <hyperlink ref="D192" r:id="rId16" xr:uid="{228A452A-6F0C-2E4C-BA45-D5589C9FE23F}"/>
    <hyperlink ref="D183" r:id="rId17" xr:uid="{AB40B663-328D-8044-A39D-47AB186B3960}"/>
    <hyperlink ref="D84" r:id="rId18" xr:uid="{C04B8CB4-08F7-5E4F-A2FC-64A17F707BA0}"/>
    <hyperlink ref="D85" r:id="rId19" xr:uid="{2803FD11-C8F7-304A-B3CC-216AB3EC4EBE}"/>
    <hyperlink ref="D87" r:id="rId20" xr:uid="{B0A907AB-127A-0141-B406-FB923EEE18E4}"/>
    <hyperlink ref="D88" r:id="rId21" xr:uid="{C04E0702-B4A4-914E-8566-D23F04395D1A}"/>
    <hyperlink ref="D90" r:id="rId22" xr:uid="{D2B0E520-E1B1-F64D-9429-24158FA1A543}"/>
    <hyperlink ref="D89" r:id="rId23" xr:uid="{3ED2FD5F-B2A4-5445-BE9C-DAC98A87C26A}"/>
    <hyperlink ref="D91" r:id="rId24" xr:uid="{E8123583-E22D-5B4C-BC13-1E61DC95F357}"/>
    <hyperlink ref="D93" r:id="rId25" xr:uid="{189E208B-EC39-DD4D-AAE7-8C2310D6C563}"/>
    <hyperlink ref="D94" r:id="rId26" xr:uid="{AA4A62A6-6361-0248-A4A9-9A36B1586B26}"/>
    <hyperlink ref="D95" r:id="rId27" xr:uid="{A6942E78-81BC-7A44-84D0-FC752FF39BF6}"/>
    <hyperlink ref="D98" r:id="rId28" xr:uid="{9EE824CE-86F8-094F-82F7-E0FA7267B5A3}"/>
    <hyperlink ref="D92" r:id="rId29" xr:uid="{218351CC-395A-5940-A520-BA4D56398B3E}"/>
    <hyperlink ref="D82" r:id="rId30" xr:uid="{5C81FF28-2FE5-A741-A5B3-71FF19BE7DAD}"/>
    <hyperlink ref="D100" r:id="rId31" xr:uid="{09020F1E-BACA-9F43-B421-8AD811A48092}"/>
    <hyperlink ref="D101" r:id="rId32" xr:uid="{3192EF98-C33B-D448-A4A7-4E8FC7C6A85B}"/>
    <hyperlink ref="D103" r:id="rId33" xr:uid="{650C2B59-98AD-1540-8CC3-52E7CFE9756C}"/>
    <hyperlink ref="D104" r:id="rId34" xr:uid="{E71BD96C-BDA8-574E-871F-B57786559726}"/>
    <hyperlink ref="D105" r:id="rId35" xr:uid="{87F217EC-09CF-E34C-976F-09F3ECE961ED}"/>
    <hyperlink ref="D106" r:id="rId36" xr:uid="{C6B0B6E6-2EFC-1948-8CDE-2B575C43A3D9}"/>
    <hyperlink ref="D107" r:id="rId37" xr:uid="{A6CD9A35-7630-7646-B0F9-6334C63FAC22}"/>
    <hyperlink ref="D108" r:id="rId38" xr:uid="{E1754D36-8AAA-2E41-A42A-52F72372B7F6}"/>
    <hyperlink ref="D109" r:id="rId39" xr:uid="{997269D6-10D5-A942-99FA-7A1286AA103C}"/>
    <hyperlink ref="D110" r:id="rId40" xr:uid="{8F8CE6A5-31DC-1F43-9006-B6671076CB1B}"/>
    <hyperlink ref="D111" r:id="rId41" xr:uid="{AF772CE7-3A7B-BE4B-B59C-DFDF07A535DE}"/>
    <hyperlink ref="D113" r:id="rId42" xr:uid="{E0E0A3FE-7AF9-B046-950F-49B1619F9CC0}"/>
    <hyperlink ref="D114" r:id="rId43" xr:uid="{9214C4B3-ADF3-7340-A572-B9414D81AEA9}"/>
    <hyperlink ref="D115" r:id="rId44" xr:uid="{347BCDFF-B150-654E-A0DB-0B18D7767505}"/>
    <hyperlink ref="D116" r:id="rId45" xr:uid="{AAA20FA0-7F32-F940-9BCC-F55AE22516FD}"/>
    <hyperlink ref="D117" r:id="rId46" xr:uid="{25D98FBE-DD8C-2E44-B58C-7FDF756F7C9A}"/>
    <hyperlink ref="D118" r:id="rId47" xr:uid="{D3CEC60B-B810-4F4C-9664-0F8083164080}"/>
    <hyperlink ref="D119" r:id="rId48" xr:uid="{8E792507-0CB7-734E-B680-6CEB7ED891AA}"/>
    <hyperlink ref="D120" r:id="rId49" xr:uid="{F14494CB-47B0-644A-8801-F64D21D77362}"/>
    <hyperlink ref="D121" r:id="rId50" xr:uid="{CF491FFF-B479-884A-8B90-6E4D3FB60418}"/>
    <hyperlink ref="D124" r:id="rId51" xr:uid="{ACFEAF85-01FA-5744-937D-05E2A4E4A5AC}"/>
    <hyperlink ref="D127" r:id="rId52" xr:uid="{9C04087E-5641-FE4C-8B1B-0A0B4E2C78C9}"/>
    <hyperlink ref="D128" r:id="rId53" xr:uid="{E1C70B08-9CFA-0044-B820-2A3E965A0E91}"/>
    <hyperlink ref="D129" r:id="rId54" xr:uid="{425070EA-4ADF-DC4A-BCA8-36F1A108D5ED}"/>
    <hyperlink ref="D130" r:id="rId55" xr:uid="{DE30F640-5767-914B-B594-BD5C816A7559}"/>
    <hyperlink ref="D131" r:id="rId56" xr:uid="{32CAA1C2-AB99-3E49-8BA7-03FDEFC3F1DC}"/>
    <hyperlink ref="D133" r:id="rId57" xr:uid="{74BB3F43-9559-5240-A552-5CBB2EF6521C}"/>
    <hyperlink ref="D134" r:id="rId58" xr:uid="{FC4DE01F-DC68-FE4C-AAC8-065D0351850E}"/>
    <hyperlink ref="D135" r:id="rId59" xr:uid="{99BAC2DB-AA52-1E41-B47A-F2AA6F2D19B9}"/>
    <hyperlink ref="D136" r:id="rId60" xr:uid="{99626DEB-8AC3-D94D-8C0A-D5DF1D49202C}"/>
    <hyperlink ref="D137" r:id="rId61" xr:uid="{22C2E3C1-50C4-E244-BE28-A57C5602F37E}"/>
    <hyperlink ref="D139" r:id="rId62" xr:uid="{9AB41C50-4855-634A-A528-0234C6437A06}"/>
    <hyperlink ref="D140" r:id="rId63" xr:uid="{5618C530-71D7-A642-A4FD-7656A7E9B15E}"/>
    <hyperlink ref="D143" r:id="rId64" xr:uid="{8192C218-BE84-2541-A0EE-404FB6B29AEC}"/>
    <hyperlink ref="D144" r:id="rId65" xr:uid="{C66A6691-E987-3B4A-A27B-76ED27E57B21}"/>
    <hyperlink ref="D145" r:id="rId66" xr:uid="{311F2D49-0201-8441-9936-69942B63D4AB}"/>
    <hyperlink ref="D146" r:id="rId67" xr:uid="{26CE8212-D10C-4341-80E5-EBE5A6288C99}"/>
    <hyperlink ref="D147" r:id="rId68" xr:uid="{DD0A52D0-F875-F940-A178-7C09132F7433}"/>
    <hyperlink ref="D148" r:id="rId69" xr:uid="{6D0B4FE3-369C-2D41-B362-F197C63601FF}"/>
    <hyperlink ref="D149" r:id="rId70" xr:uid="{038BCB0C-711F-3847-8360-447368B7B4BD}"/>
    <hyperlink ref="D150" r:id="rId71" xr:uid="{3585C708-7B0F-324E-9B17-979CDDE5D1B9}"/>
    <hyperlink ref="D151" r:id="rId72" xr:uid="{726C80DD-7332-394B-B2C6-15210F78EE53}"/>
    <hyperlink ref="D152" r:id="rId73" xr:uid="{440ABB31-F72B-0447-87A7-BB40BD7BC2EE}"/>
    <hyperlink ref="D153" r:id="rId74" xr:uid="{75ACD634-77A2-C84C-9067-7CFC7F218283}"/>
    <hyperlink ref="D154" r:id="rId75" xr:uid="{18485BB8-CCF5-2945-B83A-2078AADFEA92}"/>
    <hyperlink ref="D155" r:id="rId76" xr:uid="{5B2C9BE0-157A-B143-9337-C8F31219742F}"/>
    <hyperlink ref="D156" r:id="rId77" xr:uid="{2FE80BA4-ABE4-0C42-AAF5-CD6B8F81E5DA}"/>
    <hyperlink ref="D158" r:id="rId78" xr:uid="{F45E7739-E3DF-AA49-A386-71082DF7192B}"/>
    <hyperlink ref="D157" r:id="rId79" xr:uid="{0A9D1A4E-AA80-FC41-A27B-A9516E03EC48}"/>
    <hyperlink ref="D159" r:id="rId80" xr:uid="{BDB8D4C5-E898-D140-98CB-0BD1DF2A0F93}"/>
    <hyperlink ref="D160" r:id="rId81" xr:uid="{7D85C9EC-BEFF-594C-BC00-5C9FB7992D48}"/>
    <hyperlink ref="D161" r:id="rId82" xr:uid="{C00AF969-B582-0442-B7EB-4DBDCBDA6252}"/>
    <hyperlink ref="D164" r:id="rId83" xr:uid="{2354FB03-ED12-F24D-AB3F-A78CF86A8A25}"/>
    <hyperlink ref="D165" r:id="rId84" xr:uid="{0195C2D5-C54A-074C-81E2-26E2F12ECD81}"/>
    <hyperlink ref="D166" r:id="rId85" xr:uid="{2013D99E-056E-CC4A-AA3D-98A865FD7F7F}"/>
    <hyperlink ref="D168" r:id="rId86" xr:uid="{25253BE7-97DB-4048-92E4-80A8B422120B}"/>
    <hyperlink ref="D170" r:id="rId87" xr:uid="{A4E2A4B2-D13C-6740-816A-BC22253438B9}"/>
    <hyperlink ref="D173" r:id="rId88" xr:uid="{F3DAA1D2-BA5C-A347-8E5D-23F7BB3595F7}"/>
    <hyperlink ref="D174" r:id="rId89" xr:uid="{12123940-1307-294B-B5E7-62FF45F1AAFE}"/>
    <hyperlink ref="D175" r:id="rId90" xr:uid="{C9CDC3A2-682B-DA46-9142-4CB9879AE485}"/>
    <hyperlink ref="D176" r:id="rId91" xr:uid="{3AA633FF-36C9-5F4F-8C86-15FBD1BD4709}"/>
    <hyperlink ref="D177" r:id="rId92" xr:uid="{2F78B6DF-38DB-364D-B324-FCCAD1754BB4}"/>
    <hyperlink ref="D178" r:id="rId93" xr:uid="{461B4567-3673-6F4A-9FDC-8B4FEFC7CC17}"/>
    <hyperlink ref="D179" r:id="rId94" xr:uid="{D0A5C032-0F70-844E-A48E-435E8933A1BD}"/>
    <hyperlink ref="D180" r:id="rId95" xr:uid="{664CE374-E858-1944-83CA-4409F6652CE0}"/>
    <hyperlink ref="D181" r:id="rId96" xr:uid="{F72F8782-71A2-7048-AD1C-E88B665EAE2B}"/>
    <hyperlink ref="D86" r:id="rId97" xr:uid="{034DAEBD-7DC6-1347-84F1-B4160515AC89}"/>
    <hyperlink ref="D96" r:id="rId98" xr:uid="{3928717C-9BFA-E04D-8C87-AF339CD84AA4}"/>
    <hyperlink ref="D97" r:id="rId99" xr:uid="{B6428B55-4F67-7648-B7FD-BE7FFA02C1FD}"/>
    <hyperlink ref="D99" r:id="rId100" xr:uid="{7675F3AB-9B74-004C-BFC7-97DC904BCD6B}"/>
    <hyperlink ref="D123" r:id="rId101" xr:uid="{3395CC1B-787E-AF48-B714-8BBA852B889D}"/>
    <hyperlink ref="D125" r:id="rId102" xr:uid="{A53E7BF2-024B-7A44-9674-A8D5C1344DC0}"/>
    <hyperlink ref="D126" r:id="rId103" xr:uid="{31017C58-085D-8440-97AC-05C0C8E5670D}"/>
    <hyperlink ref="D138" r:id="rId104" xr:uid="{93DD381D-D2F6-5F4A-A57C-C5E55181478A}"/>
    <hyperlink ref="D141" r:id="rId105" xr:uid="{069CDC1D-6ABB-2C45-AFDE-6F83C13A0AFE}"/>
    <hyperlink ref="D163" r:id="rId106" xr:uid="{5137C325-8D42-EE41-BF95-7382C02579E1}"/>
    <hyperlink ref="D167" r:id="rId107" xr:uid="{F78EB251-4AA1-2343-AFB9-09FCA7E37421}"/>
    <hyperlink ref="D169" r:id="rId108" xr:uid="{1730B39B-1492-D441-8405-537670010D59}"/>
    <hyperlink ref="D171" r:id="rId109" xr:uid="{CE4D2F91-5EF0-FE49-9416-2B3DDB225427}"/>
  </hyperlinks>
  <pageMargins left="0.7" right="0.7" top="0.75" bottom="0.75" header="0.3" footer="0.3"/>
  <drawing r:id="rId110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2nd-1</vt:lpstr>
      <vt:lpstr>2nd-2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2024-09-05T10:10:08Z</dcterms:modified>
</cp:coreProperties>
</file>