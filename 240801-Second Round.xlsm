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wnetid-my.sharepoint.com/personal/hongyang_uw_edu/Documents/230925-Capstone-CSS -595-700/231006-Research-Progress- Excel/"/>
    </mc:Choice>
  </mc:AlternateContent>
  <xr:revisionPtr revIDLastSave="1011" documentId="8_{2E567EC8-8EDB-5847-A50D-74DD9F2937A4}" xr6:coauthVersionLast="47" xr6:coauthVersionMax="47" xr10:uidLastSave="{275E725D-B01F-5042-9291-9AA38B00965A}"/>
  <bookViews>
    <workbookView xWindow="-23360" yWindow="560" windowWidth="23360" windowHeight="14540" activeTab="1" xr2:uid="{18342DF9-798A-DA42-BBC4-C755067F6B3B}"/>
  </bookViews>
  <sheets>
    <sheet name="2nd-1" sheetId="5" r:id="rId1"/>
    <sheet name="2nd-2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7" i="5" l="1"/>
  <c r="W78" i="1" l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P78" i="1" l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E77" i="1"/>
  <c r="E76" i="1"/>
  <c r="E68" i="1"/>
  <c r="E67" i="1"/>
  <c r="E59" i="1"/>
  <c r="E58" i="1"/>
  <c r="E78" i="1"/>
  <c r="E52" i="1"/>
  <c r="E75" i="1" l="1"/>
  <c r="E74" i="1"/>
  <c r="E73" i="1"/>
  <c r="E72" i="1"/>
  <c r="E71" i="1"/>
  <c r="E70" i="1"/>
  <c r="E69" i="1"/>
  <c r="E66" i="1"/>
  <c r="E65" i="1"/>
  <c r="E64" i="1"/>
  <c r="E63" i="1"/>
  <c r="E62" i="1"/>
  <c r="E61" i="1"/>
  <c r="E60" i="1"/>
  <c r="E57" i="1"/>
  <c r="E56" i="1"/>
  <c r="E55" i="1"/>
  <c r="E54" i="1"/>
  <c r="E53" i="1"/>
  <c r="E79" i="1" l="1"/>
  <c r="D126" i="5"/>
  <c r="D125" i="5"/>
  <c r="D124" i="5"/>
  <c r="D123" i="5"/>
  <c r="D122" i="5"/>
  <c r="D121" i="5"/>
  <c r="D120" i="5"/>
  <c r="D119" i="5"/>
  <c r="D118" i="5"/>
  <c r="D54" i="5"/>
  <c r="D53" i="5"/>
  <c r="D52" i="5"/>
  <c r="D51" i="5"/>
  <c r="D50" i="5"/>
  <c r="D49" i="5"/>
  <c r="D48" i="5"/>
  <c r="D47" i="5"/>
  <c r="D46" i="5"/>
  <c r="D72" i="5"/>
  <c r="D71" i="5"/>
  <c r="D70" i="5"/>
  <c r="D69" i="5"/>
  <c r="D68" i="5"/>
  <c r="D67" i="5"/>
  <c r="D66" i="5"/>
  <c r="D65" i="5"/>
  <c r="D64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36" i="5"/>
  <c r="D35" i="5"/>
  <c r="D34" i="5"/>
  <c r="D33" i="5"/>
  <c r="D32" i="5"/>
  <c r="D31" i="5"/>
  <c r="D30" i="5"/>
  <c r="D29" i="5"/>
  <c r="D28" i="5"/>
  <c r="D45" i="5"/>
  <c r="D99" i="5"/>
  <c r="D81" i="5"/>
  <c r="D63" i="5"/>
  <c r="D90" i="5"/>
  <c r="D44" i="5"/>
  <c r="D43" i="5"/>
  <c r="D42" i="5"/>
  <c r="D41" i="5"/>
  <c r="D40" i="5"/>
  <c r="D39" i="5"/>
  <c r="D38" i="5"/>
  <c r="D37" i="5"/>
  <c r="D98" i="5"/>
  <c r="D97" i="5"/>
  <c r="D96" i="5"/>
  <c r="D95" i="5"/>
  <c r="D94" i="5"/>
  <c r="D93" i="5"/>
  <c r="D92" i="5"/>
  <c r="D91" i="5"/>
  <c r="D80" i="5"/>
  <c r="D79" i="5"/>
  <c r="D78" i="5"/>
  <c r="D77" i="5"/>
  <c r="D76" i="5"/>
  <c r="D75" i="5"/>
  <c r="D74" i="5"/>
  <c r="D73" i="5"/>
  <c r="D62" i="5"/>
  <c r="D61" i="5"/>
  <c r="D60" i="5"/>
  <c r="D59" i="5"/>
  <c r="D58" i="5"/>
  <c r="D57" i="5"/>
  <c r="D56" i="5"/>
  <c r="D55" i="5"/>
  <c r="D89" i="5"/>
  <c r="D88" i="5"/>
  <c r="D87" i="5"/>
  <c r="D86" i="5"/>
  <c r="D85" i="5"/>
  <c r="D84" i="5"/>
  <c r="D83" i="5"/>
  <c r="D82" i="5"/>
  <c r="W79" i="1" l="1"/>
  <c r="U79" i="1"/>
  <c r="S79" i="1"/>
  <c r="P79" i="1" l="1"/>
  <c r="N79" i="1"/>
  <c r="L79" i="1"/>
  <c r="I79" i="1"/>
  <c r="G79" i="1"/>
</calcChain>
</file>

<file path=xl/sharedStrings.xml><?xml version="1.0" encoding="utf-8"?>
<sst xmlns="http://schemas.openxmlformats.org/spreadsheetml/2006/main" count="571" uniqueCount="250">
  <si>
    <t>Game name</t>
  </si>
  <si>
    <t>x</t>
  </si>
  <si>
    <t>y</t>
  </si>
  <si>
    <t>Name</t>
  </si>
  <si>
    <t>X</t>
  </si>
  <si>
    <t>Y</t>
  </si>
  <si>
    <t>Zork</t>
  </si>
  <si>
    <t>AI Dungeon</t>
  </si>
  <si>
    <t>A Dark Room</t>
  </si>
  <si>
    <t>Façade</t>
  </si>
  <si>
    <t>皇帝成长计划</t>
  </si>
  <si>
    <t>明月依旧</t>
  </si>
  <si>
    <t>中国式家长</t>
  </si>
  <si>
    <t>Game Count</t>
  </si>
  <si>
    <t>潜伏之赤途</t>
  </si>
  <si>
    <t>隐形守护者</t>
  </si>
  <si>
    <t>太吾绘卷</t>
  </si>
  <si>
    <t>Twine</t>
  </si>
  <si>
    <t>Development System</t>
  </si>
  <si>
    <t>Ren'Py</t>
  </si>
  <si>
    <t>Inform 7</t>
  </si>
  <si>
    <t>Quest</t>
  </si>
  <si>
    <t>Text Adventure Development System</t>
  </si>
  <si>
    <t>inklewriter</t>
  </si>
  <si>
    <t>Storynexus</t>
  </si>
  <si>
    <t>Unity</t>
  </si>
  <si>
    <t>Others</t>
  </si>
  <si>
    <t>Y: Publish Year</t>
  </si>
  <si>
    <t>Before 2000</t>
  </si>
  <si>
    <t>Publish Year</t>
  </si>
  <si>
    <t>Story Ending</t>
  </si>
  <si>
    <t>Sum</t>
  </si>
  <si>
    <t>Game Engine</t>
  </si>
  <si>
    <t>Instance</t>
  </si>
  <si>
    <t>C1: Human Computer Interaction</t>
  </si>
  <si>
    <t>C2: Visual Support</t>
  </si>
  <si>
    <t>C1 X</t>
  </si>
  <si>
    <t>C2 X</t>
  </si>
  <si>
    <t>C4: Action Time</t>
  </si>
  <si>
    <t>C5: Story ending</t>
  </si>
  <si>
    <t>C6: Stats System</t>
  </si>
  <si>
    <t>C3 X</t>
  </si>
  <si>
    <t>C4 X</t>
  </si>
  <si>
    <t>C5 X</t>
  </si>
  <si>
    <t>C6 X</t>
  </si>
  <si>
    <t>C7: Platform Compatibility</t>
  </si>
  <si>
    <t>C9: Monetization Model</t>
  </si>
  <si>
    <t>C7 X</t>
  </si>
  <si>
    <t>C8 X</t>
  </si>
  <si>
    <t>C9 X</t>
  </si>
  <si>
    <t>Platform Compatibility</t>
  </si>
  <si>
    <t xml:space="preserve">Monetization Model </t>
  </si>
  <si>
    <t>X: Game Engine</t>
  </si>
  <si>
    <t>2000~2002</t>
  </si>
  <si>
    <t>2003~2005</t>
  </si>
  <si>
    <t>2006~2008</t>
  </si>
  <si>
    <t>2009~2011</t>
  </si>
  <si>
    <t>2012~2014</t>
  </si>
  <si>
    <t>2015~2017</t>
  </si>
  <si>
    <t>2018~2020</t>
  </si>
  <si>
    <t>2021~2023</t>
  </si>
  <si>
    <t>ChoiceScript</t>
  </si>
  <si>
    <t>Adrift</t>
  </si>
  <si>
    <t>StoryNexus</t>
  </si>
  <si>
    <t>Twine-2012-Rat Chaos</t>
  </si>
  <si>
    <t>Twine-2014-The Uncle Who Works for Nintendo</t>
  </si>
  <si>
    <t>Twine-2016-The Temple of No</t>
  </si>
  <si>
    <t>Twine-2018-You Are Jeff Bezos</t>
  </si>
  <si>
    <t>Twine-2020-Dialect</t>
  </si>
  <si>
    <t>Twine-2021-Tavern Crawler</t>
  </si>
  <si>
    <t>Twine-2022-The Good Ghost</t>
  </si>
  <si>
    <t>Twine-2023-DICK MCBUTTS GETS KICKED IN THE NUTS</t>
  </si>
  <si>
    <t>Twine-2023-Dysfluent</t>
  </si>
  <si>
    <t>Ren’py- 2007-Fatal Hearts</t>
  </si>
  <si>
    <t>Ren’py- 2008-Summer Session</t>
  </si>
  <si>
    <t>Ren’py- 2010-Digital: A Love Story</t>
  </si>
  <si>
    <t>Ren’py-2012-Katawa Shoujo</t>
  </si>
  <si>
    <t>Ren’py- 2014-Tales of Aravorn: Seasons of the Wolf</t>
  </si>
  <si>
    <t>Ren’py-2016-Ladykiller in a Bind</t>
  </si>
  <si>
    <t>Ren’py-2019-Heart of the Woods</t>
  </si>
  <si>
    <t>Ren’py-2021-Doomed Love</t>
  </si>
  <si>
    <t>Ren’py-2023-Slay the Princess</t>
  </si>
  <si>
    <t>Inform 7- 2005- Mystery House Possessed</t>
  </si>
  <si>
    <t>Inform 7-2007- Rendition</t>
  </si>
  <si>
    <t>Inform 7- 2009- The King of Shreds and Patches</t>
  </si>
  <si>
    <t>Inform 7- 2011- Kerkerkruip</t>
  </si>
  <si>
    <t>Inform 7- 2013- Coloratura</t>
  </si>
  <si>
    <t>Inform 7- 2015- Birdland</t>
  </si>
  <si>
    <t>Inform 7-2019-Out</t>
  </si>
  <si>
    <t>Inform 7- 2021-What Heart Heard Of, Ghost Guessed</t>
  </si>
  <si>
    <t>Inform 7- 2023-Never Gives Up Her Dead</t>
  </si>
  <si>
    <t>ChoiceScript-2009- Choice of the Dragon</t>
  </si>
  <si>
    <t>ChoiceScript-2011- Affairs of the Court: Choice of Intrigues</t>
  </si>
  <si>
    <t>ChoiceScript-2013- Treasure Seekers of Lady Luck</t>
  </si>
  <si>
    <t>ChoiceScript-2015- The Hero of Kendrickstone</t>
  </si>
  <si>
    <t>ChoiceScript-2017- Runt of the Litter</t>
  </si>
  <si>
    <t>ChoiceScript-2019- Chronicon Apocalyptica</t>
  </si>
  <si>
    <t>ChoiceScript-2021- Pirates of Donkey Island</t>
  </si>
  <si>
    <t>ChoiceScript-2022- The nascent Necromancer</t>
  </si>
  <si>
    <t>ChoiceScript-2023- Bali B&amp;B</t>
  </si>
  <si>
    <t>Quest- 2000-Easy Money</t>
  </si>
  <si>
    <t>Quest-2002-Posh's New Year's Eve</t>
  </si>
  <si>
    <t xml:space="preserve">Quest- 2004-The Mansion </t>
  </si>
  <si>
    <t xml:space="preserve">Quest- 2006-The Mansion II </t>
  </si>
  <si>
    <t>Quest- 2008-Christmas Day</t>
  </si>
  <si>
    <t>Quests- 2010-The Things That Go Bump In The Night</t>
  </si>
  <si>
    <t>Quest- 2019-Poppet</t>
  </si>
  <si>
    <t xml:space="preserve">Quest- 2021-The House on Highfield Lane </t>
  </si>
  <si>
    <t>Quest- 2023-Alone in the Void</t>
  </si>
  <si>
    <t>TADS- 1995-Uncle Zebulon's Will</t>
  </si>
  <si>
    <t>TADS- 1997-The Frenetic Five vs. Sturm und Drang</t>
  </si>
  <si>
    <t>TADS-2002-1893: A World's Fair Mystery</t>
  </si>
  <si>
    <t>TADS- 2003-Max Blaster and Doris de Lightning Against the Parrot Creatures of Venus</t>
  </si>
  <si>
    <t>TADS-2006-The Elysium Enigma</t>
  </si>
  <si>
    <t>TADS-2017-Thaumistry: In Charm's Way</t>
  </si>
  <si>
    <t xml:space="preserve">TADS-2019-Nothing But Mazes </t>
  </si>
  <si>
    <t>TADS-2021-Ghosts Within</t>
  </si>
  <si>
    <t xml:space="preserve">TADS-2023-How Prince Quisborne the Feckless Shook His Title </t>
  </si>
  <si>
    <t>Inklewriter-2012-Frankenstein</t>
  </si>
  <si>
    <t>InkleWriter- 2013-Sorcery!</t>
  </si>
  <si>
    <t>Inklewriter- 2014-80 Days</t>
  </si>
  <si>
    <t>InkleWriter- 2015-Sorcery! Part 3: The Seven Serpents</t>
  </si>
  <si>
    <t>Inklewriter- 2016-Sorcery! Part 4: The Crown of Kings</t>
  </si>
  <si>
    <t>Inklewriter- 2019-Heaven's Vault</t>
  </si>
  <si>
    <t>Inklewriter- 2020-Pendragon</t>
  </si>
  <si>
    <t>Inklewriter- 2021-Overboard!</t>
  </si>
  <si>
    <t>Inklewriter- 2023-A Highland Song</t>
  </si>
  <si>
    <t xml:space="preserve">StoryNexus-2009- Fallen London </t>
  </si>
  <si>
    <t>StoryNexus- 2012-Tales of Fallen London: The Silver Tree</t>
  </si>
  <si>
    <t xml:space="preserve">StoryNexus- 2014-Dragon Age: The Last Court </t>
  </si>
  <si>
    <t>StoryNexus- 2015-Sunless Sea</t>
  </si>
  <si>
    <t>StoryNexus- 2019-Sunless Skies</t>
  </si>
  <si>
    <t>StoryNexus- 2020-Caveat Emptor</t>
  </si>
  <si>
    <t>StoryNexus- 2021-The Crocodile Who Would Be King</t>
  </si>
  <si>
    <t xml:space="preserve">StoryNexus- 2022-Codename: Sugarplum </t>
  </si>
  <si>
    <t>StoryNexus- 2023-Mask of the Rose</t>
  </si>
  <si>
    <t>Unity-2012-KBreak</t>
  </si>
  <si>
    <t>Unity-2015-Hyper Rift</t>
  </si>
  <si>
    <t>Unity-2016-The House Abandon</t>
  </si>
  <si>
    <t>Unity- 2017-Prison of Word</t>
  </si>
  <si>
    <t>Unity- 2018-Secret Little Haven</t>
  </si>
  <si>
    <t xml:space="preserve">Unity- 2019-Language Arts </t>
  </si>
  <si>
    <t>Unity- 2020-Homebound</t>
  </si>
  <si>
    <t xml:space="preserve">Unity- 2021-Silicon and Cells </t>
  </si>
  <si>
    <t xml:space="preserve">Unity- 2023-Speakeasy </t>
  </si>
  <si>
    <t>Adrift-2000- House of the Damned</t>
  </si>
  <si>
    <t>Adrift-2002- The Gamma Gals</t>
  </si>
  <si>
    <t>Adrift-2004- Ticket to No Where</t>
  </si>
  <si>
    <t>Adrift-2006- The Sisters</t>
  </si>
  <si>
    <t>Adrift-2008- A Date With Death</t>
  </si>
  <si>
    <t>Adrift-2010- Pirate's Plunder!</t>
  </si>
  <si>
    <t>Adrift-2019- Treasure Hunt in the Amazon</t>
  </si>
  <si>
    <t>Adrift-2021- Grandpa's Ranch</t>
  </si>
  <si>
    <t>Adrift-2023- Magor Investigates...</t>
  </si>
  <si>
    <t>Others-1979-Zork</t>
  </si>
  <si>
    <t>Others-2014-潜伏之赤途</t>
  </si>
  <si>
    <t>Others-2019-隐形守护者</t>
  </si>
  <si>
    <t>Others-2019-AI Dungeon</t>
  </si>
  <si>
    <t>Others-2013-A Dark Room</t>
  </si>
  <si>
    <t>Others-2005-Façade</t>
  </si>
  <si>
    <t>Others-2018-太吾绘卷</t>
  </si>
  <si>
    <t>Others-2012-皇帝成长计划</t>
  </si>
  <si>
    <t>Others-2014-明月依旧</t>
  </si>
  <si>
    <t>Others-2018-中国式家长</t>
  </si>
  <si>
    <t>TADS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</si>
  <si>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</si>
  <si>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</si>
  <si>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</si>
  <si>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</si>
  <si>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</si>
  <si>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</si>
  <si>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</si>
  <si>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</si>
  <si>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</si>
  <si>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Keyboard</t>
  </si>
  <si>
    <t>Mouse</t>
  </si>
  <si>
    <t>Mouse only</t>
  </si>
  <si>
    <t>Text</t>
  </si>
  <si>
    <t>Picture</t>
  </si>
  <si>
    <t>Video</t>
  </si>
  <si>
    <t>C3: Game option</t>
  </si>
  <si>
    <t>Linear limited</t>
  </si>
  <si>
    <t>Non-linear limited</t>
  </si>
  <si>
    <t>Non-linear open</t>
  </si>
  <si>
    <t>Limited</t>
  </si>
  <si>
    <t>Mix</t>
  </si>
  <si>
    <t>Unlimited</t>
  </si>
  <si>
    <t>Single defined</t>
  </si>
  <si>
    <t>Multiple defined</t>
  </si>
  <si>
    <t>No defined</t>
  </si>
  <si>
    <t>No stats &amp; no resource</t>
  </si>
  <si>
    <t>Stats &amp; no resource</t>
  </si>
  <si>
    <t>Stats &amp; resource</t>
  </si>
  <si>
    <t>Single PC/Phone</t>
  </si>
  <si>
    <t>Single Console</t>
  </si>
  <si>
    <t>Multiple</t>
  </si>
  <si>
    <t>C8: Player Count</t>
  </si>
  <si>
    <t>Single</t>
  </si>
  <si>
    <t>Two</t>
  </si>
  <si>
    <t>Three or more</t>
  </si>
  <si>
    <t>Free</t>
  </si>
  <si>
    <t>Purchase before playing</t>
  </si>
  <si>
    <t>In-game ad/purchase</t>
  </si>
  <si>
    <t>X axis</t>
  </si>
  <si>
    <t>y axis</t>
  </si>
  <si>
    <t>Category</t>
  </si>
  <si>
    <t xml:space="preserve">Story Ending </t>
  </si>
  <si>
    <t>https://ifdb.org/search?sortby=old&amp;searchfor=system%3ATwine</t>
  </si>
  <si>
    <t>Afternoon in the House of Secrets</t>
  </si>
  <si>
    <t>https://ifdb.org/search?sortby=old&amp;searchfor=system%3ARen%27Py</t>
  </si>
  <si>
    <t>Digital: A Love Story</t>
  </si>
  <si>
    <t>https://ifdb.org/search?sortby=old&amp;searchfor=system%3Ainform+7</t>
  </si>
  <si>
    <t>Child's Play</t>
  </si>
  <si>
    <t>https://ifdb.org/search?sortby=old&amp;searchfor=system%3AChoiceScript</t>
  </si>
  <si>
    <t>Choice of the Dragon</t>
  </si>
  <si>
    <t>https://ifdb.org/search?sortby=old&amp;searchfor=system%3Aquest</t>
  </si>
  <si>
    <t>The Hobbit: Vol I</t>
  </si>
  <si>
    <t>https://ifdb.org/search?sortby=old&amp;searchfor=system%3ATADS</t>
  </si>
  <si>
    <t>The Golden Fleece</t>
  </si>
  <si>
    <t>https://ifdb.org/search?sortby=old&amp;searchfor=system%3Ainklewriter</t>
  </si>
  <si>
    <t>Holography</t>
  </si>
  <si>
    <t>https://ifdb.org/search?sortby=old&amp;searchfor=system%3AStorynexus</t>
  </si>
  <si>
    <t>Fallen London</t>
  </si>
  <si>
    <t>https://ifdb.org/search?sortby=old&amp;searchfor=system%3Aunity</t>
  </si>
  <si>
    <t>Kbreak</t>
  </si>
  <si>
    <t>https://ifdb.org/search?sortby=old&amp;searchfor=system%3AAdrift</t>
  </si>
  <si>
    <t>House of the Damned</t>
  </si>
  <si>
    <t>https://aidungeon.com/</t>
  </si>
  <si>
    <t>https://adarkroom.doublespeakgames.com/</t>
  </si>
  <si>
    <t>https://www.playablstudios.com/façade</t>
  </si>
  <si>
    <t>https://store.steampowered.com/app/838350/_The_Scroll_Of_Taiwu/</t>
  </si>
  <si>
    <t>https://ssz66666.github.io/qfzct-66rpg/</t>
  </si>
  <si>
    <t>https://store.steampowered.com/app/998940/_The_Invisible_Guardian/?l=tchinese&amp;cc=cn</t>
  </si>
  <si>
    <t>https://www.4399.com/flash/198637.htm</t>
  </si>
  <si>
    <t>https://www.66rpg.com/game/155748?new=1</t>
  </si>
  <si>
    <t>https://store.steampowered.com/app/736190/_/?l=schinese</t>
  </si>
  <si>
    <t>https://ifdb.org/viewgame?id=0dbnusxunq7fw5ro</t>
  </si>
  <si>
    <t>User Input</t>
  </si>
  <si>
    <t>Visual Output</t>
  </si>
  <si>
    <t>Story option</t>
  </si>
  <si>
    <t>Time to Respond</t>
  </si>
  <si>
    <t>Stats &amp; Resource</t>
  </si>
  <si>
    <t>Number of Players</t>
  </si>
  <si>
    <t>Story Option</t>
  </si>
  <si>
    <t>Platform Compatability</t>
  </si>
  <si>
    <t>RenPy</t>
  </si>
  <si>
    <t>Inform</t>
  </si>
  <si>
    <t>Choice</t>
  </si>
  <si>
    <t>Inkle</t>
  </si>
  <si>
    <t>Nexus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</si>
</sst>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5"/>
      <color theme="1"/>
      <name val="Times New Roman"/>
      <family val="1"/>
    </font>
    <font>
      <b/>
      <sz val="15"/>
      <color theme="1"/>
      <name val="Times New Roman"/>
      <family val="1"/>
    </font>
    <font>
      <b/>
      <sz val="15"/>
      <color rgb="FFFF0000"/>
      <name val="Times New Roman"/>
      <family val="1"/>
    </font>
    <font>
      <sz val="15"/>
      <name val="Times New Roman"/>
      <family val="1"/>
    </font>
    <font>
      <b/>
      <i/>
      <sz val="15"/>
      <color theme="1"/>
      <name val="Times New Roman"/>
      <family val="1"/>
    </font>
    <font>
      <b/>
      <sz val="15"/>
      <color rgb="FF000000"/>
      <name val="Times New Roman"/>
      <family val="1"/>
    </font>
    <font>
      <b/>
      <i/>
      <sz val="15"/>
      <color rgb="FF000000"/>
      <name val="Times New Roman"/>
      <family val="1"/>
    </font>
    <font>
      <sz val="15"/>
      <color rgb="FF000000"/>
      <name val="Times New Roman"/>
      <family val="1"/>
    </font>
    <font>
      <u/>
      <sz val="12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EDED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DEBF7"/>
        <bgColor rgb="FF000000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80">
    <xf numFmtId="0" fontId="0" fillId="0" borderId="0" xfId="0"/>
    <xf numFmtId="0" fontId="1" fillId="0" borderId="0" xfId="0" applyFont="1" applyAlignment="1">
      <alignment wrapText="1"/>
    </xf>
    <xf numFmtId="0" fontId="2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1" fontId="1" fillId="4" borderId="1" xfId="0" applyNumberFormat="1" applyFont="1" applyFill="1" applyBorder="1" applyAlignment="1">
      <alignment wrapText="1"/>
    </xf>
    <xf numFmtId="1" fontId="1" fillId="2" borderId="1" xfId="0" applyNumberFormat="1" applyFont="1" applyFill="1" applyBorder="1" applyAlignment="1">
      <alignment wrapText="1"/>
    </xf>
    <xf numFmtId="1" fontId="1" fillId="3" borderId="1" xfId="0" applyNumberFormat="1" applyFont="1" applyFill="1" applyBorder="1" applyAlignment="1">
      <alignment wrapText="1"/>
    </xf>
    <xf numFmtId="0" fontId="3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wrapText="1"/>
    </xf>
    <xf numFmtId="0" fontId="4" fillId="4" borderId="1" xfId="0" applyFont="1" applyFill="1" applyBorder="1" applyAlignment="1">
      <alignment wrapText="1"/>
    </xf>
    <xf numFmtId="0" fontId="1" fillId="0" borderId="0" xfId="0" applyFont="1" applyAlignment="1">
      <alignment horizontal="left" wrapText="1"/>
    </xf>
    <xf numFmtId="0" fontId="1" fillId="0" borderId="1" xfId="0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1" fillId="4" borderId="0" xfId="0" applyFont="1" applyFill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wrapText="1"/>
    </xf>
    <xf numFmtId="0" fontId="1" fillId="3" borderId="2" xfId="0" applyFont="1" applyFill="1" applyBorder="1" applyAlignment="1">
      <alignment wrapText="1"/>
    </xf>
    <xf numFmtId="0" fontId="1" fillId="4" borderId="2" xfId="0" applyFont="1" applyFill="1" applyBorder="1" applyAlignment="1">
      <alignment wrapText="1"/>
    </xf>
    <xf numFmtId="0" fontId="2" fillId="3" borderId="2" xfId="0" applyFont="1" applyFill="1" applyBorder="1" applyAlignment="1">
      <alignment horizontal="center" vertical="center" wrapText="1"/>
    </xf>
    <xf numFmtId="1" fontId="1" fillId="4" borderId="2" xfId="0" applyNumberFormat="1" applyFont="1" applyFill="1" applyBorder="1" applyAlignment="1">
      <alignment wrapText="1"/>
    </xf>
    <xf numFmtId="1" fontId="1" fillId="2" borderId="2" xfId="0" applyNumberFormat="1" applyFont="1" applyFill="1" applyBorder="1" applyAlignment="1">
      <alignment wrapText="1"/>
    </xf>
    <xf numFmtId="1" fontId="1" fillId="3" borderId="2" xfId="0" applyNumberFormat="1" applyFont="1" applyFill="1" applyBorder="1" applyAlignment="1">
      <alignment wrapText="1"/>
    </xf>
    <xf numFmtId="0" fontId="2" fillId="4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1" fillId="4" borderId="3" xfId="0" applyFont="1" applyFill="1" applyBorder="1" applyAlignment="1">
      <alignment wrapText="1"/>
    </xf>
    <xf numFmtId="0" fontId="2" fillId="3" borderId="3" xfId="0" applyFont="1" applyFill="1" applyBorder="1" applyAlignment="1">
      <alignment horizontal="center" vertical="center" wrapText="1"/>
    </xf>
    <xf numFmtId="1" fontId="1" fillId="4" borderId="3" xfId="0" applyNumberFormat="1" applyFont="1" applyFill="1" applyBorder="1" applyAlignment="1">
      <alignment wrapText="1"/>
    </xf>
    <xf numFmtId="1" fontId="1" fillId="2" borderId="3" xfId="0" applyNumberFormat="1" applyFont="1" applyFill="1" applyBorder="1" applyAlignment="1">
      <alignment wrapText="1"/>
    </xf>
    <xf numFmtId="1" fontId="1" fillId="3" borderId="3" xfId="0" applyNumberFormat="1" applyFont="1" applyFill="1" applyBorder="1" applyAlignment="1">
      <alignment wrapText="1"/>
    </xf>
    <xf numFmtId="0" fontId="1" fillId="2" borderId="0" xfId="0" applyFont="1" applyFill="1" applyAlignment="1">
      <alignment wrapText="1"/>
    </xf>
    <xf numFmtId="0" fontId="2" fillId="2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wrapText="1"/>
    </xf>
    <xf numFmtId="0" fontId="2" fillId="4" borderId="0" xfId="0" applyFont="1" applyFill="1" applyAlignment="1">
      <alignment horizontal="center" wrapText="1"/>
    </xf>
    <xf numFmtId="0" fontId="2" fillId="3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8" fillId="6" borderId="5" xfId="0" applyFont="1" applyFill="1" applyBorder="1" applyAlignment="1">
      <alignment wrapText="1"/>
    </xf>
    <xf numFmtId="0" fontId="8" fillId="6" borderId="6" xfId="0" applyFont="1" applyFill="1" applyBorder="1" applyAlignment="1">
      <alignment wrapText="1"/>
    </xf>
    <xf numFmtId="0" fontId="8" fillId="7" borderId="5" xfId="0" applyFont="1" applyFill="1" applyBorder="1" applyAlignment="1">
      <alignment wrapText="1"/>
    </xf>
    <xf numFmtId="0" fontId="8" fillId="7" borderId="6" xfId="0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8" fillId="5" borderId="6" xfId="0" applyFont="1" applyFill="1" applyBorder="1" applyAlignment="1">
      <alignment wrapText="1"/>
    </xf>
    <xf numFmtId="0" fontId="6" fillId="6" borderId="6" xfId="0" applyFont="1" applyFill="1" applyBorder="1" applyAlignment="1">
      <alignment horizontal="center" vertical="center" wrapText="1"/>
    </xf>
    <xf numFmtId="0" fontId="6" fillId="7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9" fillId="0" borderId="0" xfId="1" applyAlignment="1">
      <alignment wrapText="1"/>
    </xf>
    <xf numFmtId="0" fontId="2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6" fillId="7" borderId="2" xfId="0" applyFont="1" applyFill="1" applyBorder="1" applyAlignment="1">
      <alignment horizontal="center" wrapText="1"/>
    </xf>
    <xf numFmtId="0" fontId="6" fillId="7" borderId="4" xfId="0" applyFont="1" applyFill="1" applyBorder="1" applyAlignment="1">
      <alignment horizontal="center" wrapText="1"/>
    </xf>
    <xf numFmtId="0" fontId="6" fillId="7" borderId="7" xfId="0" applyFont="1" applyFill="1" applyBorder="1" applyAlignment="1">
      <alignment horizontal="center" wrapText="1"/>
    </xf>
    <xf numFmtId="0" fontId="6" fillId="6" borderId="2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6" fillId="6" borderId="7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 wrapText="1"/>
    </xf>
    <xf numFmtId="0" fontId="6" fillId="7" borderId="4" xfId="0" applyFont="1" applyFill="1" applyBorder="1" applyAlignment="1">
      <alignment horizontal="center" vertical="center" wrapText="1"/>
    </xf>
    <xf numFmtId="0" fontId="6" fillId="7" borderId="7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Game Engine - Publish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123000027959452"/>
          <c:y val="0.14597224316170523"/>
          <c:w val="0.85336562527134407"/>
          <c:h val="0.649225254568146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'2nd-1'!$D$27</c:f>
              <c:strCache>
                <c:ptCount val="1"/>
                <c:pt idx="0">
                  <c:v>Game Count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F22-D84E-98BA-1386FE876284}"/>
              </c:ext>
            </c:extLst>
          </c:dPt>
          <c:dPt>
            <c:idx val="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F22-D84E-98BA-1386FE876284}"/>
              </c:ext>
            </c:extLst>
          </c:dPt>
          <c:dPt>
            <c:idx val="2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F22-D84E-98BA-1386FE876284}"/>
              </c:ext>
            </c:extLst>
          </c:dPt>
          <c:dPt>
            <c:idx val="3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F22-D84E-98BA-1386FE876284}"/>
              </c:ext>
            </c:extLst>
          </c:dPt>
          <c:dPt>
            <c:idx val="4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F22-D84E-98BA-1386FE876284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F22-D84E-98BA-1386FE876284}"/>
              </c:ext>
            </c:extLst>
          </c:dPt>
          <c:dPt>
            <c:idx val="6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F22-D84E-98BA-1386FE876284}"/>
              </c:ext>
            </c:extLst>
          </c:dPt>
          <c:dPt>
            <c:idx val="7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F22-D84E-98BA-1386FE876284}"/>
              </c:ext>
            </c:extLst>
          </c:dPt>
          <c:dPt>
            <c:idx val="8"/>
            <c:marker>
              <c:symbol val="circle"/>
              <c:size val="8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FF22-D84E-98BA-1386FE876284}"/>
              </c:ext>
            </c:extLst>
          </c:dPt>
          <c:dPt>
            <c:idx val="9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FF22-D84E-98BA-1386FE876284}"/>
              </c:ext>
            </c:extLst>
          </c:dPt>
          <c:dPt>
            <c:idx val="1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FF22-D84E-98BA-1386FE876284}"/>
              </c:ext>
            </c:extLst>
          </c:dPt>
          <c:dPt>
            <c:idx val="1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FF22-D84E-98BA-1386FE876284}"/>
              </c:ext>
            </c:extLst>
          </c:dPt>
          <c:dPt>
            <c:idx val="12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FF22-D84E-98BA-1386FE876284}"/>
              </c:ext>
            </c:extLst>
          </c:dPt>
          <c:dPt>
            <c:idx val="13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FF22-D84E-98BA-1386FE876284}"/>
              </c:ext>
            </c:extLst>
          </c:dPt>
          <c:dPt>
            <c:idx val="14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FF22-D84E-98BA-1386FE876284}"/>
              </c:ext>
            </c:extLst>
          </c:dPt>
          <c:dPt>
            <c:idx val="15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FF22-D84E-98BA-1386FE876284}"/>
              </c:ext>
            </c:extLst>
          </c:dPt>
          <c:dPt>
            <c:idx val="16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FF22-D84E-98BA-1386FE876284}"/>
              </c:ext>
            </c:extLst>
          </c:dPt>
          <c:dPt>
            <c:idx val="17"/>
            <c:marker>
              <c:symbol val="circle"/>
              <c:size val="6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FF22-D84E-98BA-1386FE876284}"/>
              </c:ext>
            </c:extLst>
          </c:dPt>
          <c:dPt>
            <c:idx val="18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FF22-D84E-98BA-1386FE876284}"/>
              </c:ext>
            </c:extLst>
          </c:dPt>
          <c:dPt>
            <c:idx val="19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FF22-D84E-98BA-1386FE876284}"/>
              </c:ext>
            </c:extLst>
          </c:dPt>
          <c:dPt>
            <c:idx val="2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FF22-D84E-98BA-1386FE876284}"/>
              </c:ext>
            </c:extLst>
          </c:dPt>
          <c:dPt>
            <c:idx val="2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FF22-D84E-98BA-1386FE876284}"/>
              </c:ext>
            </c:extLst>
          </c:dPt>
          <c:dPt>
            <c:idx val="22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FF22-D84E-98BA-1386FE876284}"/>
              </c:ext>
            </c:extLst>
          </c:dPt>
          <c:dPt>
            <c:idx val="23"/>
            <c:marker>
              <c:symbol val="circle"/>
              <c:size val="6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FF22-D84E-98BA-1386FE876284}"/>
              </c:ext>
            </c:extLst>
          </c:dPt>
          <c:dPt>
            <c:idx val="24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FF22-D84E-98BA-1386FE876284}"/>
              </c:ext>
            </c:extLst>
          </c:dPt>
          <c:dPt>
            <c:idx val="25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FF22-D84E-98BA-1386FE876284}"/>
              </c:ext>
            </c:extLst>
          </c:dPt>
          <c:dPt>
            <c:idx val="26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FF22-D84E-98BA-1386FE876284}"/>
              </c:ext>
            </c:extLst>
          </c:dPt>
          <c:dPt>
            <c:idx val="27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FF22-D84E-98BA-1386FE876284}"/>
              </c:ext>
            </c:extLst>
          </c:dPt>
          <c:dPt>
            <c:idx val="28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FF22-D84E-98BA-1386FE876284}"/>
              </c:ext>
            </c:extLst>
          </c:dPt>
          <c:dPt>
            <c:idx val="29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FF22-D84E-98BA-1386FE876284}"/>
              </c:ext>
            </c:extLst>
          </c:dPt>
          <c:dPt>
            <c:idx val="3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FF22-D84E-98BA-1386FE876284}"/>
              </c:ext>
            </c:extLst>
          </c:dPt>
          <c:dPt>
            <c:idx val="3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FF22-D84E-98BA-1386FE876284}"/>
              </c:ext>
            </c:extLst>
          </c:dPt>
          <c:dPt>
            <c:idx val="32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FF22-D84E-98BA-1386FE876284}"/>
              </c:ext>
            </c:extLst>
          </c:dPt>
          <c:dPt>
            <c:idx val="33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BB53-BE45-B8BC-71552C36B2F8}"/>
              </c:ext>
            </c:extLst>
          </c:dPt>
          <c:dPt>
            <c:idx val="34"/>
            <c:marker>
              <c:symbol val="circle"/>
              <c:size val="4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BB53-BE45-B8BC-71552C36B2F8}"/>
              </c:ext>
            </c:extLst>
          </c:dPt>
          <c:dPt>
            <c:idx val="35"/>
            <c:marker>
              <c:symbol val="circle"/>
              <c:size val="6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BB53-BE45-B8BC-71552C36B2F8}"/>
              </c:ext>
            </c:extLst>
          </c:dPt>
          <c:dPt>
            <c:idx val="36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BB53-BE45-B8BC-71552C36B2F8}"/>
              </c:ext>
            </c:extLst>
          </c:dPt>
          <c:dPt>
            <c:idx val="37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BB53-BE45-B8BC-71552C36B2F8}"/>
              </c:ext>
            </c:extLst>
          </c:dPt>
          <c:dPt>
            <c:idx val="38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BB53-BE45-B8BC-71552C36B2F8}"/>
              </c:ext>
            </c:extLst>
          </c:dPt>
          <c:dPt>
            <c:idx val="39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BB53-BE45-B8BC-71552C36B2F8}"/>
              </c:ext>
            </c:extLst>
          </c:dPt>
          <c:dPt>
            <c:idx val="4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BB53-BE45-B8BC-71552C36B2F8}"/>
              </c:ext>
            </c:extLst>
          </c:dPt>
          <c:dPt>
            <c:idx val="41"/>
            <c:marker>
              <c:symbol val="circle"/>
              <c:size val="8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BB53-BE45-B8BC-71552C36B2F8}"/>
              </c:ext>
            </c:extLst>
          </c:dPt>
          <c:dPt>
            <c:idx val="42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BB53-BE45-B8BC-71552C36B2F8}"/>
              </c:ext>
            </c:extLst>
          </c:dPt>
          <c:dPt>
            <c:idx val="43"/>
            <c:marker>
              <c:symbol val="circle"/>
              <c:size val="8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BB53-BE45-B8BC-71552C36B2F8}"/>
              </c:ext>
            </c:extLst>
          </c:dPt>
          <c:dPt>
            <c:idx val="44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BB53-BE45-B8BC-71552C36B2F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BE5E3F7-48A3-CC42-90B8-76F5FC5E47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F22-D84E-98BA-1386FE8762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3462BBF-6997-044F-9E54-4E86C35493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22-D84E-98BA-1386FE8762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82B95C-4632-9740-88EB-F0D7B13C57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22-D84E-98BA-1386FE8762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AAD41A-91D4-DC47-BA57-816FDC9A41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22-D84E-98BA-1386FE8762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8D3669-2D23-664F-A398-570AAE2E01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22-D84E-98BA-1386FE8762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3EB78D5-0656-964B-BC1A-2B7DBEEB02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22-D84E-98BA-1386FE8762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557630-1E8B-3546-91D5-4D654BFE42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22-D84E-98BA-1386FE8762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6C3A615-A4BA-5D47-971E-658BFD5F78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22-D84E-98BA-1386FE8762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221E81-392E-CB4A-B495-48CFC4624B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22-D84E-98BA-1386FE8762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B65074-4FDF-BD40-89A6-F3286B6554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F22-D84E-98BA-1386FE8762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346478-EB54-3041-ADCC-CAE1374593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F22-D84E-98BA-1386FE8762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70471C7-C2B1-7947-B57B-59FA197F88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F22-D84E-98BA-1386FE8762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CC1556B-FC66-6B41-899A-C82D472DF3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F22-D84E-98BA-1386FE8762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951F69-5704-E24F-97AB-980BD06796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F22-D84E-98BA-1386FE8762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67E2568-83E3-2045-B987-8722020D56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F22-D84E-98BA-1386FE8762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1800FBB-9583-6849-A282-470AF8A90E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F22-D84E-98BA-1386FE8762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F609422-279B-0345-994A-83CF43AA07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F22-D84E-98BA-1386FE8762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35A8FA-1894-FF47-9CDD-A6A6D06AC7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F22-D84E-98BA-1386FE8762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2B264A8-9C85-044D-8FDC-FFBC678C99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F22-D84E-98BA-1386FE8762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B455D55-9F6F-2D40-8D83-4703F0F08D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F22-D84E-98BA-1386FE8762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744FB1-6B28-0145-A8DD-B5A6FC6779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F22-D84E-98BA-1386FE8762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2781147-9BF6-134C-9DA4-C89DE53FFE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F22-D84E-98BA-1386FE8762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B0D9D88-922E-E04A-8173-131AB957C2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F22-D84E-98BA-1386FE8762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D20A36C-E4C9-1449-B359-11DBA555DE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F22-D84E-98BA-1386FE8762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CC8A787-2580-F94A-96A4-868570DDA0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F22-D84E-98BA-1386FE8762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56C0AD0-C29B-684C-A7CD-122D9DFD67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F22-D84E-98BA-1386FE8762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95E244-19C7-3A49-9329-D4AFAC00B0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F22-D84E-98BA-1386FE8762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164D1E-BD79-7A49-8B79-DDBDCB8E2F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F22-D84E-98BA-1386FE8762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B16ECD1-3445-9A4F-9F6E-8107DDA18B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F22-D84E-98BA-1386FE8762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6DD5F76-B4EA-F847-A87C-BC0DBF9B4F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F22-D84E-98BA-1386FE8762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3A1F0D-C369-7B47-80D9-5DFDB7F3E5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F22-D84E-98BA-1386FE8762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4FD934A-702C-9C46-A290-6E2F8D346F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F22-D84E-98BA-1386FE8762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105E8DB-B74B-C345-8018-76461109ED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F22-D84E-98BA-1386FE8762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C97D39E-2A9A-374F-8214-BEEC9CF167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53-BE45-B8BC-71552C36B2F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73B99C2-0764-9A4D-9467-E1B5A4B15A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53-BE45-B8BC-71552C36B2F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C79E9A7-ABA3-A24C-B259-3EC1412705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53-BE45-B8BC-71552C36B2F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E45A8C1-FFD3-7746-88B4-C05EDA973F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53-BE45-B8BC-71552C36B2F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6A8067C-6F29-914F-8EE8-C70709EB0F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53-BE45-B8BC-71552C36B2F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C45C652-4843-2446-BC41-D47C4570D2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53-BE45-B8BC-71552C36B2F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3A3F9F6-C677-684F-A85D-AE11EA8CD6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53-BE45-B8BC-71552C36B2F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76F05D4-A364-A44C-AA9D-7E7DDEE2C3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53-BE45-B8BC-71552C36B2F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CBD1BB1-965F-254F-9E06-0F06FF38D1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53-BE45-B8BC-71552C36B2F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7C16B52-8F3E-C843-A8B1-0688C8C377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53-BE45-B8BC-71552C36B2F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44D06DD-0809-624A-A0BD-BF61509A95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53-BE45-B8BC-71552C36B2F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C9F67DD-CEB6-DB43-B2FC-1FF132C646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53-BE45-B8BC-71552C36B2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'2nd-1'!$B$82:$B$126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</c:numCache>
            </c:numRef>
          </c:xVal>
          <c:yVal>
            <c:numRef>
              <c:f>'2nd-1'!$C$82:$C$126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0</c:v>
                </c:pt>
                <c:pt idx="28">
                  <c:v>1</c:v>
                </c:pt>
                <c:pt idx="29">
                  <c:v>2</c:v>
                </c:pt>
                <c:pt idx="30">
                  <c:v>3</c:v>
                </c:pt>
                <c:pt idx="31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7</c:v>
                </c:pt>
                <c:pt idx="35">
                  <c:v>8</c:v>
                </c:pt>
                <c:pt idx="36">
                  <c:v>0</c:v>
                </c:pt>
                <c:pt idx="37">
                  <c:v>1</c:v>
                </c:pt>
                <c:pt idx="38">
                  <c:v>2</c:v>
                </c:pt>
                <c:pt idx="39">
                  <c:v>3</c:v>
                </c:pt>
                <c:pt idx="40">
                  <c:v>4</c:v>
                </c:pt>
                <c:pt idx="41">
                  <c:v>5</c:v>
                </c:pt>
                <c:pt idx="42">
                  <c:v>6</c:v>
                </c:pt>
                <c:pt idx="43">
                  <c:v>7</c:v>
                </c:pt>
                <c:pt idx="44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'2nd-1'!$D$82:$D$126</c15:f>
                <c15:dlblRangeCache>
                  <c:ptCount val="4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2</c:v>
                  </c:pt>
                  <c:pt idx="6">
                    <c:v>2</c:v>
                  </c:pt>
                  <c:pt idx="7">
                    <c:v>2</c:v>
                  </c:pt>
                  <c:pt idx="8">
                    <c:v>3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2</c:v>
                  </c:pt>
                  <c:pt idx="14">
                    <c:v>1</c:v>
                  </c:pt>
                  <c:pt idx="15">
                    <c:v>2</c:v>
                  </c:pt>
                  <c:pt idx="16">
                    <c:v>2</c:v>
                  </c:pt>
                  <c:pt idx="17">
                    <c:v>2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3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2</c:v>
                  </c:pt>
                  <c:pt idx="32">
                    <c:v>1</c:v>
                  </c:pt>
                  <c:pt idx="33">
                    <c:v>2</c:v>
                  </c:pt>
                  <c:pt idx="34">
                    <c:v>2</c:v>
                  </c:pt>
                  <c:pt idx="35">
                    <c:v>2</c:v>
                  </c:pt>
                  <c:pt idx="36">
                    <c:v>1</c:v>
                  </c:pt>
                  <c:pt idx="37">
                    <c:v>0</c:v>
                  </c:pt>
                  <c:pt idx="38">
                    <c:v>1</c:v>
                  </c:pt>
                  <c:pt idx="39">
                    <c:v>0</c:v>
                  </c:pt>
                  <c:pt idx="40">
                    <c:v>0</c:v>
                  </c:pt>
                  <c:pt idx="41">
                    <c:v>4</c:v>
                  </c:pt>
                  <c:pt idx="42">
                    <c:v>0</c:v>
                  </c:pt>
                  <c:pt idx="43">
                    <c:v>4</c:v>
                  </c:pt>
                  <c:pt idx="44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FF22-D84E-98BA-1386FE876284}"/>
            </c:ext>
          </c:extLst>
        </c:ser>
        <c:ser>
          <c:idx val="1"/>
          <c:order val="1"/>
          <c:tx>
            <c:strRef>
              <c:f>'2nd-1'!$B$15</c:f>
              <c:strCache>
                <c:ptCount val="1"/>
                <c:pt idx="0">
                  <c:v>Y: Publish Year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EF4C9B3-1275-2D4D-8A48-1CB21E74F4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F22-D84E-98BA-1386FE8762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5E4C55-2981-F147-BCE7-2AB5CA8DE8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F22-D84E-98BA-1386FE8762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84D732-4E47-1A49-9D4B-040A1352F4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F22-D84E-98BA-1386FE8762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34AF9C-A992-9E4A-A513-0791758F02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53-BE45-B8BC-71552C36B2F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7BCF56-43AF-3744-85CF-D322F8A7AD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53-BE45-B8BC-71552C36B2F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59165B-114D-BB4E-BAD2-E975454877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53-BE45-B8BC-71552C36B2F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69EF3B5-D5D8-914E-B356-E7CE340477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53-BE45-B8BC-71552C36B2F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E53A1A5-E475-1349-8597-938D1AA8E3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53-BE45-B8BC-71552C36B2F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7EDE7D6-772A-184F-A4B7-4CD01DF4B2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53-BE45-B8BC-71552C36B2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'2nd-1'!$C$17:$C$25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'2nd-1'!$D$17:$D$25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'2nd-1'!$B$17:$B$25</c15:f>
                <c15:dlblRangeCache>
                  <c:ptCount val="9"/>
                  <c:pt idx="0">
                    <c:v>Before 2000</c:v>
                  </c:pt>
                  <c:pt idx="1">
                    <c:v>2000~2002</c:v>
                  </c:pt>
                  <c:pt idx="2">
                    <c:v>2003~2005</c:v>
                  </c:pt>
                  <c:pt idx="3">
                    <c:v>2006~2008</c:v>
                  </c:pt>
                  <c:pt idx="4">
                    <c:v>2009~2011</c:v>
                  </c:pt>
                  <c:pt idx="5">
                    <c:v>2012~2014</c:v>
                  </c:pt>
                  <c:pt idx="6">
                    <c:v>2015~2017</c:v>
                  </c:pt>
                  <c:pt idx="7">
                    <c:v>2018~2020</c:v>
                  </c:pt>
                  <c:pt idx="8">
                    <c:v>2021~2023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FF22-D84E-98BA-1386FE876284}"/>
            </c:ext>
          </c:extLst>
        </c:ser>
        <c:ser>
          <c:idx val="2"/>
          <c:order val="2"/>
          <c:tx>
            <c:strRef>
              <c:f>'2nd-1'!$B$1</c:f>
              <c:strCache>
                <c:ptCount val="1"/>
                <c:pt idx="0">
                  <c:v>X: Game Engine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67BF969-5BBE-FC45-A3D8-E218AF3E42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F22-D84E-98BA-1386FE8762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6D80CF-FD5C-5449-9D55-8837EC6F69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F22-D84E-98BA-1386FE8762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6E5566-0FF8-4F4C-8C3C-7234C848B5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F22-D84E-98BA-1386FE8762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47FDFE-D987-B94D-B251-580EFDB6EF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F22-D84E-98BA-1386FE8762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67DC0F-BD0A-5447-889F-614C1508E4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F22-D84E-98BA-1386FE8762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09F4783-72A0-E548-9109-5A7186F204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F22-D84E-98BA-1386FE8762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D8687E-52E6-E743-BEBC-CD0C507EC0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>
                    <c:manualLayout>
                      <c:w val="9.4236474491754957E-2"/>
                      <c:h val="5.7084518436063561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FF22-D84E-98BA-1386FE8762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CBB9AA-EDA6-464C-8BBA-5EF6F8C2FB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F22-D84E-98BA-1386FE8762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784F1F9-ACE9-9442-81CA-6C251B80FB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F22-D84E-98BA-1386FE8762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014031D-D45A-9242-A06D-A778ACAD1D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F22-D84E-98BA-1386FE8762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78832CF-2875-294A-9CBC-B3E6C049A5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F22-D84E-98BA-1386FE8762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'2nd-1'!$C$3:$C$13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'2nd-1'!$D$3:$D$13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'2nd-1'!$B$3:$B$13</c15:f>
                <c15:dlblRangeCache>
                  <c:ptCount val="11"/>
                  <c:pt idx="0">
                    <c:v>TADS</c:v>
                  </c:pt>
                  <c:pt idx="1">
                    <c:v>Quest</c:v>
                  </c:pt>
                  <c:pt idx="2">
                    <c:v>Adrift</c:v>
                  </c:pt>
                  <c:pt idx="3">
                    <c:v>Ren'Py</c:v>
                  </c:pt>
                  <c:pt idx="4">
                    <c:v>Unity</c:v>
                  </c:pt>
                  <c:pt idx="5">
                    <c:v>Inform 7</c:v>
                  </c:pt>
                  <c:pt idx="6">
                    <c:v>Twine</c:v>
                  </c:pt>
                  <c:pt idx="7">
                    <c:v>ChoiceScript</c:v>
                  </c:pt>
                  <c:pt idx="8">
                    <c:v>inklewriter</c:v>
                  </c:pt>
                  <c:pt idx="9">
                    <c:v>StoryNexus</c:v>
                  </c:pt>
                  <c:pt idx="10">
                    <c:v>Others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FF22-D84E-98BA-1386FE876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45376"/>
        <c:axId val="1881219584"/>
      </c:scatterChart>
      <c:valAx>
        <c:axId val="670945376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219584"/>
        <c:crosses val="autoZero"/>
        <c:crossBetween val="midCat"/>
      </c:valAx>
      <c:valAx>
        <c:axId val="1881219584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45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Catogories - Publish Year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980249249323895"/>
          <c:y val="0.12620593218904078"/>
          <c:w val="0.8683296055524784"/>
          <c:h val="0.74302089940260319"/>
        </c:manualLayout>
      </c:layout>
      <c:scatterChart>
        <c:scatterStyle val="lineMarker"/>
        <c:varyColors val="0"/>
        <c:ser>
          <c:idx val="1"/>
          <c:order val="0"/>
          <c:tx>
            <c:strRef>
              <c:f>'2nd-2'!$A$39</c:f>
              <c:strCache>
                <c:ptCount val="1"/>
                <c:pt idx="0">
                  <c:v>Y: Publish Year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F98645B-F447-A54B-8C72-345249652E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4C-D04C-AE99-BAAC509DFC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86A855-F1D3-074B-A6A0-74BD3208A0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4C-D04C-AE99-BAAC509DFC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851D42-B22C-A649-B369-B543860E5C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4C-D04C-AE99-BAAC509DFC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206D16-FB90-1D44-A07D-8E3AA88D06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86-BC4A-BD0D-C19D06370E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0A6DC4-65CA-B04D-AF7C-4545FC1433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86-BC4A-BD0D-C19D06370E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6B904E-87E5-D749-90EE-129903BF04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86-BC4A-BD0D-C19D06370E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BB9B9A-5B28-724D-94AD-52F87DBEAE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86-BC4A-BD0D-C19D06370E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1697DDC-8D0C-D843-BFA8-DB328DDC96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86-BC4A-BD0D-C19D06370E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DA325E-12DD-6C48-A268-90AB6A4068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86-BC4A-BD0D-C19D06370E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'2nd-2'!$B$41:$B$49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'2nd-2'!$C$41:$C$49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'2nd-2'!$A$41:$A$49</c15:f>
                <c15:dlblRangeCache>
                  <c:ptCount val="9"/>
                  <c:pt idx="0">
                    <c:v>Before 2000</c:v>
                  </c:pt>
                  <c:pt idx="1">
                    <c:v>2000~2002</c:v>
                  </c:pt>
                  <c:pt idx="2">
                    <c:v>2003~2005</c:v>
                  </c:pt>
                  <c:pt idx="3">
                    <c:v>2006~2008</c:v>
                  </c:pt>
                  <c:pt idx="4">
                    <c:v>2009~2011</c:v>
                  </c:pt>
                  <c:pt idx="5">
                    <c:v>2012~2014</c:v>
                  </c:pt>
                  <c:pt idx="6">
                    <c:v>2015~2017</c:v>
                  </c:pt>
                  <c:pt idx="7">
                    <c:v>2018~2020</c:v>
                  </c:pt>
                  <c:pt idx="8">
                    <c:v>2021~2023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934C-D04C-AE99-BAAC509DFCB0}"/>
            </c:ext>
          </c:extLst>
        </c:ser>
        <c:ser>
          <c:idx val="0"/>
          <c:order val="1"/>
          <c:tx>
            <c:strRef>
              <c:f>'2nd-2'!$E$51</c:f>
              <c:strCache>
                <c:ptCount val="1"/>
                <c:pt idx="0">
                  <c:v>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FE-1349-B1FD-7537C9ECF7B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24FE-1349-B1FD-7537C9ECF7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1-75D9-BE4B-9B38-1298BC4DABB7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2-75D9-BE4B-9B38-1298BC4DABB7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3-75D9-BE4B-9B38-1298BC4DABB7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4-75D9-BE4B-9B38-1298BC4DABB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5-75D9-BE4B-9B38-1298BC4DABB7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6-75D9-BE4B-9B38-1298BC4DABB7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7-75D9-BE4B-9B38-1298BC4DABB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F-3486-BC4A-BD0D-C19D06370E1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0-3486-BC4A-BD0D-C19D06370E1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1-3486-BC4A-BD0D-C19D06370E1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2-3486-BC4A-BD0D-C19D06370E10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3-3486-BC4A-BD0D-C19D06370E10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4-3486-BC4A-BD0D-C19D06370E10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5-3486-BC4A-BD0D-C19D06370E10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6-3486-BC4A-BD0D-C19D06370E10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7-3486-BC4A-BD0D-C19D06370E10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8-3486-BC4A-BD0D-C19D06370E10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9-3486-BC4A-BD0D-C19D06370E10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01A-3486-BC4A-BD0D-C19D06370E10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01B-3486-BC4A-BD0D-C19D06370E10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01C-3486-BC4A-BD0D-C19D06370E10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01D-3486-BC4A-BD0D-C19D06370E10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1E-3486-BC4A-BD0D-C19D06370E10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01F-3486-BC4A-BD0D-C19D06370E10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020-3486-BC4A-BD0D-C19D06370E1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20DFBBEB-030E-8243-8A4B-11DDD6D92C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4FE-1349-B1FD-7537C9ECF7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6EE61C-56F7-604C-A6F3-6105AF892E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FE-1349-B1FD-7537C9ECF7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1FB69F-45D1-964D-9629-4FE89636DC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5D9-BE4B-9B38-1298BC4DAB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98EF6-E714-E641-9FDB-1865DD7A74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5D9-BE4B-9B38-1298BC4DAB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0D516EC-D3B2-2347-B6BE-2C68C5D22C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5D9-BE4B-9B38-1298BC4DAB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5F815DB-1FA1-B44A-915B-3E0A681132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5D9-BE4B-9B38-1298BC4DAB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4C4741-2D80-1743-A596-54AD6921A1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5D9-BE4B-9B38-1298BC4DAB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30F6AA-D86E-0A43-A4EF-41300F5BEB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5D9-BE4B-9B38-1298BC4DAB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059AA1-D1ED-F04D-9E6A-34B08725E5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5D9-BE4B-9B38-1298BC4DAB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BD23CE3-8C65-0741-9DC1-EE7ED4CF4A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86-BC4A-BD0D-C19D06370E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84AF331-B2FF-9F48-8229-7BDAE5BCAF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86-BC4A-BD0D-C19D06370E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5F1CA0-A814-874B-BC11-C9D7616B93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86-BC4A-BD0D-C19D06370E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87F8B78-6146-E143-A3BB-DAA589361B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86-BC4A-BD0D-C19D06370E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F3998E-5539-4E49-A37D-7F4B819BA6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86-BC4A-BD0D-C19D06370E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1F843BC-2DE1-0F42-8D9C-71C10CC672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86-BC4A-BD0D-C19D06370E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7A86D4E-6CAB-6544-B73F-F8FDA50BDB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86-BC4A-BD0D-C19D06370E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5EDD0C-5938-964B-96E0-3232B53CC3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86-BC4A-BD0D-C19D06370E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A8F25D-7E20-1F4D-8CDF-16466833DB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86-BC4A-BD0D-C19D06370E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048D0D2-CBDD-214C-AE90-98265B1AF7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86-BC4A-BD0D-C19D06370E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F8CEB59-E7E2-E845-803C-C7E5A338D0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86-BC4A-BD0D-C19D06370E1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785F82-F18F-D041-A01F-3A252AAB4B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86-BC4A-BD0D-C19D06370E1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9B0DDA3-7C17-914A-B31F-911CDDA55C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86-BC4A-BD0D-C19D06370E1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B801C82-29E3-F44D-988D-91DF21C87C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86-BC4A-BD0D-C19D06370E1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B10DA61-99B5-B345-B326-9308A1AEC9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86-BC4A-BD0D-C19D06370E1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0B8B74F-60C0-DA45-851C-248C6B3205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86-BC4A-BD0D-C19D06370E1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B6F2BC5-D01D-5E43-AE82-7925D4C08C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86-BC4A-BD0D-C19D06370E1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7A98B43-3720-A84A-B275-6D7FE857B8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86-BC4A-BD0D-C19D06370E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'2nd-2'!$D$52:$D$78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'2nd-2'!$E$52:$E$78</c15:f>
                <c15:dlblRangeCache>
                  <c:ptCount val="27"/>
                  <c:pt idx="0">
                    <c:v>2</c:v>
                  </c:pt>
                  <c:pt idx="1">
                    <c:v>2</c:v>
                  </c:pt>
                  <c:pt idx="2">
                    <c:v>2</c:v>
                  </c:pt>
                  <c:pt idx="3">
                    <c:v>4</c:v>
                  </c:pt>
                  <c:pt idx="4">
                    <c:v>5</c:v>
                  </c:pt>
                  <c:pt idx="5">
                    <c:v>4</c:v>
                  </c:pt>
                  <c:pt idx="6">
                    <c:v>4</c:v>
                  </c:pt>
                  <c:pt idx="7">
                    <c:v>3</c:v>
                  </c:pt>
                  <c:pt idx="8">
                    <c:v>4</c:v>
                  </c:pt>
                  <c:pt idx="9">
                    <c:v>0</c:v>
                  </c:pt>
                  <c:pt idx="10">
                    <c:v>1</c:v>
                  </c:pt>
                  <c:pt idx="11">
                    <c:v>2</c:v>
                  </c:pt>
                  <c:pt idx="12">
                    <c:v>2</c:v>
                  </c:pt>
                  <c:pt idx="13">
                    <c:v>7</c:v>
                  </c:pt>
                  <c:pt idx="14">
                    <c:v>12</c:v>
                  </c:pt>
                  <c:pt idx="15">
                    <c:v>10</c:v>
                  </c:pt>
                  <c:pt idx="16">
                    <c:v>14</c:v>
                  </c:pt>
                  <c:pt idx="17">
                    <c:v>14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2</c:v>
                  </c:pt>
                  <c:pt idx="24">
                    <c:v>1</c:v>
                  </c:pt>
                  <c:pt idx="25">
                    <c:v>3</c:v>
                  </c:pt>
                  <c:pt idx="26">
                    <c:v>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0DB-6547-BD35-E943DA5F087F}"/>
            </c:ext>
          </c:extLst>
        </c:ser>
        <c:ser>
          <c:idx val="2"/>
          <c:order val="2"/>
          <c:tx>
            <c:strRef>
              <c:f>'2nd-2'!$G$1</c:f>
              <c:strCache>
                <c:ptCount val="1"/>
                <c:pt idx="0">
                  <c:v>C1: Human Computer Interaction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0462125-93D5-4E41-9680-744CDDD4C6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68421836902047"/>
                      <c:h val="4.3353677749892933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34C-D04C-AE99-BAAC509DFCB0}"/>
                </c:ext>
              </c:extLst>
            </c:dLbl>
            <c:dLbl>
              <c:idx val="1"/>
              <c:layout>
                <c:manualLayout>
                  <c:x val="-4.1805940592821118E-2"/>
                  <c:y val="7.3693591449217E-2"/>
                </c:manualLayout>
              </c:layout>
              <c:tx>
                <c:rich>
                  <a:bodyPr/>
                  <a:lstStyle/>
                  <a:p>
                    <a:fld id="{720F54D5-ACF5-AE45-A0EB-2B563DD42D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6662774601414019E-2"/>
                      <c:h val="4.8923441863960963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934C-D04C-AE99-BAAC509DFCB0}"/>
                </c:ext>
              </c:extLst>
            </c:dLbl>
            <c:dLbl>
              <c:idx val="2"/>
              <c:layout>
                <c:manualLayout>
                  <c:x val="-5.0338720754429682E-2"/>
                  <c:y val="0.10417188003896302"/>
                </c:manualLayout>
              </c:layout>
              <c:tx>
                <c:rich>
                  <a:bodyPr/>
                  <a:lstStyle/>
                  <a:p>
                    <a:fld id="{8DE53D53-EAE6-124D-9940-01DD619432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757540077595024E-2"/>
                      <c:h val="5.1220809534055174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934C-D04C-AE99-BAAC509DFC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'2nd-2'!$I$3:$I$5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'2nd-2'!$L$3:$L$5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'2nd-2'!$G$3:$G$9</c15:f>
                <c15:dlblRangeCache>
                  <c:ptCount val="7"/>
                  <c:pt idx="0">
                    <c:v>Keyboard</c:v>
                  </c:pt>
                  <c:pt idx="1">
                    <c:v>Mouse</c:v>
                  </c:pt>
                  <c:pt idx="2">
                    <c:v>Mouse only</c:v>
                  </c:pt>
                  <c:pt idx="3">
                    <c:v>C2: Visual Support</c:v>
                  </c:pt>
                  <c:pt idx="4">
                    <c:v>Text</c:v>
                  </c:pt>
                  <c:pt idx="5">
                    <c:v>Picture</c:v>
                  </c:pt>
                  <c:pt idx="6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34C-D04C-AE99-BAAC509DFCB0}"/>
            </c:ext>
          </c:extLst>
        </c:ser>
        <c:ser>
          <c:idx val="3"/>
          <c:order val="3"/>
          <c:tx>
            <c:strRef>
              <c:f>'2nd-2'!$G$6:$L$6</c:f>
              <c:strCache>
                <c:ptCount val="1"/>
                <c:pt idx="0">
                  <c:v>C2: Visual Support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0F9DD20-8443-4E43-BD29-6D374BD72A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2576703066906898E-2"/>
                      <c:h val="7.059852560451988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6FCA-B549-B69C-7FC0A3D376F5}"/>
                </c:ext>
              </c:extLst>
            </c:dLbl>
            <c:dLbl>
              <c:idx val="1"/>
              <c:layout>
                <c:manualLayout>
                  <c:x val="-5.4499741814632754E-2"/>
                  <c:y val="7.7366472373181908E-2"/>
                </c:manualLayout>
              </c:layout>
              <c:tx>
                <c:rich>
                  <a:bodyPr/>
                  <a:lstStyle/>
                  <a:p>
                    <a:fld id="{4D0CDB85-9870-594C-80BE-317F21FB7D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205051205519282"/>
                      <c:h val="5.2079379979161372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6FCA-B549-B69C-7FC0A3D376F5}"/>
                </c:ext>
              </c:extLst>
            </c:dLbl>
            <c:dLbl>
              <c:idx val="2"/>
              <c:layout>
                <c:manualLayout>
                  <c:x val="-4.9273774510608583E-2"/>
                  <c:y val="9.5256044281428906E-2"/>
                </c:manualLayout>
              </c:layout>
              <c:tx>
                <c:rich>
                  <a:bodyPr/>
                  <a:lstStyle/>
                  <a:p>
                    <a:fld id="{95998D77-BD83-DA49-9B53-21217C758C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1598516557331894E-2"/>
                      <c:h val="6.690861366270943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6FCA-B549-B69C-7FC0A3D376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'2nd-2'!$I$7:$I$9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xVal>
          <c:yVal>
            <c:numRef>
              <c:f>'2nd-2'!$L$7:$L$9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'2nd-2'!$G$7:$G$9</c15:f>
                <c15:dlblRangeCache>
                  <c:ptCount val="3"/>
                  <c:pt idx="0">
                    <c:v>Text</c:v>
                  </c:pt>
                  <c:pt idx="1">
                    <c:v>Picture</c:v>
                  </c:pt>
                  <c:pt idx="2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6FCA-B549-B69C-7FC0A3D376F5}"/>
            </c:ext>
          </c:extLst>
        </c:ser>
        <c:ser>
          <c:idx val="4"/>
          <c:order val="4"/>
          <c:tx>
            <c:strRef>
              <c:f>'2nd-2'!$G$51</c:f>
              <c:strCache>
                <c:ptCount val="1"/>
                <c:pt idx="0">
                  <c:v>C2</c:v>
                </c:pt>
              </c:strCache>
            </c:strRef>
          </c:tx>
          <c:spPr>
            <a:ln w="19050" cap="rnd">
              <a:noFill/>
              <a:round/>
            </a:ln>
            <a:effectLst>
              <a:outerShdw blurRad="50800" dist="50800" dir="5400000" algn="ctr" rotWithShape="0">
                <a:schemeClr val="accent2">
                  <a:lumMod val="20000"/>
                  <a:lumOff val="80000"/>
                </a:schemeClr>
              </a:outerShdw>
            </a:effectLst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25-6FCA-B549-B69C-7FC0A3D376F5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26-6FCA-B549-B69C-7FC0A3D376F5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7-6FCA-B549-B69C-7FC0A3D376F5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28-6FCA-B549-B69C-7FC0A3D376F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29-6FCA-B549-B69C-7FC0A3D376F5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2A-6FCA-B549-B69C-7FC0A3D376F5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2B-6FCA-B549-B69C-7FC0A3D376F5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2C-6FCA-B549-B69C-7FC0A3D376F5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2D-6FCA-B549-B69C-7FC0A3D376F5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2E-6FCA-B549-B69C-7FC0A3D376F5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2F-6FCA-B549-B69C-7FC0A3D376F5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30-6FCA-B549-B69C-7FC0A3D376F5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31-6FCA-B549-B69C-7FC0A3D376F5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32-6FCA-B549-B69C-7FC0A3D376F5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33-6FCA-B549-B69C-7FC0A3D376F5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34-6FCA-B549-B69C-7FC0A3D376F5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35-6FCA-B549-B69C-7FC0A3D376F5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36-6FCA-B549-B69C-7FC0A3D376F5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37-6FCA-B549-B69C-7FC0A3D376F5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38-6FCA-B549-B69C-7FC0A3D376F5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039-6FCA-B549-B69C-7FC0A3D376F5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03A-6FCA-B549-B69C-7FC0A3D376F5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03B-6FCA-B549-B69C-7FC0A3D376F5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03C-6FCA-B549-B69C-7FC0A3D376F5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3D-6FCA-B549-B69C-7FC0A3D376F5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03E-6FCA-B549-B69C-7FC0A3D376F5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03F-6FCA-B549-B69C-7FC0A3D376F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23BD01FE-D245-C948-81C4-EBF89287DE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CA-B549-B69C-7FC0A3D376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912048-E4B5-3341-B31E-FDB260B529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CA-B549-B69C-7FC0A3D376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82EFD1-70A3-9F4F-943E-C9D39A796D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CA-B549-B69C-7FC0A3D376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0B95F0-B9CA-A946-9EFF-5CCD69CED6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CA-B549-B69C-7FC0A3D376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055A35E-E32C-9B48-BD78-960664EF3E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CA-B549-B69C-7FC0A3D376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AC9F263-FE85-B145-93CD-F2C054E032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CA-B549-B69C-7FC0A3D376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59A4BD2-17E8-E147-85B8-1E2EE4D0C5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CA-B549-B69C-7FC0A3D376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3825D9-64BA-1F4F-AA52-4BD5365300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CA-B549-B69C-7FC0A3D376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44D91B-DF2C-9149-98D8-D12B388E3A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CA-B549-B69C-7FC0A3D376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09A13C-B52B-BD40-88EE-A29BD6FF49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CA-B549-B69C-7FC0A3D376F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75E331-A823-C04E-B2DA-26DAFEC217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CA-B549-B69C-7FC0A3D376F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4DA366-C86B-9A4D-8133-C7349A5A5C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CA-B549-B69C-7FC0A3D376F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761B13-7D52-1D47-BAC3-6045AD9E70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CA-B549-B69C-7FC0A3D376F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0FD506-914D-954C-8E0B-927C92E43F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CA-B549-B69C-7FC0A3D376F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1437722-F2D4-C141-AF5B-F7EDC49658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CA-B549-B69C-7FC0A3D376F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F85859A-D66B-994A-96E4-6CE4301183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CA-B549-B69C-7FC0A3D376F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4C42A09-184F-CE49-816C-D9580469D5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CA-B549-B69C-7FC0A3D376F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D7D5C7C-0E76-C94A-AB3D-B790AFEC7E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CA-B549-B69C-7FC0A3D376F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0798A9D-96A0-254E-8D40-DD62E2FCBE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CA-B549-B69C-7FC0A3D376F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207BE09-000A-1543-9749-73BCB96FD7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CA-B549-B69C-7FC0A3D376F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730E365-652B-3840-AF89-519583F587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CA-B549-B69C-7FC0A3D376F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895B549-DD45-BD41-999E-D88B163217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CA-B549-B69C-7FC0A3D376F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34036DC-D97D-7047-8AA4-69755D16A2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CA-B549-B69C-7FC0A3D376F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9DFE615-34EE-3D43-919A-3C1FF38418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CA-B549-B69C-7FC0A3D376F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97B994-0A92-4A4A-8D64-FFA52607B9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CA-B549-B69C-7FC0A3D376F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214ED3-4A63-D54C-AEAB-882CEA3514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CA-B549-B69C-7FC0A3D376F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4BE3393-3890-9149-8057-72F42B1198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CA-B549-B69C-7FC0A3D376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'2nd-2'!$F$52:$F$78</c:f>
              <c:numCache>
                <c:formatCode>General</c:formatCode>
                <c:ptCount val="27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'2nd-2'!$G$52:$G$78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3</c:v>
                  </c:pt>
                  <c:pt idx="3">
                    <c:v>5</c:v>
                  </c:pt>
                  <c:pt idx="4">
                    <c:v>11</c:v>
                  </c:pt>
                  <c:pt idx="5">
                    <c:v>8</c:v>
                  </c:pt>
                  <c:pt idx="6">
                    <c:v>7</c:v>
                  </c:pt>
                  <c:pt idx="7">
                    <c:v>9</c:v>
                  </c:pt>
                  <c:pt idx="8">
                    <c:v>9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1</c:v>
                  </c:pt>
                  <c:pt idx="13">
                    <c:v>1</c:v>
                  </c:pt>
                  <c:pt idx="14">
                    <c:v>9</c:v>
                  </c:pt>
                  <c:pt idx="15">
                    <c:v>7</c:v>
                  </c:pt>
                  <c:pt idx="16">
                    <c:v>7</c:v>
                  </c:pt>
                  <c:pt idx="17">
                    <c:v>9</c:v>
                  </c:pt>
                  <c:pt idx="18">
                    <c:v>0</c:v>
                  </c:pt>
                  <c:pt idx="19">
                    <c:v>0</c:v>
                  </c:pt>
                  <c:pt idx="20">
                    <c:v>1</c:v>
                  </c:pt>
                  <c:pt idx="21">
                    <c:v>0</c:v>
                  </c:pt>
                  <c:pt idx="22">
                    <c:v>0</c:v>
                  </c:pt>
                  <c:pt idx="23">
                    <c:v>1</c:v>
                  </c:pt>
                  <c:pt idx="24">
                    <c:v>1</c:v>
                  </c:pt>
                  <c:pt idx="25">
                    <c:v>4</c:v>
                  </c:pt>
                  <c:pt idx="26">
                    <c:v>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4-6FCA-B549-B69C-7FC0A3D376F5}"/>
            </c:ext>
          </c:extLst>
        </c:ser>
        <c:ser>
          <c:idx val="5"/>
          <c:order val="5"/>
          <c:tx>
            <c:strRef>
              <c:f>'2nd-2'!$G$10:$L$10</c:f>
              <c:strCache>
                <c:ptCount val="1"/>
                <c:pt idx="0">
                  <c:v>C3: Game option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8711D83-35F4-9446-B8A4-430AA63905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5E8-5246-B856-04BBD6A00148}"/>
                </c:ext>
              </c:extLst>
            </c:dLbl>
            <c:dLbl>
              <c:idx val="1"/>
              <c:layout>
                <c:manualLayout>
                  <c:x val="-5.2368481405729042E-2"/>
                  <c:y val="6.9815007419003219E-2"/>
                </c:manualLayout>
              </c:layout>
              <c:tx>
                <c:rich>
                  <a:bodyPr/>
                  <a:lstStyle/>
                  <a:p>
                    <a:fld id="{F7E96DB1-A6B9-D74E-A675-80F0E80642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25E8-5246-B856-04BBD6A00148}"/>
                </c:ext>
              </c:extLst>
            </c:dLbl>
            <c:dLbl>
              <c:idx val="2"/>
              <c:layout>
                <c:manualLayout>
                  <c:x val="-4.8841824059687018E-2"/>
                  <c:y val="0.11171443724034504"/>
                </c:manualLayout>
              </c:layout>
              <c:tx>
                <c:rich>
                  <a:bodyPr/>
                  <a:lstStyle/>
                  <a:p>
                    <a:fld id="{93597118-56FE-394D-A62B-626D244AF6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'2nd-2'!$I$11:$I$13</c:f>
              <c:numCache>
                <c:formatCode>General</c:formatCode>
                <c:ptCount val="3"/>
                <c:pt idx="0">
                  <c:v>8</c:v>
                </c:pt>
                <c:pt idx="1">
                  <c:v>9</c:v>
                </c:pt>
                <c:pt idx="2">
                  <c:v>10</c:v>
                </c:pt>
              </c:numCache>
            </c:numRef>
          </c:xVal>
          <c:yVal>
            <c:numRef>
              <c:f>'2nd-2'!$L$11:$L$13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'2nd-2'!$G$11:$G$13</c15:f>
                <c15:dlblRangeCache>
                  <c:ptCount val="3"/>
                  <c:pt idx="0">
                    <c:v>Linear limited</c:v>
                  </c:pt>
                  <c:pt idx="1">
                    <c:v>Non-linear limited</c:v>
                  </c:pt>
                  <c:pt idx="2">
                    <c:v>Non-linear open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C-25E8-5246-B856-04BBD6A00148}"/>
            </c:ext>
          </c:extLst>
        </c:ser>
        <c:ser>
          <c:idx val="6"/>
          <c:order val="6"/>
          <c:tx>
            <c:strRef>
              <c:f>'2nd-2'!$G$14:$L$14</c:f>
              <c:strCache>
                <c:ptCount val="1"/>
                <c:pt idx="0">
                  <c:v>C4: Action Time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2662AE4-FEA7-254B-B71C-BAC67B77CC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C10A97-05BD-D74F-9A89-2BF4F0E97D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18442232446233"/>
                      <c:h val="8.124124755778211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25E8-5246-B856-04BBD6A00148}"/>
                </c:ext>
              </c:extLst>
            </c:dLbl>
            <c:dLbl>
              <c:idx val="2"/>
              <c:layout>
                <c:manualLayout>
                  <c:x val="-3.2273327239439528E-2"/>
                  <c:y val="0.11171443724034504"/>
                </c:manualLayout>
              </c:layout>
              <c:tx>
                <c:rich>
                  <a:bodyPr/>
                  <a:lstStyle/>
                  <a:p>
                    <a:fld id="{BB433B82-2762-3C41-B05D-7557048BE9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'2nd-2'!$I$15:$I$17</c:f>
              <c:numCache>
                <c:formatCode>General</c:formatCode>
                <c:ptCount val="3"/>
                <c:pt idx="0">
                  <c:v>12</c:v>
                </c:pt>
                <c:pt idx="1">
                  <c:v>13</c:v>
                </c:pt>
                <c:pt idx="2">
                  <c:v>14</c:v>
                </c:pt>
              </c:numCache>
            </c:numRef>
          </c:xVal>
          <c:yVal>
            <c:numRef>
              <c:f>'2nd-2'!$L$15:$L$17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'2nd-2'!$G$15:$G$17</c15:f>
                <c15:dlblRangeCache>
                  <c:ptCount val="3"/>
                  <c:pt idx="0">
                    <c:v>Limited</c:v>
                  </c:pt>
                  <c:pt idx="1">
                    <c:v>Mix</c:v>
                  </c:pt>
                  <c:pt idx="2">
                    <c:v>Unlimited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E-25E8-5246-B856-04BBD6A00148}"/>
            </c:ext>
          </c:extLst>
        </c:ser>
        <c:ser>
          <c:idx val="7"/>
          <c:order val="7"/>
          <c:tx>
            <c:strRef>
              <c:f>'2nd-2'!$G$18:$L$18</c:f>
              <c:strCache>
                <c:ptCount val="1"/>
                <c:pt idx="0">
                  <c:v>C5: Story ending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6C470B5-35C3-E142-8146-37034D018C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5E8-5246-B856-04BBD6A00148}"/>
                </c:ext>
              </c:extLst>
            </c:dLbl>
            <c:dLbl>
              <c:idx val="1"/>
              <c:layout>
                <c:manualLayout>
                  <c:x val="-4.8645781401179727E-2"/>
                  <c:y val="7.1909978910070463E-2"/>
                </c:manualLayout>
              </c:layout>
              <c:tx>
                <c:rich>
                  <a:bodyPr/>
                  <a:lstStyle/>
                  <a:p>
                    <a:fld id="{DA501E9A-AC0E-D740-A826-B8F2E25679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25E8-5246-B856-04BBD6A00148}"/>
                </c:ext>
              </c:extLst>
            </c:dLbl>
            <c:dLbl>
              <c:idx val="2"/>
              <c:layout>
                <c:manualLayout>
                  <c:x val="-3.5219204301307323E-2"/>
                  <c:y val="0.11171443724034504"/>
                </c:manualLayout>
              </c:layout>
              <c:tx>
                <c:rich>
                  <a:bodyPr/>
                  <a:lstStyle/>
                  <a:p>
                    <a:fld id="{650707A7-B96F-7B49-8291-3EAE13FE91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'2nd-2'!$I$19:$I$21</c:f>
              <c:numCache>
                <c:formatCode>General</c:formatCode>
                <c:ptCount val="3"/>
                <c:pt idx="0">
                  <c:v>16</c:v>
                </c:pt>
                <c:pt idx="1">
                  <c:v>17</c:v>
                </c:pt>
                <c:pt idx="2">
                  <c:v>18</c:v>
                </c:pt>
              </c:numCache>
            </c:numRef>
          </c:xVal>
          <c:yVal>
            <c:numRef>
              <c:f>'2nd-2'!$L$19:$L$21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'2nd-2'!$G$19:$G$21</c15:f>
                <c15:dlblRangeCache>
                  <c:ptCount val="3"/>
                  <c:pt idx="0">
                    <c:v>Single defined</c:v>
                  </c:pt>
                  <c:pt idx="1">
                    <c:v>Multiple defined</c:v>
                  </c:pt>
                  <c:pt idx="2">
                    <c:v>No defined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25E8-5246-B856-04BBD6A00148}"/>
            </c:ext>
          </c:extLst>
        </c:ser>
        <c:ser>
          <c:idx val="8"/>
          <c:order val="8"/>
          <c:tx>
            <c:strRef>
              <c:f>'2nd-2'!$G$22:$L$22</c:f>
              <c:strCache>
                <c:ptCount val="1"/>
                <c:pt idx="0">
                  <c:v>C6: Stats System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512D0C6-8EAD-AC4E-99EB-3AA7CBB15D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5E8-5246-B856-04BBD6A00148}"/>
                </c:ext>
              </c:extLst>
            </c:dLbl>
            <c:dLbl>
              <c:idx val="1"/>
              <c:layout>
                <c:manualLayout>
                  <c:x val="-5.7119662781613949E-2"/>
                  <c:y val="8.4867047665550172E-2"/>
                </c:manualLayout>
              </c:layout>
              <c:tx>
                <c:rich>
                  <a:bodyPr/>
                  <a:lstStyle/>
                  <a:p>
                    <a:fld id="{4B05D2F4-77DB-B047-BE87-D90FAF6C78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927588189102058"/>
                      <c:h val="5.870077126292963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25E8-5246-B856-04BBD6A00148}"/>
                </c:ext>
              </c:extLst>
            </c:dLbl>
            <c:dLbl>
              <c:idx val="2"/>
              <c:layout>
                <c:manualLayout>
                  <c:x val="-7.2127126941686062E-2"/>
                  <c:y val="0.11079487672247484"/>
                </c:manualLayout>
              </c:layout>
              <c:tx>
                <c:rich>
                  <a:bodyPr/>
                  <a:lstStyle/>
                  <a:p>
                    <a:fld id="{B4DEF83D-0B0F-D24D-952A-3BE441759F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929065387730638"/>
                      <c:h val="3.932723372211274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'2nd-2'!$I$23:$I$25</c:f>
              <c:numCache>
                <c:formatCode>General</c:formatCode>
                <c:ptCount val="3"/>
                <c:pt idx="0">
                  <c:v>20</c:v>
                </c:pt>
                <c:pt idx="1">
                  <c:v>21</c:v>
                </c:pt>
                <c:pt idx="2">
                  <c:v>22</c:v>
                </c:pt>
              </c:numCache>
            </c:numRef>
          </c:xVal>
          <c:yVal>
            <c:numRef>
              <c:f>'2nd-2'!$L$23:$L$25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'2nd-2'!$G$23:$G$25</c15:f>
                <c15:dlblRangeCache>
                  <c:ptCount val="3"/>
                  <c:pt idx="0">
                    <c:v>No stats &amp; no resource</c:v>
                  </c:pt>
                  <c:pt idx="1">
                    <c:v>Stats &amp; no resource</c:v>
                  </c:pt>
                  <c:pt idx="2">
                    <c:v>Stats &amp; resource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0-25E8-5246-B856-04BBD6A00148}"/>
            </c:ext>
          </c:extLst>
        </c:ser>
        <c:ser>
          <c:idx val="9"/>
          <c:order val="9"/>
          <c:tx>
            <c:strRef>
              <c:f>'2nd-2'!$G$26:$L$26</c:f>
              <c:strCache>
                <c:ptCount val="1"/>
                <c:pt idx="0">
                  <c:v>C7: Platform Compatibility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C9CDEB2-77A5-254E-951B-2EAB7DA485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5E8-5246-B856-04BBD6A00148}"/>
                </c:ext>
              </c:extLst>
            </c:dLbl>
            <c:dLbl>
              <c:idx val="1"/>
              <c:layout>
                <c:manualLayout>
                  <c:x val="-4.3406721136509632E-2"/>
                  <c:y val="8.2384836365405764E-2"/>
                </c:manualLayout>
              </c:layout>
              <c:tx>
                <c:rich>
                  <a:bodyPr/>
                  <a:lstStyle/>
                  <a:p>
                    <a:fld id="{ECD90D03-D623-B043-A9F9-30002C091E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25E8-5246-B856-04BBD6A00148}"/>
                </c:ext>
              </c:extLst>
            </c:dLbl>
            <c:dLbl>
              <c:idx val="2"/>
              <c:layout>
                <c:manualLayout>
                  <c:x val="-2.8850944576989501E-2"/>
                  <c:y val="0.11171443724034504"/>
                </c:manualLayout>
              </c:layout>
              <c:tx>
                <c:rich>
                  <a:bodyPr/>
                  <a:lstStyle/>
                  <a:p>
                    <a:fld id="{C37A2CB7-05E5-8E4B-8A51-0C49F94F75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'2nd-2'!$I$27:$I$29</c:f>
              <c:numCache>
                <c:formatCode>General</c:formatCode>
                <c:ptCount val="3"/>
                <c:pt idx="0">
                  <c:v>24</c:v>
                </c:pt>
                <c:pt idx="1">
                  <c:v>25</c:v>
                </c:pt>
                <c:pt idx="2">
                  <c:v>26</c:v>
                </c:pt>
              </c:numCache>
            </c:numRef>
          </c:xVal>
          <c:yVal>
            <c:numRef>
              <c:f>'2nd-2'!$L$27:$L$29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'2nd-2'!$G$27:$G$29</c15:f>
                <c15:dlblRangeCache>
                  <c:ptCount val="3"/>
                  <c:pt idx="0">
                    <c:v>Single PC/Phone</c:v>
                  </c:pt>
                  <c:pt idx="1">
                    <c:v>Single Console</c:v>
                  </c:pt>
                  <c:pt idx="2">
                    <c:v>Multiple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5E8-5246-B856-04BBD6A00148}"/>
            </c:ext>
          </c:extLst>
        </c:ser>
        <c:ser>
          <c:idx val="10"/>
          <c:order val="10"/>
          <c:tx>
            <c:strRef>
              <c:f>'2nd-2'!$G$30:$L$30</c:f>
              <c:strCache>
                <c:ptCount val="1"/>
                <c:pt idx="0">
                  <c:v>C8: Player Count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934C5-2F4C-1845-A55B-7919F4E3AB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5E8-5246-B856-04BBD6A00148}"/>
                </c:ext>
              </c:extLst>
            </c:dLbl>
            <c:dLbl>
              <c:idx val="1"/>
              <c:layout>
                <c:manualLayout>
                  <c:x val="-1.843731176426355E-2"/>
                  <c:y val="6.5625064436869038E-2"/>
                </c:manualLayout>
              </c:layout>
              <c:tx>
                <c:rich>
                  <a:bodyPr rot="0" vert="horz"/>
                  <a:lstStyle/>
                  <a:p>
                    <a:pPr>
                      <a:defRPr sz="1200">
                        <a:solidFill>
                          <a:schemeClr val="accent5"/>
                        </a:solidFill>
                      </a:defRPr>
                    </a:pPr>
                    <a:fld id="{B0B2400F-1F13-BB46-8563-0F7A17BCE659}" type="CELLRANGE">
                      <a:rPr lang="en-US">
                        <a:solidFill>
                          <a:schemeClr val="accent5"/>
                        </a:solidFill>
                      </a:rPr>
                      <a:pPr>
                        <a:defRPr sz="1200">
                          <a:solidFill>
                            <a:schemeClr val="accent5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25E8-5246-B856-04BBD6A00148}"/>
                </c:ext>
              </c:extLst>
            </c:dLbl>
            <c:dLbl>
              <c:idx val="2"/>
              <c:layout>
                <c:manualLayout>
                  <c:x val="-6.6003451538927047E-2"/>
                  <c:y val="0.11171443724034504"/>
                </c:manualLayout>
              </c:layout>
              <c:tx>
                <c:rich>
                  <a:bodyPr/>
                  <a:lstStyle/>
                  <a:p>
                    <a:fld id="{F5CF31BD-0444-1D4B-877B-66149B570E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'2nd-2'!$I$31:$I$33</c:f>
              <c:numCache>
                <c:formatCode>General</c:formatCode>
                <c:ptCount val="3"/>
                <c:pt idx="0">
                  <c:v>28</c:v>
                </c:pt>
                <c:pt idx="1">
                  <c:v>29</c:v>
                </c:pt>
                <c:pt idx="2">
                  <c:v>30</c:v>
                </c:pt>
              </c:numCache>
            </c:numRef>
          </c:xVal>
          <c:yVal>
            <c:numRef>
              <c:f>'2nd-2'!$L$31:$L$33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'2nd-2'!$G$31:$G$33</c15:f>
                <c15:dlblRangeCache>
                  <c:ptCount val="3"/>
                  <c:pt idx="0">
                    <c:v>Single</c:v>
                  </c:pt>
                  <c:pt idx="1">
                    <c:v>Two</c:v>
                  </c:pt>
                  <c:pt idx="2">
                    <c:v>Three or more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2-25E8-5246-B856-04BBD6A00148}"/>
            </c:ext>
          </c:extLst>
        </c:ser>
        <c:ser>
          <c:idx val="11"/>
          <c:order val="11"/>
          <c:tx>
            <c:strRef>
              <c:f>'2nd-2'!$G$34:$L$34</c:f>
              <c:strCache>
                <c:ptCount val="1"/>
                <c:pt idx="0">
                  <c:v>C9: Monetization Model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73D2774-321C-A249-986E-9DC07BCC90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5E8-5246-B856-04BBD6A00148}"/>
                </c:ext>
              </c:extLst>
            </c:dLbl>
            <c:dLbl>
              <c:idx val="1"/>
              <c:layout>
                <c:manualLayout>
                  <c:x val="0"/>
                  <c:y val="6.5625064436869038E-2"/>
                </c:manualLayout>
              </c:layout>
              <c:tx>
                <c:rich>
                  <a:bodyPr/>
                  <a:lstStyle/>
                  <a:p>
                    <a:fld id="{EAD2DD4C-E352-7C45-9A67-4F0A9BF835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25E8-5246-B856-04BBD6A00148}"/>
                </c:ext>
              </c:extLst>
            </c:dLbl>
            <c:dLbl>
              <c:idx val="2"/>
              <c:layout>
                <c:manualLayout>
                  <c:x val="-1.4559725155938779E-16"/>
                  <c:y val="0.11171443724034504"/>
                </c:manualLayout>
              </c:layout>
              <c:tx>
                <c:rich>
                  <a:bodyPr/>
                  <a:lstStyle/>
                  <a:p>
                    <a:fld id="{ED98890D-81FE-E744-B1A2-D87536EA51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'2nd-2'!$I$35:$I$37</c:f>
              <c:numCache>
                <c:formatCode>General</c:formatCode>
                <c:ptCount val="3"/>
                <c:pt idx="0">
                  <c:v>32</c:v>
                </c:pt>
                <c:pt idx="1">
                  <c:v>33</c:v>
                </c:pt>
                <c:pt idx="2">
                  <c:v>34</c:v>
                </c:pt>
              </c:numCache>
            </c:numRef>
          </c:xVal>
          <c:yVal>
            <c:numRef>
              <c:f>'2nd-2'!$L$35:$L$37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'2nd-2'!$G$35:$G$37</c15:f>
                <c15:dlblRangeCache>
                  <c:ptCount val="3"/>
                  <c:pt idx="0">
                    <c:v>Free</c:v>
                  </c:pt>
                  <c:pt idx="1">
                    <c:v>Purchase before playing</c:v>
                  </c:pt>
                  <c:pt idx="2">
                    <c:v>In-game ad/purchase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3-25E8-5246-B856-04BBD6A00148}"/>
            </c:ext>
          </c:extLst>
        </c:ser>
        <c:ser>
          <c:idx val="12"/>
          <c:order val="12"/>
          <c:tx>
            <c:strRef>
              <c:f>'2nd-2'!$I$51</c:f>
              <c:strCache>
                <c:ptCount val="1"/>
                <c:pt idx="0">
                  <c:v>C3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F034B1B-F0B5-A741-ADE0-CBAA433195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D7F14E-F5F1-1F41-89F2-44F2D1D631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104E75-50B8-1A41-B6A1-CD2A35E6FC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EB7A83-1B17-9945-AC56-4F3FDAE4D8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0EFBA5-C4E5-E44C-B2B8-76B8BA8691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AEA99C-3099-8443-B30A-B212BFE62C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11F84A3-BC9E-B542-842F-EA1637D3FF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41E691-E9F7-3844-952F-E140630320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149A77D-8328-034F-BB18-0FCACF82D9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3C9799-3670-A34D-8FE7-04C5516D79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9384B1-6C8E-BE4A-AC47-421C1D6DC2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7F34DA-3136-DD49-87C1-57F1365419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5CFCCEB-A711-E441-A264-214C39BC57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9A35C32-F7EB-A84D-A310-9CDB00053C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F444016-3D77-0143-8521-4168BAA859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86519F0-61BC-4A45-ADC8-48F7E268B8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00E4A6E-F72B-294A-8CE4-58B5147D77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664F0F1-5DD5-854E-BC59-0421636692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FC1051A-8417-4144-ACC2-6DD3E16015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6031CFB-1EB2-2A4C-803D-3C2C39C666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7517116-8822-0643-BBE3-AE360DC1ED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066112F-0C0F-8E4D-9BDC-20DF02053C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30227FB-2BAB-BE4E-8220-556B85D15E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5F02D0-8F0D-834C-BADE-B21FA4E1C1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810B329-F43F-3748-961B-D4938BD2D8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1A6814B-DAD4-2748-97E7-6C790F3144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896C891-9C8C-8148-BA0D-B1FC0BA99B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'2nd-2'!$H$52:$H$78</c:f>
              <c:numCache>
                <c:formatCode>General</c:formatCode>
                <c:ptCount val="27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'2nd-2'!$I$52:$I$78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1</c:v>
                  </c:pt>
                  <c:pt idx="4">
                    <c:v>1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1</c:v>
                  </c:pt>
                  <c:pt idx="10">
                    <c:v>3</c:v>
                  </c:pt>
                  <c:pt idx="11">
                    <c:v>2</c:v>
                  </c:pt>
                  <c:pt idx="12">
                    <c:v>5</c:v>
                  </c:pt>
                  <c:pt idx="13">
                    <c:v>8</c:v>
                  </c:pt>
                  <c:pt idx="14">
                    <c:v>14</c:v>
                  </c:pt>
                  <c:pt idx="15">
                    <c:v>7</c:v>
                  </c:pt>
                  <c:pt idx="16">
                    <c:v>11</c:v>
                  </c:pt>
                  <c:pt idx="17">
                    <c:v>9</c:v>
                  </c:pt>
                  <c:pt idx="18">
                    <c:v>1</c:v>
                  </c:pt>
                  <c:pt idx="19">
                    <c:v>0</c:v>
                  </c:pt>
                  <c:pt idx="20">
                    <c:v>2</c:v>
                  </c:pt>
                  <c:pt idx="21">
                    <c:v>0</c:v>
                  </c:pt>
                  <c:pt idx="22">
                    <c:v>3</c:v>
                  </c:pt>
                  <c:pt idx="23">
                    <c:v>4</c:v>
                  </c:pt>
                  <c:pt idx="24">
                    <c:v>8</c:v>
                  </c:pt>
                  <c:pt idx="25">
                    <c:v>9</c:v>
                  </c:pt>
                  <c:pt idx="26">
                    <c:v>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C-25E8-5246-B856-04BBD6A00148}"/>
            </c:ext>
          </c:extLst>
        </c:ser>
        <c:ser>
          <c:idx val="13"/>
          <c:order val="13"/>
          <c:tx>
            <c:strRef>
              <c:f>'2nd-2'!$L$51</c:f>
              <c:strCache>
                <c:ptCount val="1"/>
                <c:pt idx="0">
                  <c:v>C4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64E8331-E148-F548-8DEE-C2D75A30F4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B56461-184B-8848-A0EE-24E536C67B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120D3-96AA-B84C-A199-ACBF78CC15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0FDF5F-F520-9940-B788-D9D499F929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BA06F20-0EEB-B645-8B32-220D7C9158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9C1E39B-64E0-CF49-923E-336502F9FF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49EF860-A11F-E94B-ADBA-CCF71376C4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3D965E-C11E-0549-960A-4B4A80FCA1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C7D0C65-0769-DF4E-80E6-6D88D936EC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9383686-F086-414F-86B6-DA72832EDB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7B7904C-4171-A846-86CC-268A6A1348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3ED92D-CCDC-CD48-A9D1-B1EED8B306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5296223-239B-3440-883F-FEA2AEB158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A0D24E1-E63B-4C4B-9EC2-3236F37BE6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D6191C-7173-944F-AC03-67E1ED0A09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3A1EE15-4DF5-BE4A-B58B-F2753CA1CE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1115995-ED48-9B45-ADFA-C796ED3B85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2A0706F-6718-FA41-8417-A04A4245E4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D4AA8AB-2C4C-7D4A-8E03-C87E72F827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F4E13C1-AC14-254C-AFA5-EED4AC30A5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FBBCC6-3CEC-BD41-B361-211466A8E1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AA7033-FE29-4C4B-AA3F-B10206C4CA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449239A-AF34-D24A-915B-499D644E1E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C1EDF45-29EF-8943-94B1-A49679D882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90AEA4E-0C55-F744-B47D-411F43963F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E35EC1C-13BF-C44C-A9EC-59C9EE08F5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070EC88-F95F-8A4E-A91F-8E4B94868D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'2nd-2'!$K$52:$K$78</c:f>
              <c:numCache>
                <c:formatCode>General</c:formatCode>
                <c:ptCount val="27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'2nd-2'!$L$52:$L$78</c15:f>
                <c15:dlblRangeCache>
                  <c:ptCount val="27"/>
                  <c:pt idx="0">
                    <c:v>0</c:v>
                  </c:pt>
                  <c:pt idx="1">
                    <c:v>1</c:v>
                  </c:pt>
                  <c:pt idx="2">
                    <c:v>1</c:v>
                  </c:pt>
                  <c:pt idx="3">
                    <c:v>4</c:v>
                  </c:pt>
                  <c:pt idx="4">
                    <c:v>2</c:v>
                  </c:pt>
                  <c:pt idx="5">
                    <c:v>4</c:v>
                  </c:pt>
                  <c:pt idx="6">
                    <c:v>2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2</c:v>
                  </c:pt>
                  <c:pt idx="11">
                    <c:v>3</c:v>
                  </c:pt>
                  <c:pt idx="12">
                    <c:v>2</c:v>
                  </c:pt>
                  <c:pt idx="13">
                    <c:v>8</c:v>
                  </c:pt>
                  <c:pt idx="14">
                    <c:v>14</c:v>
                  </c:pt>
                  <c:pt idx="15">
                    <c:v>13</c:v>
                  </c:pt>
                  <c:pt idx="16">
                    <c:v>18</c:v>
                  </c:pt>
                  <c:pt idx="17">
                    <c:v>17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2</c:v>
                  </c:pt>
                  <c:pt idx="23">
                    <c:v>0</c:v>
                  </c:pt>
                  <c:pt idx="24">
                    <c:v>0</c:v>
                  </c:pt>
                  <c:pt idx="25">
                    <c:v>1</c:v>
                  </c:pt>
                  <c:pt idx="26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E-25E8-5246-B856-04BBD6A00148}"/>
            </c:ext>
          </c:extLst>
        </c:ser>
        <c:ser>
          <c:idx val="14"/>
          <c:order val="14"/>
          <c:tx>
            <c:strRef>
              <c:f>'2nd-2'!$N$51</c:f>
              <c:strCache>
                <c:ptCount val="1"/>
                <c:pt idx="0">
                  <c:v>C5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42E782-6379-6143-85C7-DF5817C7C3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6CC263-F576-0D44-9E0E-43A9D9F359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056B0B-7306-3D41-90D9-0AD3610D31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64BCB3-285D-C24A-B857-4516D8F1FD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1EAB37-5D9C-F945-BA5B-FDA1C9E4D8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46ED5B-A486-2B47-B906-8EA49283DE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86F3F9-B2C4-314B-8E85-4582D0C9F1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E8EDDEE-E7AB-4A43-BE07-933512C89D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1BB325-A953-904A-8F6F-19120103E5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D60B86-ACDD-0941-8208-7A908CAC26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A5BAE5D-E449-6E4A-BAD7-79F20008E0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47005D8-3AE6-9D44-8EEE-149AA8FBB6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571295E-92E4-7B49-95C0-6A6E071AD0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8DA0D95-4B0A-5745-910D-471978EC76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3826F4-12A5-9A43-9DD7-C785E6EFD9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1B9F4C-E10F-DE49-9771-08AEE4592F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B26F875-9883-AA47-B06B-00FFE8B73D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C5CDB6B-0C87-7D41-94F3-35D2712220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3CC5DEB-3C31-5949-98E1-06DF159654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FA6C308-D9BC-DE45-98A8-C06EE23564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C729B47-7386-664D-A418-23E5CC5B17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05B91FC-9733-7842-9AEA-B9A45B61B6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FAFC027-5C3D-8F4E-B9E1-F32D08E7CE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F3ED572-8A7E-0049-8055-9CC2F00078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0BB075C-68D6-544C-9E89-6A5F5CE856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59B3F0F-A72C-4141-862E-FA704A8F9C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EE70A6B-B8A1-C746-879F-405F97508B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'2nd-2'!$M$52:$M$78</c:f>
              <c:numCache>
                <c:formatCode>General</c:formatCode>
                <c:ptCount val="2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'2nd-2'!$N$52:$N$78</c15:f>
                <c15:dlblRangeCache>
                  <c:ptCount val="2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1</c:v>
                  </c:pt>
                  <c:pt idx="12">
                    <c:v>0</c:v>
                  </c:pt>
                  <c:pt idx="13">
                    <c:v>3</c:v>
                  </c:pt>
                  <c:pt idx="14">
                    <c:v>5</c:v>
                  </c:pt>
                  <c:pt idx="15">
                    <c:v>2</c:v>
                  </c:pt>
                  <c:pt idx="16">
                    <c:v>4</c:v>
                  </c:pt>
                  <c:pt idx="17">
                    <c:v>3</c:v>
                  </c:pt>
                  <c:pt idx="18">
                    <c:v>2</c:v>
                  </c:pt>
                  <c:pt idx="19">
                    <c:v>3</c:v>
                  </c:pt>
                  <c:pt idx="20">
                    <c:v>3</c:v>
                  </c:pt>
                  <c:pt idx="21">
                    <c:v>6</c:v>
                  </c:pt>
                  <c:pt idx="22">
                    <c:v>9</c:v>
                  </c:pt>
                  <c:pt idx="23">
                    <c:v>13</c:v>
                  </c:pt>
                  <c:pt idx="24">
                    <c:v>13</c:v>
                  </c:pt>
                  <c:pt idx="25">
                    <c:v>16</c:v>
                  </c:pt>
                  <c:pt idx="26">
                    <c:v>17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F-25E8-5246-B856-04BBD6A00148}"/>
            </c:ext>
          </c:extLst>
        </c:ser>
        <c:ser>
          <c:idx val="15"/>
          <c:order val="15"/>
          <c:tx>
            <c:strRef>
              <c:f>'2nd-2'!$P$51</c:f>
              <c:strCache>
                <c:ptCount val="1"/>
                <c:pt idx="0">
                  <c:v>C6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C7D7B49-6D09-6E44-8FFC-497DC456AC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0FA0CF-8972-7A4E-85F8-78A68E24E2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40F487-31BD-DE4D-ADBE-F4689C0A23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F604E7-7867-9044-AF34-77922C97C7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DBED16-283C-7D41-955D-92F3B5043E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69F9D86-0189-AA4A-A58F-95F2F506DF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97CE30-24C2-6640-8180-A5D1D5B8EC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97DCE0-9058-E848-9C35-BDC9ECBCE0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2D422C8-BDE7-E145-8A54-C31F57DE8C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4A7F5E-E6E7-D648-84EE-EC74C02BBB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4ECC47E-C6E1-8243-AD3F-3624141FD7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0DA12A-AF2F-D840-8FC2-26243BD320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532B184-48B2-C64E-9665-4C2FB034C6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A02CAB-245E-5E47-8B87-54E00237FC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B754874-92DB-FC4E-9516-D688A76FF7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CF06F3-2D58-8A48-8728-A897515E25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9F7750-E022-5147-9822-A3452C83C1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5A3B4B3-CA54-6246-9E51-3EB464DDC0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07EC06-7826-624B-8971-65D9FBD36A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6D0F45E-E9B1-9B45-92B8-C266761865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AC73DB-4286-9E41-97DE-49512E6DD5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A9A7774-C4DA-1B42-873A-204BE2E391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148C28-4942-6E49-BA62-A1755C1CD6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9B78959-A856-A84E-9546-15B9FE6965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3E39D0-5A80-DE42-BAF0-FC16433ED4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8497FF9-92F9-5548-BCA2-74DF5024C9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AE897CA-0A17-F740-939A-6AC1D14C67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'2nd-2'!$O$52:$O$78</c:f>
              <c:numCache>
                <c:formatCode>General</c:formatCode>
                <c:ptCount val="2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'2nd-2'!$P$52:$P$78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2</c:v>
                  </c:pt>
                  <c:pt idx="3">
                    <c:v>5</c:v>
                  </c:pt>
                  <c:pt idx="4">
                    <c:v>5</c:v>
                  </c:pt>
                  <c:pt idx="5">
                    <c:v>5</c:v>
                  </c:pt>
                  <c:pt idx="6">
                    <c:v>4</c:v>
                  </c:pt>
                  <c:pt idx="7">
                    <c:v>4</c:v>
                  </c:pt>
                  <c:pt idx="8">
                    <c:v>6</c:v>
                  </c:pt>
                  <c:pt idx="9">
                    <c:v>0</c:v>
                  </c:pt>
                  <c:pt idx="10">
                    <c:v>0</c:v>
                  </c:pt>
                  <c:pt idx="11">
                    <c:v>2</c:v>
                  </c:pt>
                  <c:pt idx="12">
                    <c:v>1</c:v>
                  </c:pt>
                  <c:pt idx="13">
                    <c:v>2</c:v>
                  </c:pt>
                  <c:pt idx="14">
                    <c:v>11</c:v>
                  </c:pt>
                  <c:pt idx="15">
                    <c:v>7</c:v>
                  </c:pt>
                  <c:pt idx="16">
                    <c:v>12</c:v>
                  </c:pt>
                  <c:pt idx="17">
                    <c:v>11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5</c:v>
                  </c:pt>
                  <c:pt idx="23">
                    <c:v>2</c:v>
                  </c:pt>
                  <c:pt idx="24">
                    <c:v>4</c:v>
                  </c:pt>
                  <c:pt idx="25">
                    <c:v>4</c:v>
                  </c:pt>
                  <c:pt idx="26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0-25E8-5246-B856-04BBD6A00148}"/>
            </c:ext>
          </c:extLst>
        </c:ser>
        <c:ser>
          <c:idx val="16"/>
          <c:order val="16"/>
          <c:tx>
            <c:strRef>
              <c:f>'2nd-2'!$S$51</c:f>
              <c:strCache>
                <c:ptCount val="1"/>
                <c:pt idx="0">
                  <c:v>C7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9293902-E07C-A942-A4E0-AF6D98E52A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ED5A13-3C35-6543-8FFD-D7B7C6A788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6B4EA2-C5B8-1741-BEB3-DD04E66101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7794E7-AF3E-0648-8F3D-1788D0C617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BDF335-18FF-514E-A3F5-ADD6519452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6DDF2F-1886-0B44-9EDA-01B237340E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DE8A76E-BF86-A843-AA4E-2E0AB51700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A728B4B-6ABD-444F-B5E0-BBB5BF75C2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C056CA-8C6A-234E-BE63-320728C838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A5ECFE2-F02E-EC4C-B399-B1D8A829E6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2AF4B2-72EB-3D48-8F48-4FFEB6D8B2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7C862E2-3127-B344-A9DD-9A5E3815FD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C5CCB9B-D2CD-4046-9544-35F3376234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B2A4BBE-4A03-1845-9941-68196E0806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11E0507-13C9-314E-B1A8-4BA078453E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1F44DC-3F97-C847-9772-31929C91D6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8C3A83A-8541-264E-9953-F9D871D37D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47DB16-7A3A-B043-A977-DB7A505336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1F19C01-C75C-2C48-A565-A19366C71D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7910EC-9517-4A4E-BC64-F1B0C66274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95C069F-4FB1-924C-BECE-DE7AF1A557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A98DDD3-1E81-B34B-8379-59649C7321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6B84D3-3FB5-0242-84C7-1B4DCF5732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F442CCB-F4F1-C74E-B1D7-BF60F9215D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788E8BC-57A5-874A-9620-33B7B6031E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CF3ED69-A0C3-F04C-BF18-72A137FD03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21A5845-C006-4545-B4DC-C728725354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'2nd-2'!$R$52:$R$78</c:f>
              <c:numCache>
                <c:formatCode>General</c:formatCode>
                <c:ptCount val="27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'2nd-2'!$S$52:$S$78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4</c:v>
                  </c:pt>
                  <c:pt idx="3">
                    <c:v>6</c:v>
                  </c:pt>
                  <c:pt idx="4">
                    <c:v>12</c:v>
                  </c:pt>
                  <c:pt idx="5">
                    <c:v>17</c:v>
                  </c:pt>
                  <c:pt idx="6">
                    <c:v>15</c:v>
                  </c:pt>
                  <c:pt idx="7">
                    <c:v>20</c:v>
                  </c:pt>
                  <c:pt idx="8">
                    <c:v>20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1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1-25E8-5246-B856-04BBD6A00148}"/>
            </c:ext>
          </c:extLst>
        </c:ser>
        <c:ser>
          <c:idx val="17"/>
          <c:order val="17"/>
          <c:tx>
            <c:strRef>
              <c:f>'2nd-2'!$U$51</c:f>
              <c:strCache>
                <c:ptCount val="1"/>
                <c:pt idx="0">
                  <c:v>C8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54E8C7-E27F-EC41-9860-3FCA6A75ED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9AE6EE-7BDB-A34D-A3EA-E2EFC97164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080D1E-92AB-E34D-8B72-CC0E079EE6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66EDC1-6A89-AC4A-9273-B697F8D12D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75BC20-4211-C34D-92D9-1A8112F19F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494F2E-C956-9548-9B39-6514758324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DF27867-4980-A341-812D-88F2F07650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4AFA9FD-08AD-514F-803B-8BEF110A13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2570693-2C61-C84B-B6B2-6380843D58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B00A77-FA11-F742-8FCE-C7324C76D1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141780-5FE0-314B-9304-EED3980448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D43FC6B-9752-D749-AC64-31859DD4CB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A5C771-85E8-F444-AE25-796D5F6F5D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AF9A40-F9E5-AB4D-9E4C-2748DA7A8D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D89C2B-E9E2-6A4B-B061-B2C68332CF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069061-770A-E849-B95B-26B77E89D3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637A34-FD85-EB4F-9048-6C3EE3AC4E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5B08D27-174A-9D4F-B24B-69F0D8775C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D45FD96-8218-2A48-9A44-A8DA876A61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1F533BF-D957-9446-85B1-B9EF4E872E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A2F127-AA77-5D4D-A737-D8CA434DCA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4B36B3E-784B-9543-A86E-A1E5708888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E4E52AB-27BF-B447-AB87-58DB7618BD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946D29C-D7EF-164A-9E01-13BDA14ACC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4E1DE2-8DE1-1343-B146-959472AE4E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5E528BC-FE57-2249-A301-987D97A943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753D06F-8E4F-D543-A5B7-4B44ED1435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5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'2nd-2'!$T$52:$T$78</c:f>
              <c:numCache>
                <c:formatCode>General</c:formatCode>
                <c:ptCount val="27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'2nd-2'!$U$52:$U$78</c15:f>
                <c15:dlblRangeCache>
                  <c:ptCount val="27"/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6</c:v>
                  </c:pt>
                  <c:pt idx="4">
                    <c:v>8</c:v>
                  </c:pt>
                  <c:pt idx="5">
                    <c:v>10</c:v>
                  </c:pt>
                  <c:pt idx="6">
                    <c:v>7</c:v>
                  </c:pt>
                  <c:pt idx="7">
                    <c:v>11</c:v>
                  </c:pt>
                  <c:pt idx="8">
                    <c:v>12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1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4</c:v>
                  </c:pt>
                  <c:pt idx="23">
                    <c:v>8</c:v>
                  </c:pt>
                  <c:pt idx="24">
                    <c:v>8</c:v>
                  </c:pt>
                  <c:pt idx="25">
                    <c:v>9</c:v>
                  </c:pt>
                  <c:pt idx="26">
                    <c:v>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2-25E8-5246-B856-04BBD6A00148}"/>
            </c:ext>
          </c:extLst>
        </c:ser>
        <c:ser>
          <c:idx val="18"/>
          <c:order val="18"/>
          <c:tx>
            <c:strRef>
              <c:f>'2nd-2'!$W$51</c:f>
              <c:strCache>
                <c:ptCount val="1"/>
                <c:pt idx="0">
                  <c:v>C9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DA90C7F-9E09-4141-A6BA-297E46B8EB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5E8-5246-B856-04BBD6A001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75A4F2-F683-BA45-8AF3-058EDD5846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5E8-5246-B856-04BBD6A001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56EA47-6BD6-BD4F-8A75-33EFB083A1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5E8-5246-B856-04BBD6A001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550C4B-E746-9847-84C4-94C4DB0E5F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5E8-5246-B856-04BBD6A001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33B283-B47E-2242-A574-FA309DCEAE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5E8-5246-B856-04BBD6A001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B9D7645-41EB-C34A-9151-5CE8C3F480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5E8-5246-B856-04BBD6A001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EEF4ADB-1EEE-754B-B765-E20A11BD3A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5E8-5246-B856-04BBD6A001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3EC9E73-87D1-A440-8332-DCF8C96287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5E8-5246-B856-04BBD6A001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A31AF3F-5053-4C4B-B6BE-A44C982717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5E8-5246-B856-04BBD6A001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49784B-21F7-EB40-BACE-2BC1AD5F12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5E8-5246-B856-04BBD6A001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21FE0A-9777-5C4E-A8C0-1A0BA9713C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5E8-5246-B856-04BBD6A001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4A6D06E-424E-7A4E-BDA1-D8A7B09FD8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5E8-5246-B856-04BBD6A001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124178-B3C8-6C40-BF73-0B4825B45F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5E8-5246-B856-04BBD6A001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AAA2310-52F9-4940-A6C6-5528816E33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5E8-5246-B856-04BBD6A001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8311051-3D49-AA46-8A5B-74B193E3B1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5E8-5246-B856-04BBD6A001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E74314-762E-DC44-8467-6AE27E14F1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5E8-5246-B856-04BBD6A001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D6C883B-F2B5-BC45-B10E-78D0F6EFC2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5E8-5246-B856-04BBD6A001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374E9E4-4C0B-494A-A841-7BAD79F7D7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5E8-5246-B856-04BBD6A001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BCC9FC-87CF-2743-850B-34747A9971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5E8-5246-B856-04BBD6A001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C3C3DA6-B84C-3340-9C28-939A798214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5E8-5246-B856-04BBD6A001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3B15E32-B6D3-C341-B235-ECD1BB148E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5E8-5246-B856-04BBD6A001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3EFF8E-B63C-AF49-B789-46BF02E88B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5E8-5246-B856-04BBD6A001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35A45B8-EE97-D242-B610-8AEE796142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5E8-5246-B856-04BBD6A001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1F03EBC-A834-7B41-B047-1EEC87C82E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5E8-5246-B856-04BBD6A001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86BF8D-2CB2-5047-853B-053B7B3B99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5E8-5246-B856-04BBD6A001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5C1F107-0988-3F48-948B-D550705E57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5E8-5246-B856-04BBD6A001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93BFE0C-893C-3D41-84AF-E87EBA87B6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5E8-5246-B856-04BBD6A00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>
                    <a:solidFill>
                      <a:schemeClr val="accent6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'2nd-2'!$V$52:$V$78</c:f>
              <c:numCache>
                <c:formatCode>General</c:formatCode>
                <c:ptCount val="27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</c:numCache>
            </c:numRef>
          </c:xVal>
          <c:yVal>
            <c:numRef>
              <c:f>'2nd-2'!$B$52:$B$78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'2nd-2'!$W$52:$W$78</c15:f>
                <c15:dlblRangeCache>
                  <c:ptCount val="27"/>
                  <c:pt idx="0">
                    <c:v>2</c:v>
                  </c:pt>
                  <c:pt idx="1">
                    <c:v>3</c:v>
                  </c:pt>
                  <c:pt idx="2">
                    <c:v>3</c:v>
                  </c:pt>
                  <c:pt idx="3">
                    <c:v>5</c:v>
                  </c:pt>
                  <c:pt idx="4">
                    <c:v>10</c:v>
                  </c:pt>
                  <c:pt idx="5">
                    <c:v>9</c:v>
                  </c:pt>
                  <c:pt idx="6">
                    <c:v>6</c:v>
                  </c:pt>
                  <c:pt idx="7">
                    <c:v>6</c:v>
                  </c:pt>
                  <c:pt idx="8">
                    <c:v>10</c:v>
                  </c:pt>
                  <c:pt idx="9">
                    <c:v>0</c:v>
                  </c:pt>
                  <c:pt idx="10">
                    <c:v>0</c:v>
                  </c:pt>
                  <c:pt idx="11">
                    <c:v>1</c:v>
                  </c:pt>
                  <c:pt idx="12">
                    <c:v>1</c:v>
                  </c:pt>
                  <c:pt idx="13">
                    <c:v>2</c:v>
                  </c:pt>
                  <c:pt idx="14">
                    <c:v>9</c:v>
                  </c:pt>
                  <c:pt idx="15">
                    <c:v>9</c:v>
                  </c:pt>
                  <c:pt idx="16">
                    <c:v>13</c:v>
                  </c:pt>
                  <c:pt idx="17">
                    <c:v>10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1</c:v>
                  </c:pt>
                  <c:pt idx="26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3-25E8-5246-B856-04BBD6A00148}"/>
            </c:ext>
          </c:extLst>
        </c:ser>
        <c:ser>
          <c:idx val="19"/>
          <c:order val="19"/>
          <c:tx>
            <c:strRef>
              <c:f>'2nd-2'!$P$1</c:f>
              <c:strCache>
                <c:ptCount val="1"/>
                <c:pt idx="0">
                  <c:v>Category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C27AB25-D7C6-A841-A300-153388C108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96A-C045-AEFA-53F67EBC61F1}"/>
                </c:ext>
              </c:extLst>
            </c:dLbl>
            <c:dLbl>
              <c:idx val="1"/>
              <c:layout>
                <c:manualLayout>
                  <c:x val="-2.6679389116068077E-2"/>
                  <c:y val="2.0949714910670912E-3"/>
                </c:manualLayout>
              </c:layout>
              <c:tx>
                <c:rich>
                  <a:bodyPr/>
                  <a:lstStyle/>
                  <a:p>
                    <a:fld id="{DC8B63F2-EB4A-404B-B5FC-939BBB0033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696A-C045-AEFA-53F67EBC61F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885F7F-34A7-6E4C-BDBD-0F0FFD55E1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96A-C045-AEFA-53F67EBC61F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2FA18F-98FE-CE4D-B1F9-2FA8D0104E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96A-C045-AEFA-53F67EBC61F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0BDCE7-A1D4-AD46-9D5A-BCB4E8B57D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96A-C045-AEFA-53F67EBC61F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CACE73C-3CA8-5F4B-87F9-4245948DCD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96A-C045-AEFA-53F67EBC61F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F429E7-1304-9446-BC90-6F40B69A70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96A-C045-AEFA-53F67EBC61F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1B111D0-CBA0-564B-BDF5-77D1C1DA24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96A-C045-AEFA-53F67EBC61F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5645D7-948C-EA4C-A314-D37CE292BF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96A-C045-AEFA-53F67EBC61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'2nd-2'!$N$2:$N$10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</c:numCache>
            </c:numRef>
          </c:xVal>
          <c:yVal>
            <c:numRef>
              <c:f>'2nd-2'!$O$2:$O$10</c:f>
              <c:numCache>
                <c:formatCode>General</c:formatCode>
                <c:ptCount val="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'2nd-2'!$P$2:$P$10</c15:f>
                <c15:dlblRangeCache>
                  <c:ptCount val="9"/>
                  <c:pt idx="0">
                    <c:v>User Input</c:v>
                  </c:pt>
                  <c:pt idx="1">
                    <c:v>Visual Output</c:v>
                  </c:pt>
                  <c:pt idx="2">
                    <c:v>Story Option</c:v>
                  </c:pt>
                  <c:pt idx="3">
                    <c:v>Story Ending </c:v>
                  </c:pt>
                  <c:pt idx="4">
                    <c:v>Time to Respond</c:v>
                  </c:pt>
                  <c:pt idx="5">
                    <c:v>Stats &amp; Resource</c:v>
                  </c:pt>
                  <c:pt idx="6">
                    <c:v>Number of Players</c:v>
                  </c:pt>
                  <c:pt idx="7">
                    <c:v>Platform Compatability</c:v>
                  </c:pt>
                  <c:pt idx="8">
                    <c:v>Monetization Model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6-696A-C045-AEFA-53F67EBC6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45376"/>
        <c:axId val="1881219584"/>
      </c:scatterChart>
      <c:valAx>
        <c:axId val="670945376"/>
        <c:scaling>
          <c:orientation val="minMax"/>
          <c:max val="3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81219584"/>
        <c:crosses val="autoZero"/>
        <c:crossBetween val="midCat"/>
      </c:valAx>
      <c:valAx>
        <c:axId val="1881219584"/>
        <c:scaling>
          <c:orientation val="minMax"/>
          <c:max val="9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7094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385234</xdr:colOff>
      <xdr:row>0</xdr:row>
      <xdr:rowOff>239185</xdr:rowOff>
    </xdr:from>
    <xdr:to>
      <xdr:col>18</xdr:col>
      <xdr:colOff>262467</xdr:colOff>
      <xdr:row>16</xdr:row>
      <xdr:rowOff>239184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B217E7-725A-4444-A6A0-1E71C321F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1714499</xdr:colOff>
      <xdr:row>37</xdr:row>
      <xdr:rowOff>93133</xdr:rowOff>
    </xdr:from>
    <xdr:to>
      <xdr:col>13</xdr:col>
      <xdr:colOff>982133</xdr:colOff>
      <xdr:row>49</xdr:row>
      <xdr:rowOff>863601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4D5F86E5-14BD-23F9-61B2-802D7AD67F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ifdb.org/search?sortby=old&amp;searchfor=system%3AStorynexus" TargetMode="External"/><Relationship Id="rId13" Type="http://schemas.openxmlformats.org/officeDocument/2006/relationships/hyperlink" Target="https://www.playablstudios.com/fa&#231;ade" TargetMode="External"/><Relationship Id="rId18" Type="http://schemas.openxmlformats.org/officeDocument/2006/relationships/hyperlink" Target="https://www.66rpg.com/game/155748?new=1" TargetMode="External"/><Relationship Id="rId3" Type="http://schemas.openxmlformats.org/officeDocument/2006/relationships/hyperlink" Target="https://ifdb.org/search?sortby=old&amp;searchfor=system%3Ainform+7" TargetMode="External"/><Relationship Id="rId21" Type="http://schemas.openxmlformats.org/officeDocument/2006/relationships/drawing" Target="../drawings/drawing2.xml"/><Relationship Id="rId7" Type="http://schemas.openxmlformats.org/officeDocument/2006/relationships/hyperlink" Target="https://ifdb.org/search?sortby=old&amp;searchfor=system%3Ainklewriter" TargetMode="External"/><Relationship Id="rId12" Type="http://schemas.openxmlformats.org/officeDocument/2006/relationships/hyperlink" Target="https://adarkroom.doublespeakgames.com/" TargetMode="External"/><Relationship Id="rId17" Type="http://schemas.openxmlformats.org/officeDocument/2006/relationships/hyperlink" Target="https://www.4399.com/flash/198637.htm" TargetMode="External"/><Relationship Id="rId2" Type="http://schemas.openxmlformats.org/officeDocument/2006/relationships/hyperlink" Target="https://ifdb.org/search?sortby=old&amp;searchfor=system%3ARen%27Py" TargetMode="External"/><Relationship Id="rId16" Type="http://schemas.openxmlformats.org/officeDocument/2006/relationships/hyperlink" Target="https://store.steampowered.com/app/998940/_The_Invisible_Guardian/?l=tchinese&amp;cc=cn" TargetMode="External"/><Relationship Id="rId20" Type="http://schemas.openxmlformats.org/officeDocument/2006/relationships/hyperlink" Target="https://ifdb.org/viewgame?id=0dbnusxunq7fw5ro" TargetMode="External"/><Relationship Id="rId1" Type="http://schemas.openxmlformats.org/officeDocument/2006/relationships/hyperlink" Target="https://ifdb.org/search?sortby=old&amp;searchfor=system%3ATwine" TargetMode="External"/><Relationship Id="rId6" Type="http://schemas.openxmlformats.org/officeDocument/2006/relationships/hyperlink" Target="https://ifdb.org/search?sortby=old&amp;searchfor=system%3ATADS" TargetMode="External"/><Relationship Id="rId11" Type="http://schemas.openxmlformats.org/officeDocument/2006/relationships/hyperlink" Target="https://aidungeon.com/" TargetMode="External"/><Relationship Id="rId5" Type="http://schemas.openxmlformats.org/officeDocument/2006/relationships/hyperlink" Target="https://ifdb.org/search?sortby=old&amp;searchfor=system%3Aquest" TargetMode="External"/><Relationship Id="rId15" Type="http://schemas.openxmlformats.org/officeDocument/2006/relationships/hyperlink" Target="https://ssz66666.github.io/qfzct-66rpg/" TargetMode="External"/><Relationship Id="rId10" Type="http://schemas.openxmlformats.org/officeDocument/2006/relationships/hyperlink" Target="https://ifdb.org/search?sortby=old&amp;searchfor=system%3AAdrift" TargetMode="External"/><Relationship Id="rId19" Type="http://schemas.openxmlformats.org/officeDocument/2006/relationships/hyperlink" Target="https://store.steampowered.com/app/736190/_/?l=schinese" TargetMode="External"/><Relationship Id="rId4" Type="http://schemas.openxmlformats.org/officeDocument/2006/relationships/hyperlink" Target="https://ifdb.org/search?sortby=old&amp;searchfor=system%3AChoiceScript" TargetMode="External"/><Relationship Id="rId9" Type="http://schemas.openxmlformats.org/officeDocument/2006/relationships/hyperlink" Target="https://ifdb.org/search?sortby=old&amp;searchfor=system%3Aunity" TargetMode="External"/><Relationship Id="rId14" Type="http://schemas.openxmlformats.org/officeDocument/2006/relationships/hyperlink" Target="https://store.steampowered.com/app/838350/_The_Scroll_Of_Taiwu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F36FE-9D07-124C-AF1D-2688C19A3CB5}">
  <sheetPr codeName="Sheet3"/>
  <dimension ref="A1:F229"/>
  <sheetViews>
    <sheetView topLeftCell="A200" zoomScale="120" zoomScaleNormal="120" workbookViewId="0">
      <selection activeCell="D206" sqref="D206"/>
    </sheetView>
  </sheetViews>
  <sheetFormatPr baseColWidth="10" defaultRowHeight="19" x14ac:dyDescent="0.2"/>
  <cols>
    <col min="1" max="1" width="10.83203125" style="1"/>
    <col min="2" max="4" width="30.83203125" style="1" customWidth="1"/>
    <col min="5" max="5" width="10.83203125" style="1"/>
    <col min="6" max="6" width="20.83203125" style="1" customWidth="1"/>
    <col min="7" max="16384" width="10.83203125" style="1"/>
  </cols>
  <sheetData>
    <row r="1" spans="2:4" ht="20" customHeight="1" x14ac:dyDescent="0.2">
      <c r="B1" s="59" t="s">
        <v>52</v>
      </c>
      <c r="C1" s="59"/>
      <c r="D1" s="59"/>
    </row>
    <row r="2" spans="2:4" ht="20" x14ac:dyDescent="0.2">
      <c r="B2" s="3" t="s">
        <v>3</v>
      </c>
      <c r="C2" s="3" t="s">
        <v>1</v>
      </c>
      <c r="D2" s="3" t="s">
        <v>2</v>
      </c>
    </row>
    <row r="3" spans="2:4" ht="20" x14ac:dyDescent="0.2">
      <c r="B3" s="3" t="s">
        <v>164</v>
      </c>
      <c r="C3" s="3">
        <v>0</v>
      </c>
      <c r="D3" s="3">
        <v>0</v>
      </c>
    </row>
    <row r="4" spans="2:4" ht="20" x14ac:dyDescent="0.2">
      <c r="B4" s="3" t="s">
        <v>21</v>
      </c>
      <c r="C4" s="3">
        <v>1</v>
      </c>
      <c r="D4" s="3">
        <v>0</v>
      </c>
    </row>
    <row r="5" spans="2:4" ht="20" x14ac:dyDescent="0.2">
      <c r="B5" s="3" t="s">
        <v>62</v>
      </c>
      <c r="C5" s="3">
        <v>2</v>
      </c>
      <c r="D5" s="3">
        <v>0</v>
      </c>
    </row>
    <row r="6" spans="2:4" ht="20" x14ac:dyDescent="0.2">
      <c r="B6" s="3" t="s">
        <v>19</v>
      </c>
      <c r="C6" s="3">
        <v>3</v>
      </c>
      <c r="D6" s="3">
        <v>0</v>
      </c>
    </row>
    <row r="7" spans="2:4" ht="20" x14ac:dyDescent="0.2">
      <c r="B7" s="3" t="s">
        <v>25</v>
      </c>
      <c r="C7" s="3">
        <v>4</v>
      </c>
      <c r="D7" s="3">
        <v>0</v>
      </c>
    </row>
    <row r="8" spans="2:4" ht="20" x14ac:dyDescent="0.2">
      <c r="B8" s="3" t="s">
        <v>20</v>
      </c>
      <c r="C8" s="3">
        <v>5</v>
      </c>
      <c r="D8" s="3">
        <v>0</v>
      </c>
    </row>
    <row r="9" spans="2:4" ht="20" x14ac:dyDescent="0.2">
      <c r="B9" s="3" t="s">
        <v>17</v>
      </c>
      <c r="C9" s="3">
        <v>6</v>
      </c>
      <c r="D9" s="3">
        <v>0</v>
      </c>
    </row>
    <row r="10" spans="2:4" ht="20" x14ac:dyDescent="0.2">
      <c r="B10" s="3" t="s">
        <v>61</v>
      </c>
      <c r="C10" s="3">
        <v>7</v>
      </c>
      <c r="D10" s="3">
        <v>0</v>
      </c>
    </row>
    <row r="11" spans="2:4" ht="20" x14ac:dyDescent="0.2">
      <c r="B11" s="3" t="s">
        <v>23</v>
      </c>
      <c r="C11" s="3">
        <v>8</v>
      </c>
      <c r="D11" s="3">
        <v>0</v>
      </c>
    </row>
    <row r="12" spans="2:4" ht="20" x14ac:dyDescent="0.2">
      <c r="B12" s="3" t="s">
        <v>63</v>
      </c>
      <c r="C12" s="3">
        <v>9</v>
      </c>
      <c r="D12" s="3">
        <v>0</v>
      </c>
    </row>
    <row r="13" spans="2:4" ht="20" x14ac:dyDescent="0.2">
      <c r="B13" s="3" t="s">
        <v>26</v>
      </c>
      <c r="C13" s="3">
        <v>10</v>
      </c>
      <c r="D13" s="3">
        <v>0</v>
      </c>
    </row>
    <row r="15" spans="2:4" ht="21" customHeight="1" x14ac:dyDescent="0.2">
      <c r="B15" s="60" t="s">
        <v>27</v>
      </c>
      <c r="C15" s="60"/>
      <c r="D15" s="60"/>
    </row>
    <row r="16" spans="2:4" ht="20" x14ac:dyDescent="0.2">
      <c r="B16" s="4" t="s">
        <v>3</v>
      </c>
      <c r="C16" s="4" t="s">
        <v>1</v>
      </c>
      <c r="D16" s="4" t="s">
        <v>2</v>
      </c>
    </row>
    <row r="17" spans="1:6" ht="20" x14ac:dyDescent="0.2">
      <c r="B17" s="4" t="s">
        <v>28</v>
      </c>
      <c r="C17" s="4">
        <v>0</v>
      </c>
      <c r="D17" s="4">
        <v>0</v>
      </c>
    </row>
    <row r="18" spans="1:6" ht="20" x14ac:dyDescent="0.2">
      <c r="B18" s="4" t="s">
        <v>53</v>
      </c>
      <c r="C18" s="4">
        <v>0</v>
      </c>
      <c r="D18" s="4">
        <v>1</v>
      </c>
    </row>
    <row r="19" spans="1:6" ht="20" x14ac:dyDescent="0.2">
      <c r="B19" s="4" t="s">
        <v>54</v>
      </c>
      <c r="C19" s="4">
        <v>0</v>
      </c>
      <c r="D19" s="4">
        <v>2</v>
      </c>
      <c r="F19" s="4" t="s">
        <v>60</v>
      </c>
    </row>
    <row r="20" spans="1:6" ht="20" x14ac:dyDescent="0.2">
      <c r="B20" s="4" t="s">
        <v>55</v>
      </c>
      <c r="C20" s="4">
        <v>0</v>
      </c>
      <c r="D20" s="4">
        <v>3</v>
      </c>
      <c r="F20" s="4" t="s">
        <v>59</v>
      </c>
    </row>
    <row r="21" spans="1:6" ht="20" x14ac:dyDescent="0.2">
      <c r="B21" s="4" t="s">
        <v>56</v>
      </c>
      <c r="C21" s="4">
        <v>0</v>
      </c>
      <c r="D21" s="4">
        <v>4</v>
      </c>
      <c r="F21" s="4" t="s">
        <v>58</v>
      </c>
    </row>
    <row r="22" spans="1:6" ht="20" x14ac:dyDescent="0.2">
      <c r="B22" s="4" t="s">
        <v>57</v>
      </c>
      <c r="C22" s="4">
        <v>0</v>
      </c>
      <c r="D22" s="4">
        <v>5</v>
      </c>
      <c r="F22" s="4" t="s">
        <v>57</v>
      </c>
    </row>
    <row r="23" spans="1:6" ht="20" x14ac:dyDescent="0.2">
      <c r="B23" s="4" t="s">
        <v>58</v>
      </c>
      <c r="C23" s="4">
        <v>0</v>
      </c>
      <c r="D23" s="4">
        <v>6</v>
      </c>
      <c r="F23" s="4" t="s">
        <v>56</v>
      </c>
    </row>
    <row r="24" spans="1:6" ht="20" x14ac:dyDescent="0.2">
      <c r="B24" s="4" t="s">
        <v>59</v>
      </c>
      <c r="C24" s="4">
        <v>0</v>
      </c>
      <c r="D24" s="4">
        <v>7</v>
      </c>
      <c r="F24" s="4" t="s">
        <v>55</v>
      </c>
    </row>
    <row r="25" spans="1:6" ht="20" x14ac:dyDescent="0.2">
      <c r="B25" s="4" t="s">
        <v>60</v>
      </c>
      <c r="C25" s="4">
        <v>0</v>
      </c>
      <c r="D25" s="4">
        <v>8</v>
      </c>
      <c r="F25" s="4" t="s">
        <v>54</v>
      </c>
    </row>
    <row r="26" spans="1:6" ht="20" x14ac:dyDescent="0.2">
      <c r="F26" s="4" t="s">
        <v>53</v>
      </c>
    </row>
    <row r="27" spans="1:6" ht="20" x14ac:dyDescent="0.2">
      <c r="B27" s="2" t="s">
        <v>4</v>
      </c>
      <c r="C27" s="2" t="s">
        <v>5</v>
      </c>
      <c r="D27" s="2" t="s">
        <v>13</v>
      </c>
      <c r="F27" s="4" t="s">
        <v>28</v>
      </c>
    </row>
    <row r="28" spans="1:6" x14ac:dyDescent="0.2">
      <c r="A28" s="63" t="s">
        <v>164</v>
      </c>
      <c r="B28" s="3">
        <v>5</v>
      </c>
      <c r="C28" s="3">
        <v>0</v>
      </c>
      <c r="D28" s="3">
        <f>COUNTIFS($C$130:$C$229, "=Text Adventure Development System",$D$130:$D$229, "&lt;2000")</f>
        <v>1</v>
      </c>
    </row>
    <row r="29" spans="1:6" x14ac:dyDescent="0.2">
      <c r="A29" s="63"/>
      <c r="B29" s="3">
        <v>5</v>
      </c>
      <c r="C29" s="3">
        <v>1</v>
      </c>
      <c r="D29" s="3">
        <f>COUNTIFS($C$130:$C$229, "=Text Adventure Development System",$D$130:$D$229, "&gt;=2000",$D$130:$D$229, "&lt;=2002")</f>
        <v>1</v>
      </c>
    </row>
    <row r="30" spans="1:6" x14ac:dyDescent="0.2">
      <c r="A30" s="63"/>
      <c r="B30" s="3">
        <v>5</v>
      </c>
      <c r="C30" s="3">
        <v>2</v>
      </c>
      <c r="D30" s="3">
        <f>COUNTIFS($C$130:$C$229, "=Text Adventure Development System",$D$130:$D$229, "&gt;=2003",$D$130:$D$229, "&lt;=2005")</f>
        <v>1</v>
      </c>
    </row>
    <row r="31" spans="1:6" x14ac:dyDescent="0.2">
      <c r="A31" s="63"/>
      <c r="B31" s="3">
        <v>5</v>
      </c>
      <c r="C31" s="3">
        <v>3</v>
      </c>
      <c r="D31" s="3">
        <f>COUNTIFS($C$130:$C$229, "=Text Adventure Development System",$D$130:$D$229, "&gt;=2006",$D$130:$D$229, "&lt;=2008")</f>
        <v>1</v>
      </c>
    </row>
    <row r="32" spans="1:6" x14ac:dyDescent="0.2">
      <c r="A32" s="63"/>
      <c r="B32" s="3">
        <v>5</v>
      </c>
      <c r="C32" s="3">
        <v>4</v>
      </c>
      <c r="D32" s="3">
        <f>COUNTIFS($C$130:$C$229, "=Text Adventure Development System",$D$130:$D$229, "&gt;=2009",$D$130:$D$229, "&lt;=2011")</f>
        <v>1</v>
      </c>
    </row>
    <row r="33" spans="1:4" x14ac:dyDescent="0.2">
      <c r="A33" s="63"/>
      <c r="B33" s="3">
        <v>5</v>
      </c>
      <c r="C33" s="3">
        <v>5</v>
      </c>
      <c r="D33" s="3">
        <f>COUNTIFS($C$130:$C$229, "=Text Adventure Development System",$D$130:$D$229, "&gt;=2012",$D$130:$D$229, "&lt;=2014")</f>
        <v>1</v>
      </c>
    </row>
    <row r="34" spans="1:4" x14ac:dyDescent="0.2">
      <c r="A34" s="63"/>
      <c r="B34" s="3">
        <v>5</v>
      </c>
      <c r="C34" s="3">
        <v>6</v>
      </c>
      <c r="D34" s="3">
        <f>COUNTIFS($C$130:$C$229, "=Text Adventure Development System",$D$130:$D$229, "&gt;=2015",$D$130:$D$229, "&lt;=2017")</f>
        <v>1</v>
      </c>
    </row>
    <row r="35" spans="1:4" x14ac:dyDescent="0.2">
      <c r="A35" s="63"/>
      <c r="B35" s="3">
        <v>5</v>
      </c>
      <c r="C35" s="3">
        <v>7</v>
      </c>
      <c r="D35" s="3">
        <f>COUNTIFS($C$130:$C$229, "=Text Adventure Development System",$D$130:$D$229, "&gt;=2018",$D$130:$D$229, "&lt;=2020")</f>
        <v>1</v>
      </c>
    </row>
    <row r="36" spans="1:4" x14ac:dyDescent="0.2">
      <c r="A36" s="63"/>
      <c r="B36" s="3">
        <v>5</v>
      </c>
      <c r="C36" s="3">
        <v>8</v>
      </c>
      <c r="D36" s="3">
        <f>COUNTIFS($C$130:$C$229, "=Text Adventure Development System",$D$130:$D$229, "&gt;=2021",$D$130:$D$229, "&lt;=2023")</f>
        <v>1</v>
      </c>
    </row>
    <row r="37" spans="1:4" x14ac:dyDescent="0.2">
      <c r="A37" s="63" t="s">
        <v>21</v>
      </c>
      <c r="B37" s="5">
        <v>4</v>
      </c>
      <c r="C37" s="5">
        <v>0</v>
      </c>
      <c r="D37" s="5">
        <f>COUNTIFS($C$130:$C$229, "=Quest",$D$130:$D$229, "&lt;2000")</f>
        <v>0</v>
      </c>
    </row>
    <row r="38" spans="1:4" x14ac:dyDescent="0.2">
      <c r="A38" s="63"/>
      <c r="B38" s="5">
        <v>4</v>
      </c>
      <c r="C38" s="5">
        <v>1</v>
      </c>
      <c r="D38" s="5">
        <f>COUNTIFS($C$130:$C$229, "=Quest",$D$130:$D$229, "&gt;=2000",$D$130:$D$229, "&lt;=2002")</f>
        <v>1</v>
      </c>
    </row>
    <row r="39" spans="1:4" x14ac:dyDescent="0.2">
      <c r="A39" s="63"/>
      <c r="B39" s="5">
        <v>4</v>
      </c>
      <c r="C39" s="5">
        <v>2</v>
      </c>
      <c r="D39" s="5">
        <f>COUNTIFS($C$130:$C$229, "=Quest",$D$130:$D$229, "&gt;=2003",$D$130:$D$229, "&lt;=2005")</f>
        <v>1</v>
      </c>
    </row>
    <row r="40" spans="1:4" x14ac:dyDescent="0.2">
      <c r="A40" s="63"/>
      <c r="B40" s="5">
        <v>4</v>
      </c>
      <c r="C40" s="5">
        <v>3</v>
      </c>
      <c r="D40" s="5">
        <f>COUNTIFS($C$130:$C$229, "=Quest",$D$130:$D$229, "&gt;=2006",$D$130:$D$229, "&lt;=2008")</f>
        <v>1</v>
      </c>
    </row>
    <row r="41" spans="1:4" x14ac:dyDescent="0.2">
      <c r="A41" s="63"/>
      <c r="B41" s="5">
        <v>4</v>
      </c>
      <c r="C41" s="5">
        <v>4</v>
      </c>
      <c r="D41" s="5">
        <f>COUNTIFS($C$130:$C$229, "=Quest",$D$130:$D$229, "&gt;=2009",$D$130:$D$229, "&lt;=2011")</f>
        <v>1</v>
      </c>
    </row>
    <row r="42" spans="1:4" x14ac:dyDescent="0.2">
      <c r="A42" s="63"/>
      <c r="B42" s="5">
        <v>4</v>
      </c>
      <c r="C42" s="5">
        <v>5</v>
      </c>
      <c r="D42" s="5">
        <f>COUNTIFS($C$130:$C$229, "=Quest",$D$130:$D$229, "&gt;=2012",$D$130:$D$229, "&lt;=2014")</f>
        <v>1</v>
      </c>
    </row>
    <row r="43" spans="1:4" x14ac:dyDescent="0.2">
      <c r="A43" s="63"/>
      <c r="B43" s="5">
        <v>4</v>
      </c>
      <c r="C43" s="5">
        <v>6</v>
      </c>
      <c r="D43" s="5">
        <f>COUNTIFS($C$130:$C$229, "=Quest",$D$130:$D$229, "&gt;=2015",$D$130:$D$229, "&lt;=2017")</f>
        <v>1</v>
      </c>
    </row>
    <row r="44" spans="1:4" x14ac:dyDescent="0.2">
      <c r="A44" s="63"/>
      <c r="B44" s="5">
        <v>4</v>
      </c>
      <c r="C44" s="5">
        <v>7</v>
      </c>
      <c r="D44" s="5">
        <f>COUNTIFS($C$130:$C$229, "=Quest",$D$130:$D$229, "&gt;=2018",$D$130:$D$229, "&lt;=2020")</f>
        <v>1</v>
      </c>
    </row>
    <row r="45" spans="1:4" x14ac:dyDescent="0.2">
      <c r="A45" s="63"/>
      <c r="B45" s="5">
        <v>4</v>
      </c>
      <c r="C45" s="5">
        <v>8</v>
      </c>
      <c r="D45" s="5">
        <f>COUNTIFS($C$130:$C$229, "=Quest",$D$130:$D$229, "&gt;=2021",$D$130:$D$229, "&lt;=2023")</f>
        <v>2</v>
      </c>
    </row>
    <row r="46" spans="1:4" x14ac:dyDescent="0.2">
      <c r="A46" s="63" t="s">
        <v>62</v>
      </c>
      <c r="B46" s="4">
        <v>9</v>
      </c>
      <c r="C46" s="4">
        <v>0</v>
      </c>
      <c r="D46" s="4">
        <f>COUNTIFS($C$130:$C$229, "=Adrift",$D$130:$D$229, "&lt;2000")</f>
        <v>0</v>
      </c>
    </row>
    <row r="47" spans="1:4" x14ac:dyDescent="0.2">
      <c r="A47" s="63"/>
      <c r="B47" s="4">
        <v>9</v>
      </c>
      <c r="C47" s="4">
        <v>1</v>
      </c>
      <c r="D47" s="4">
        <f>COUNTIFS($C$130:$C$229, "=Adrift",$D$130:$D$229, "&gt;=2000",$D$130:$D$229, "&lt;=2002")</f>
        <v>1</v>
      </c>
    </row>
    <row r="48" spans="1:4" x14ac:dyDescent="0.2">
      <c r="A48" s="63"/>
      <c r="B48" s="4">
        <v>9</v>
      </c>
      <c r="C48" s="4">
        <v>2</v>
      </c>
      <c r="D48" s="4">
        <f>COUNTIFS($C$130:$C$229, "=Adrift",$D$130:$D$229, "&gt;=2003",$D$130:$D$229, "&lt;=2005")</f>
        <v>1</v>
      </c>
    </row>
    <row r="49" spans="1:4" x14ac:dyDescent="0.2">
      <c r="A49" s="63"/>
      <c r="B49" s="4">
        <v>9</v>
      </c>
      <c r="C49" s="4">
        <v>3</v>
      </c>
      <c r="D49" s="4">
        <f>COUNTIFS($C$130:$C$229, "=Adrift",$D$130:$D$229, "&gt;=2006",$D$130:$D$229, "&lt;=2008")</f>
        <v>1</v>
      </c>
    </row>
    <row r="50" spans="1:4" x14ac:dyDescent="0.2">
      <c r="A50" s="63"/>
      <c r="B50" s="4">
        <v>9</v>
      </c>
      <c r="C50" s="4">
        <v>4</v>
      </c>
      <c r="D50" s="4">
        <f>COUNTIFS($C$130:$C$229, "=Adrift",$D$130:$D$229, "&gt;=2009",$D$130:$D$229, "&lt;=2011")</f>
        <v>1</v>
      </c>
    </row>
    <row r="51" spans="1:4" x14ac:dyDescent="0.2">
      <c r="A51" s="63"/>
      <c r="B51" s="4">
        <v>9</v>
      </c>
      <c r="C51" s="4">
        <v>5</v>
      </c>
      <c r="D51" s="4">
        <f>COUNTIFS($C$130:$C$229, "=Adrift",$D$130:$D$229, "&gt;=2012",$D$130:$D$229, "&lt;=2014")</f>
        <v>1</v>
      </c>
    </row>
    <row r="52" spans="1:4" x14ac:dyDescent="0.2">
      <c r="A52" s="63"/>
      <c r="B52" s="4">
        <v>9</v>
      </c>
      <c r="C52" s="4">
        <v>6</v>
      </c>
      <c r="D52" s="4">
        <f>COUNTIFS($C$130:$C$229, "=Adrift",$D$130:$D$229, "&gt;=2015",$D$130:$D$229, "&lt;=2017")</f>
        <v>1</v>
      </c>
    </row>
    <row r="53" spans="1:4" x14ac:dyDescent="0.2">
      <c r="A53" s="63"/>
      <c r="B53" s="4">
        <v>9</v>
      </c>
      <c r="C53" s="4">
        <v>7</v>
      </c>
      <c r="D53" s="4">
        <f>COUNTIFS($C$130:$C$229, "=Adrift",$D$130:$D$229, "&gt;=2018",$D$130:$D$229, "&lt;=2020")</f>
        <v>1</v>
      </c>
    </row>
    <row r="54" spans="1:4" x14ac:dyDescent="0.2">
      <c r="A54" s="63"/>
      <c r="B54" s="4">
        <v>9</v>
      </c>
      <c r="C54" s="4">
        <v>8</v>
      </c>
      <c r="D54" s="4">
        <f>COUNTIFS($C$130:$C$229, "=Adrift",$D$130:$D$229, "&gt;=2021",$D$130:$D$229, "&lt;=2023")</f>
        <v>2</v>
      </c>
    </row>
    <row r="55" spans="1:4" ht="19" customHeight="1" x14ac:dyDescent="0.2">
      <c r="A55" s="63" t="s">
        <v>245</v>
      </c>
      <c r="B55" s="5">
        <v>1</v>
      </c>
      <c r="C55" s="5">
        <v>0</v>
      </c>
      <c r="D55" s="5">
        <f>COUNTIFS($C$130:$C$229, "=Ren'Py",$D$130:$D$229, "&lt;2000")</f>
        <v>0</v>
      </c>
    </row>
    <row r="56" spans="1:4" x14ac:dyDescent="0.2">
      <c r="A56" s="63"/>
      <c r="B56" s="5">
        <v>1</v>
      </c>
      <c r="C56" s="5">
        <v>1</v>
      </c>
      <c r="D56" s="5">
        <f>COUNTIFS($C$130:$C$229, "=Ren'Py",$D$130:$D$229, "&gt;=2000",$D$130:$D$229, "&lt;=2002")</f>
        <v>0</v>
      </c>
    </row>
    <row r="57" spans="1:4" x14ac:dyDescent="0.2">
      <c r="A57" s="63"/>
      <c r="B57" s="5">
        <v>1</v>
      </c>
      <c r="C57" s="5">
        <v>2</v>
      </c>
      <c r="D57" s="5">
        <f>COUNTIFS($C$130:$C$229, "=Ren'Py",$D$130:$D$229, "&gt;=2003",$D$130:$D$229, "&lt;=2005")</f>
        <v>0</v>
      </c>
    </row>
    <row r="58" spans="1:4" x14ac:dyDescent="0.2">
      <c r="A58" s="63"/>
      <c r="B58" s="5">
        <v>1</v>
      </c>
      <c r="C58" s="5">
        <v>3</v>
      </c>
      <c r="D58" s="5">
        <f>COUNTIFS($C$130:$C$229, "=Ren'Py",$D$130:$D$229, "&gt;=2006",$D$130:$D$229, "&lt;=2008")</f>
        <v>2</v>
      </c>
    </row>
    <row r="59" spans="1:4" x14ac:dyDescent="0.2">
      <c r="A59" s="63"/>
      <c r="B59" s="5">
        <v>1</v>
      </c>
      <c r="C59" s="5">
        <v>4</v>
      </c>
      <c r="D59" s="5">
        <f>COUNTIFS($C$130:$C$229, "=Ren'Py",$D$130:$D$229, "&gt;=2009",$D$130:$D$229, "&lt;=2011")</f>
        <v>1</v>
      </c>
    </row>
    <row r="60" spans="1:4" x14ac:dyDescent="0.2">
      <c r="A60" s="63"/>
      <c r="B60" s="5">
        <v>1</v>
      </c>
      <c r="C60" s="5">
        <v>5</v>
      </c>
      <c r="D60" s="5">
        <f>COUNTIFS($C$130:$C$229, "=Ren'Py",$D$130:$D$229, "&gt;=2012",$D$130:$D$229, "&lt;=2014")</f>
        <v>2</v>
      </c>
    </row>
    <row r="61" spans="1:4" x14ac:dyDescent="0.2">
      <c r="A61" s="63"/>
      <c r="B61" s="5">
        <v>1</v>
      </c>
      <c r="C61" s="5">
        <v>6</v>
      </c>
      <c r="D61" s="5">
        <f>COUNTIFS($C$130:$C$229, "=Ren'Py",$D$130:$D$229, "&gt;=2015",$D$130:$D$229, "&lt;=2017")</f>
        <v>1</v>
      </c>
    </row>
    <row r="62" spans="1:4" x14ac:dyDescent="0.2">
      <c r="A62" s="63"/>
      <c r="B62" s="5">
        <v>1</v>
      </c>
      <c r="C62" s="5">
        <v>7</v>
      </c>
      <c r="D62" s="5">
        <f>COUNTIFS($C$130:$C$229, "=Ren'Py",$D$130:$D$229, "&gt;=2018",$D$130:$D$229, "&lt;=2020")</f>
        <v>1</v>
      </c>
    </row>
    <row r="63" spans="1:4" x14ac:dyDescent="0.2">
      <c r="A63" s="63"/>
      <c r="B63" s="5">
        <v>1</v>
      </c>
      <c r="C63" s="5">
        <v>8</v>
      </c>
      <c r="D63" s="5">
        <f>COUNTIFS($C$130:$C$229, "=Ren'Py",$D$130:$D$229, "&gt;=2021",$D$130:$D$229, "&lt;=2023")</f>
        <v>2</v>
      </c>
    </row>
    <row r="64" spans="1:4" ht="19" customHeight="1" x14ac:dyDescent="0.2">
      <c r="A64" s="63" t="s">
        <v>25</v>
      </c>
      <c r="B64" s="3">
        <v>8</v>
      </c>
      <c r="C64" s="3">
        <v>0</v>
      </c>
      <c r="D64" s="3">
        <f>COUNTIFS($C$130:$C$229, "=Unity",$D$130:$D$229, "&lt;2000")</f>
        <v>0</v>
      </c>
    </row>
    <row r="65" spans="1:4" x14ac:dyDescent="0.2">
      <c r="A65" s="63"/>
      <c r="B65" s="3">
        <v>8</v>
      </c>
      <c r="C65" s="3">
        <v>1</v>
      </c>
      <c r="D65" s="3">
        <f>COUNTIFS($C$130:$C$229, "=Unity",$D$130:$D$229, "&gt;=2000",$D$130:$D$229, "&lt;=2002")</f>
        <v>0</v>
      </c>
    </row>
    <row r="66" spans="1:4" x14ac:dyDescent="0.2">
      <c r="A66" s="63"/>
      <c r="B66" s="3">
        <v>8</v>
      </c>
      <c r="C66" s="3">
        <v>2</v>
      </c>
      <c r="D66" s="3">
        <f>COUNTIFS($C$130:$C$229, "=Unity",$D$130:$D$229, "&gt;=2003",$D$130:$D$229, "&lt;=2005")</f>
        <v>0</v>
      </c>
    </row>
    <row r="67" spans="1:4" x14ac:dyDescent="0.2">
      <c r="A67" s="63"/>
      <c r="B67" s="3">
        <v>8</v>
      </c>
      <c r="C67" s="3">
        <v>3</v>
      </c>
      <c r="D67" s="3">
        <f>COUNTIFS($C$130:$C$229, "=Unity",$D$130:$D$229, "&gt;=2006",$D$130:$D$229, "&lt;=2008")</f>
        <v>0</v>
      </c>
    </row>
    <row r="68" spans="1:4" x14ac:dyDescent="0.2">
      <c r="A68" s="63"/>
      <c r="B68" s="3">
        <v>8</v>
      </c>
      <c r="C68" s="3">
        <v>4</v>
      </c>
      <c r="D68" s="3">
        <f>COUNTIFS($C$130:$C$229, "=Unity",$D$130:$D$229, "&gt;=2009",$D$130:$D$229, "&lt;=2011")</f>
        <v>0</v>
      </c>
    </row>
    <row r="69" spans="1:4" x14ac:dyDescent="0.2">
      <c r="A69" s="63"/>
      <c r="B69" s="3">
        <v>8</v>
      </c>
      <c r="C69" s="3">
        <v>5</v>
      </c>
      <c r="D69" s="3">
        <f>COUNTIFS($C$130:$C$229, "=Unity",$D$130:$D$229, "&gt;=2012",$D$130:$D$229, "&lt;=2014")</f>
        <v>2</v>
      </c>
    </row>
    <row r="70" spans="1:4" x14ac:dyDescent="0.2">
      <c r="A70" s="63"/>
      <c r="B70" s="3">
        <v>8</v>
      </c>
      <c r="C70" s="3">
        <v>6</v>
      </c>
      <c r="D70" s="3">
        <f>COUNTIFS($C$130:$C$229, "=Unity",$D$130:$D$229, "&gt;=2015",$D$130:$D$229, "&lt;=2017")</f>
        <v>2</v>
      </c>
    </row>
    <row r="71" spans="1:4" x14ac:dyDescent="0.2">
      <c r="A71" s="63"/>
      <c r="B71" s="3">
        <v>8</v>
      </c>
      <c r="C71" s="3">
        <v>7</v>
      </c>
      <c r="D71" s="3">
        <f>COUNTIFS($C$130:$C$229, "=Unity",$D$130:$D$229, "&gt;=2018",$D$130:$D$229, "&lt;=2020")</f>
        <v>3</v>
      </c>
    </row>
    <row r="72" spans="1:4" x14ac:dyDescent="0.2">
      <c r="A72" s="63"/>
      <c r="B72" s="3">
        <v>8</v>
      </c>
      <c r="C72" s="3">
        <v>8</v>
      </c>
      <c r="D72" s="3">
        <f>COUNTIFS($C$130:$C$229, "=Unity",$D$130:$D$229, "&gt;=2021",$D$130:$D$229, "&lt;=2023")</f>
        <v>2</v>
      </c>
    </row>
    <row r="73" spans="1:4" x14ac:dyDescent="0.2">
      <c r="A73" s="63" t="s">
        <v>246</v>
      </c>
      <c r="B73" s="3">
        <v>2</v>
      </c>
      <c r="C73" s="3">
        <v>0</v>
      </c>
      <c r="D73" s="3">
        <f>COUNTIFS($C$130:$C$229, "=Inform 7",$D$130:$D$229, "&lt;2000")</f>
        <v>0</v>
      </c>
    </row>
    <row r="74" spans="1:4" x14ac:dyDescent="0.2">
      <c r="A74" s="63"/>
      <c r="B74" s="3">
        <v>2</v>
      </c>
      <c r="C74" s="3">
        <v>1</v>
      </c>
      <c r="D74" s="3">
        <f>COUNTIFS($C$130:$C$229, "=Inform 7",$D$130:$D$229, "&gt;=2000",$D$130:$D$229, "&lt;=2002")</f>
        <v>0</v>
      </c>
    </row>
    <row r="75" spans="1:4" x14ac:dyDescent="0.2">
      <c r="A75" s="63"/>
      <c r="B75" s="3">
        <v>2</v>
      </c>
      <c r="C75" s="3">
        <v>2</v>
      </c>
      <c r="D75" s="3">
        <f>COUNTIFS($C$130:$C$229, "=Inform 7",$D$130:$D$229, "&gt;=2003",$D$130:$D$229, "&lt;=2005")</f>
        <v>1</v>
      </c>
    </row>
    <row r="76" spans="1:4" x14ac:dyDescent="0.2">
      <c r="A76" s="63"/>
      <c r="B76" s="3">
        <v>2</v>
      </c>
      <c r="C76" s="3">
        <v>3</v>
      </c>
      <c r="D76" s="3">
        <f>COUNTIFS($C$130:$C$229, "=Inform 7",$D$130:$D$229, "&gt;=2006",$D$130:$D$229, "&lt;=2008")</f>
        <v>1</v>
      </c>
    </row>
    <row r="77" spans="1:4" x14ac:dyDescent="0.2">
      <c r="A77" s="63"/>
      <c r="B77" s="3">
        <v>2</v>
      </c>
      <c r="C77" s="3">
        <v>4</v>
      </c>
      <c r="D77" s="3">
        <f>COUNTIFS($C$130:$C$229, "=Inform 7",$D$130:$D$229, "&gt;=2009",$D$130:$D$229, "&lt;=2011")</f>
        <v>2</v>
      </c>
    </row>
    <row r="78" spans="1:4" x14ac:dyDescent="0.2">
      <c r="A78" s="63"/>
      <c r="B78" s="3">
        <v>2</v>
      </c>
      <c r="C78" s="3">
        <v>5</v>
      </c>
      <c r="D78" s="3">
        <f>COUNTIFS($C$130:$C$229, "=Inform 7",$D$130:$D$229, "&gt;=2012",$D$130:$D$229, "&lt;=2014")</f>
        <v>1</v>
      </c>
    </row>
    <row r="79" spans="1:4" x14ac:dyDescent="0.2">
      <c r="A79" s="63"/>
      <c r="B79" s="3">
        <v>2</v>
      </c>
      <c r="C79" s="3">
        <v>6</v>
      </c>
      <c r="D79" s="3">
        <f>COUNTIFS($C$130:$C$229, "=Inform 7",$D$130:$D$229, "&gt;=2015",$D$130:$D$229, "&lt;=2017")</f>
        <v>1</v>
      </c>
    </row>
    <row r="80" spans="1:4" x14ac:dyDescent="0.2">
      <c r="A80" s="63"/>
      <c r="B80" s="3">
        <v>2</v>
      </c>
      <c r="C80" s="3">
        <v>7</v>
      </c>
      <c r="D80" s="3">
        <f>COUNTIFS($C$130:$C$229, "=Inform 7",$D$130:$D$229, "&gt;=2018",$D$130:$D$229, "&lt;=2020")</f>
        <v>1</v>
      </c>
    </row>
    <row r="81" spans="1:4" x14ac:dyDescent="0.2">
      <c r="A81" s="63"/>
      <c r="B81" s="3">
        <v>2</v>
      </c>
      <c r="C81" s="3">
        <v>8</v>
      </c>
      <c r="D81" s="3">
        <f>COUNTIFS($C$130:$C$229, "=Inform 7",$D$130:$D$229, "&gt;=2021",$D$130:$D$229, "&lt;=2023")</f>
        <v>2</v>
      </c>
    </row>
    <row r="82" spans="1:4" x14ac:dyDescent="0.2">
      <c r="A82" s="63" t="s">
        <v>17</v>
      </c>
      <c r="B82" s="4">
        <v>0</v>
      </c>
      <c r="C82" s="4">
        <v>0</v>
      </c>
      <c r="D82" s="4">
        <f>COUNTIFS($C$130:$C$229, "=Twine",$D$130:$D$229, "&lt;2000")</f>
        <v>0</v>
      </c>
    </row>
    <row r="83" spans="1:4" x14ac:dyDescent="0.2">
      <c r="A83" s="63"/>
      <c r="B83" s="4">
        <v>0</v>
      </c>
      <c r="C83" s="4">
        <v>1</v>
      </c>
      <c r="D83" s="4">
        <f>COUNTIFS($C$130:$C$229, "=Twine",$D$130:$D$229, "&gt;=2000",$D$130:$D$229, "&lt;=2002")</f>
        <v>0</v>
      </c>
    </row>
    <row r="84" spans="1:4" x14ac:dyDescent="0.2">
      <c r="A84" s="63"/>
      <c r="B84" s="4">
        <v>0</v>
      </c>
      <c r="C84" s="4">
        <v>2</v>
      </c>
      <c r="D84" s="4">
        <f>COUNTIFS($C$130:$C$229, "=Twine",$D$130:$D$229, "&gt;=2003",$D$130:$D$229, "&lt;=2005")</f>
        <v>0</v>
      </c>
    </row>
    <row r="85" spans="1:4" x14ac:dyDescent="0.2">
      <c r="A85" s="63"/>
      <c r="B85" s="4">
        <v>0</v>
      </c>
      <c r="C85" s="4">
        <v>3</v>
      </c>
      <c r="D85" s="4">
        <f>COUNTIFS($C$130:$C$229, "=Twine",$D$130:$D$229, "&gt;=2006",$D$130:$D$229, "&lt;=2008")</f>
        <v>0</v>
      </c>
    </row>
    <row r="86" spans="1:4" x14ac:dyDescent="0.2">
      <c r="A86" s="63"/>
      <c r="B86" s="4">
        <v>0</v>
      </c>
      <c r="C86" s="4">
        <v>4</v>
      </c>
      <c r="D86" s="4">
        <f>COUNTIFS($C$130:$C$229, "=Twine",$D$130:$D$229, "&gt;=2009",$D$130:$D$229, "&lt;=2011")</f>
        <v>0</v>
      </c>
    </row>
    <row r="87" spans="1:4" x14ac:dyDescent="0.2">
      <c r="A87" s="63"/>
      <c r="B87" s="4">
        <v>0</v>
      </c>
      <c r="C87" s="4">
        <v>5</v>
      </c>
      <c r="D87" s="4">
        <f>COUNTIFS($C$130:$C$229, "=Twine",$D$130:$D$229, "&gt;=2012",$D$130:$D$229, "&lt;=2014")</f>
        <v>2</v>
      </c>
    </row>
    <row r="88" spans="1:4" x14ac:dyDescent="0.2">
      <c r="A88" s="63"/>
      <c r="B88" s="4">
        <v>0</v>
      </c>
      <c r="C88" s="4">
        <v>6</v>
      </c>
      <c r="D88" s="4">
        <f>COUNTIFS($C$130:$C$229, "=Twine",$D$130:$D$229, "&gt;=2015",$D$130:$D$229, "&lt;=2017")</f>
        <v>2</v>
      </c>
    </row>
    <row r="89" spans="1:4" x14ac:dyDescent="0.2">
      <c r="A89" s="63"/>
      <c r="B89" s="4">
        <v>0</v>
      </c>
      <c r="C89" s="4">
        <v>7</v>
      </c>
      <c r="D89" s="4">
        <f>COUNTIFS($C$130:$C$229, "=Twine",$D$130:$D$229, "&gt;=2018",$D$130:$D$229, "&lt;=2020")</f>
        <v>2</v>
      </c>
    </row>
    <row r="90" spans="1:4" x14ac:dyDescent="0.2">
      <c r="A90" s="63"/>
      <c r="B90" s="4">
        <v>0</v>
      </c>
      <c r="C90" s="4">
        <v>8</v>
      </c>
      <c r="D90" s="4">
        <f>COUNTIFS($C$130:$C$229, "=Twine",$D$130:$D$229, "&gt;=2021",$D$130:$D$229, "&lt;=2023")</f>
        <v>3</v>
      </c>
    </row>
    <row r="91" spans="1:4" x14ac:dyDescent="0.2">
      <c r="A91" s="63" t="s">
        <v>247</v>
      </c>
      <c r="B91" s="4">
        <v>3</v>
      </c>
      <c r="C91" s="4">
        <v>0</v>
      </c>
      <c r="D91" s="4">
        <f>COUNTIFS($C$130:$C$229, "=ChoiceScript",$D$130:$D$229, "&lt;2000")</f>
        <v>0</v>
      </c>
    </row>
    <row r="92" spans="1:4" x14ac:dyDescent="0.2">
      <c r="A92" s="63"/>
      <c r="B92" s="4">
        <v>3</v>
      </c>
      <c r="C92" s="4">
        <v>1</v>
      </c>
      <c r="D92" s="4">
        <f>COUNTIFS($C$130:$C$229, "=ChoiceScript",$D$130:$D$229, "&gt;=2000",$D$130:$D$229, "&lt;=2002")</f>
        <v>0</v>
      </c>
    </row>
    <row r="93" spans="1:4" x14ac:dyDescent="0.2">
      <c r="A93" s="63"/>
      <c r="B93" s="4">
        <v>3</v>
      </c>
      <c r="C93" s="4">
        <v>2</v>
      </c>
      <c r="D93" s="4">
        <f>COUNTIFS($C$130:$C$229, "=ChoiceScript",$D$130:$D$229, "&gt;=2003",$D$130:$D$229, "&lt;=2005")</f>
        <v>0</v>
      </c>
    </row>
    <row r="94" spans="1:4" x14ac:dyDescent="0.2">
      <c r="A94" s="63"/>
      <c r="B94" s="4">
        <v>3</v>
      </c>
      <c r="C94" s="4">
        <v>3</v>
      </c>
      <c r="D94" s="4">
        <f>COUNTIFS($C$130:$C$229, "=ChoiceScript",$D$130:$D$229, "&gt;=2006",$D$130:$D$229, "&lt;=2008")</f>
        <v>0</v>
      </c>
    </row>
    <row r="95" spans="1:4" x14ac:dyDescent="0.2">
      <c r="A95" s="63"/>
      <c r="B95" s="4">
        <v>3</v>
      </c>
      <c r="C95" s="4">
        <v>4</v>
      </c>
      <c r="D95" s="4">
        <f>COUNTIFS($C$130:$C$229, "=ChoiceScript",$D$130:$D$229, "&gt;=2009",$D$130:$D$229, "&lt;=2011")</f>
        <v>2</v>
      </c>
    </row>
    <row r="96" spans="1:4" x14ac:dyDescent="0.2">
      <c r="A96" s="63"/>
      <c r="B96" s="4">
        <v>3</v>
      </c>
      <c r="C96" s="4">
        <v>5</v>
      </c>
      <c r="D96" s="4">
        <f>COUNTIFS($C$130:$C$229, "=ChoiceScript",$D$130:$D$229, "&gt;=2012",$D$130:$D$229, "&lt;=2014")</f>
        <v>1</v>
      </c>
    </row>
    <row r="97" spans="1:4" x14ac:dyDescent="0.2">
      <c r="A97" s="63"/>
      <c r="B97" s="4">
        <v>3</v>
      </c>
      <c r="C97" s="4">
        <v>6</v>
      </c>
      <c r="D97" s="4">
        <f>COUNTIFS($C$130:$C$229, "=ChoiceScript",$D$130:$D$229, "&gt;=2015",$D$130:$D$229, "&lt;=2017")</f>
        <v>2</v>
      </c>
    </row>
    <row r="98" spans="1:4" x14ac:dyDescent="0.2">
      <c r="A98" s="63"/>
      <c r="B98" s="4">
        <v>3</v>
      </c>
      <c r="C98" s="4">
        <v>7</v>
      </c>
      <c r="D98" s="4">
        <f>COUNTIFS($C$130:$C$229, "=ChoiceScript",$D$130:$D$229, "&gt;=2018",$D$130:$D$229, "&lt;=2020")</f>
        <v>2</v>
      </c>
    </row>
    <row r="99" spans="1:4" x14ac:dyDescent="0.2">
      <c r="A99" s="63"/>
      <c r="B99" s="4">
        <v>3</v>
      </c>
      <c r="C99" s="4">
        <v>8</v>
      </c>
      <c r="D99" s="4">
        <f>COUNTIFS($C$130:$C$229, "=ChoiceScript",$D$130:$D$229, "&gt;=2021",$D$130:$D$229, "&lt;=2023")</f>
        <v>2</v>
      </c>
    </row>
    <row r="100" spans="1:4" x14ac:dyDescent="0.2">
      <c r="A100" s="63" t="s">
        <v>248</v>
      </c>
      <c r="B100" s="4">
        <v>6</v>
      </c>
      <c r="C100" s="4">
        <v>0</v>
      </c>
      <c r="D100" s="4">
        <f>COUNTIFS($C$130:$C$229, "=inklewriter",$D$130:$D$229, "&lt;2000")</f>
        <v>0</v>
      </c>
    </row>
    <row r="101" spans="1:4" x14ac:dyDescent="0.2">
      <c r="A101" s="63"/>
      <c r="B101" s="4">
        <v>6</v>
      </c>
      <c r="C101" s="4">
        <v>1</v>
      </c>
      <c r="D101" s="4">
        <f>COUNTIFS($C$130:$C$229, "=inklewriter",$D$130:$D$229, "&gt;=2000",$D$130:$D$229, "&lt;=2002")</f>
        <v>0</v>
      </c>
    </row>
    <row r="102" spans="1:4" x14ac:dyDescent="0.2">
      <c r="A102" s="63"/>
      <c r="B102" s="4">
        <v>6</v>
      </c>
      <c r="C102" s="4">
        <v>2</v>
      </c>
      <c r="D102" s="4">
        <f>COUNTIFS($C$130:$C$229, "=inklewriter",$D$130:$D$229, "&gt;=2003",$D$130:$D$229, "&lt;=2005")</f>
        <v>0</v>
      </c>
    </row>
    <row r="103" spans="1:4" x14ac:dyDescent="0.2">
      <c r="A103" s="63"/>
      <c r="B103" s="4">
        <v>6</v>
      </c>
      <c r="C103" s="4">
        <v>3</v>
      </c>
      <c r="D103" s="4">
        <f>COUNTIFS($C$130:$C$229, "=inklewriter",$D$130:$D$229, "&gt;=2006",$D$130:$D$229, "&lt;=2008")</f>
        <v>0</v>
      </c>
    </row>
    <row r="104" spans="1:4" x14ac:dyDescent="0.2">
      <c r="A104" s="63"/>
      <c r="B104" s="4">
        <v>6</v>
      </c>
      <c r="C104" s="4">
        <v>4</v>
      </c>
      <c r="D104" s="4">
        <f>COUNTIFS($C$130:$C$229, "=inklewriter",$D$130:$D$229, "&gt;=2009",$D$130:$D$229, "&lt;=2011")</f>
        <v>0</v>
      </c>
    </row>
    <row r="105" spans="1:4" x14ac:dyDescent="0.2">
      <c r="A105" s="63"/>
      <c r="B105" s="4">
        <v>6</v>
      </c>
      <c r="C105" s="4">
        <v>5</v>
      </c>
      <c r="D105" s="4">
        <f>COUNTIFS($C$130:$C$229, "=inklewriter",$D$130:$D$229, "&gt;=2012",$D$130:$D$229, "&lt;=2014")</f>
        <v>3</v>
      </c>
    </row>
    <row r="106" spans="1:4" x14ac:dyDescent="0.2">
      <c r="A106" s="63"/>
      <c r="B106" s="4">
        <v>6</v>
      </c>
      <c r="C106" s="4">
        <v>6</v>
      </c>
      <c r="D106" s="4">
        <f>COUNTIFS($C$130:$C$229, "=inklewriter",$D$130:$D$229, "&gt;=2015",$D$130:$D$229, "&lt;=2017")</f>
        <v>2</v>
      </c>
    </row>
    <row r="107" spans="1:4" x14ac:dyDescent="0.2">
      <c r="A107" s="63"/>
      <c r="B107" s="4">
        <v>6</v>
      </c>
      <c r="C107" s="4">
        <v>7</v>
      </c>
      <c r="D107" s="4">
        <f>COUNTIFS($C$130:$C$229, "=inklewriter",$D$130:$D$229, "&gt;=2018",$D$130:$D$229, "&lt;=2020")</f>
        <v>2</v>
      </c>
    </row>
    <row r="108" spans="1:4" x14ac:dyDescent="0.2">
      <c r="A108" s="63"/>
      <c r="B108" s="4">
        <v>6</v>
      </c>
      <c r="C108" s="4">
        <v>8</v>
      </c>
      <c r="D108" s="4">
        <f>COUNTIFS($C$130:$C$229, "=inklewriter",$D$130:$D$229, "&gt;=2021",$D$130:$D$229, "&lt;=2023")</f>
        <v>2</v>
      </c>
    </row>
    <row r="109" spans="1:4" x14ac:dyDescent="0.2">
      <c r="A109" s="63" t="s">
        <v>249</v>
      </c>
      <c r="B109" s="5">
        <v>7</v>
      </c>
      <c r="C109" s="5">
        <v>0</v>
      </c>
      <c r="D109" s="5">
        <f>COUNTIFS($C$130:$C$229, "=StoryNexus",$D$130:$D$229, "&lt;2000")</f>
        <v>0</v>
      </c>
    </row>
    <row r="110" spans="1:4" x14ac:dyDescent="0.2">
      <c r="A110" s="63"/>
      <c r="B110" s="5">
        <v>7</v>
      </c>
      <c r="C110" s="5">
        <v>1</v>
      </c>
      <c r="D110" s="5">
        <f>COUNTIFS($C$130:$C$229, "=StoryNexus",$D$130:$D$229, "&gt;=2000",$D$130:$D$229, "&lt;=2002")</f>
        <v>0</v>
      </c>
    </row>
    <row r="111" spans="1:4" x14ac:dyDescent="0.2">
      <c r="A111" s="63"/>
      <c r="B111" s="5">
        <v>7</v>
      </c>
      <c r="C111" s="5">
        <v>2</v>
      </c>
      <c r="D111" s="5">
        <f>COUNTIFS($C$130:$C$229, "=StoryNexus",$D$130:$D$229, "&gt;=2003",$D$130:$D$229, "&lt;=2005")</f>
        <v>0</v>
      </c>
    </row>
    <row r="112" spans="1:4" x14ac:dyDescent="0.2">
      <c r="A112" s="63"/>
      <c r="B112" s="5">
        <v>7</v>
      </c>
      <c r="C112" s="5">
        <v>3</v>
      </c>
      <c r="D112" s="5">
        <f>COUNTIFS($C$130:$C$229, "=StoryNexus",$D$130:$D$229, "&gt;=2006",$D$130:$D$229, "&lt;=2008")</f>
        <v>0</v>
      </c>
    </row>
    <row r="113" spans="1:4" x14ac:dyDescent="0.2">
      <c r="A113" s="63"/>
      <c r="B113" s="5">
        <v>7</v>
      </c>
      <c r="C113" s="5">
        <v>4</v>
      </c>
      <c r="D113" s="5">
        <f>COUNTIFS($C$130:$C$229, "=StoryNexus",$D$130:$D$229, "&gt;=2009",$D$130:$D$229, "&lt;=2011")</f>
        <v>2</v>
      </c>
    </row>
    <row r="114" spans="1:4" x14ac:dyDescent="0.2">
      <c r="A114" s="63"/>
      <c r="B114" s="5">
        <v>7</v>
      </c>
      <c r="C114" s="5">
        <v>5</v>
      </c>
      <c r="D114" s="5">
        <f>COUNTIFS($C$130:$C$229, "=StoryNexus",$D$130:$D$229, "&gt;=2012",$D$130:$D$229, "&lt;=2014")</f>
        <v>1</v>
      </c>
    </row>
    <row r="115" spans="1:4" x14ac:dyDescent="0.2">
      <c r="A115" s="63"/>
      <c r="B115" s="5">
        <v>7</v>
      </c>
      <c r="C115" s="5">
        <v>6</v>
      </c>
      <c r="D115" s="5">
        <f>COUNTIFS($C$130:$C$229, "=StoryNexus",$D$130:$D$229, "&gt;=2015",$D$130:$D$229, "&lt;=2017")</f>
        <v>2</v>
      </c>
    </row>
    <row r="116" spans="1:4" x14ac:dyDescent="0.2">
      <c r="A116" s="63"/>
      <c r="B116" s="5">
        <v>7</v>
      </c>
      <c r="C116" s="5">
        <v>7</v>
      </c>
      <c r="D116" s="5">
        <f>COUNTIFS($C$130:$C$229, "=StoryNexus",$D$130:$D$229, "&gt;=2018",$D$130:$D$229, "&lt;=2020")</f>
        <v>2</v>
      </c>
    </row>
    <row r="117" spans="1:4" x14ac:dyDescent="0.2">
      <c r="A117" s="63"/>
      <c r="B117" s="5">
        <v>7</v>
      </c>
      <c r="C117" s="5">
        <v>8</v>
      </c>
      <c r="D117" s="5">
        <f>COUNTIFS($C$130:$C$229, "=StoryNexus",$D$130:$D$229, "&gt;=2021",$D$130:$D$229, "&lt;=2023")</f>
        <v>2</v>
      </c>
    </row>
    <row r="118" spans="1:4" x14ac:dyDescent="0.2">
      <c r="A118" s="63" t="s">
        <v>26</v>
      </c>
      <c r="B118" s="5">
        <v>10</v>
      </c>
      <c r="C118" s="5">
        <v>0</v>
      </c>
      <c r="D118" s="5">
        <f>COUNTIFS($C$130:$C$229, "=Others",$D$130:$D$229, "&lt;2000")</f>
        <v>1</v>
      </c>
    </row>
    <row r="119" spans="1:4" x14ac:dyDescent="0.2">
      <c r="A119" s="63"/>
      <c r="B119" s="5">
        <v>10</v>
      </c>
      <c r="C119" s="5">
        <v>1</v>
      </c>
      <c r="D119" s="5">
        <f>COUNTIFS($C$130:$C$229, "=Others",$D$130:$D$229, "&gt;=2000",$D$130:$D$229, "&lt;=2002")</f>
        <v>0</v>
      </c>
    </row>
    <row r="120" spans="1:4" x14ac:dyDescent="0.2">
      <c r="A120" s="63"/>
      <c r="B120" s="5">
        <v>10</v>
      </c>
      <c r="C120" s="5">
        <v>2</v>
      </c>
      <c r="D120" s="5">
        <f>COUNTIFS($C$130:$C$229, "=Others",$D$130:$D$229, "&gt;=2003",$D$130:$D$229, "&lt;=2005")</f>
        <v>1</v>
      </c>
    </row>
    <row r="121" spans="1:4" x14ac:dyDescent="0.2">
      <c r="A121" s="63"/>
      <c r="B121" s="5">
        <v>10</v>
      </c>
      <c r="C121" s="5">
        <v>3</v>
      </c>
      <c r="D121" s="5">
        <f>COUNTIFS($C$130:$C$229, "=Others",$D$130:$D$229, "&gt;=2006",$D$130:$D$229, "&lt;=2008")</f>
        <v>0</v>
      </c>
    </row>
    <row r="122" spans="1:4" x14ac:dyDescent="0.2">
      <c r="A122" s="63"/>
      <c r="B122" s="5">
        <v>10</v>
      </c>
      <c r="C122" s="5">
        <v>4</v>
      </c>
      <c r="D122" s="5">
        <f>COUNTIFS($C$130:$C$229, "=Others",$D$130:$D$229, "&gt;=2009",$D$130:$D$229, "&lt;=2011")</f>
        <v>0</v>
      </c>
    </row>
    <row r="123" spans="1:4" x14ac:dyDescent="0.2">
      <c r="A123" s="63"/>
      <c r="B123" s="5">
        <v>10</v>
      </c>
      <c r="C123" s="5">
        <v>5</v>
      </c>
      <c r="D123" s="5">
        <f>COUNTIFS($C$130:$C$229, "=Others",$D$130:$D$229, "&gt;=2012",$D$130:$D$229, "&lt;=2014")</f>
        <v>4</v>
      </c>
    </row>
    <row r="124" spans="1:4" x14ac:dyDescent="0.2">
      <c r="A124" s="63"/>
      <c r="B124" s="5">
        <v>10</v>
      </c>
      <c r="C124" s="5">
        <v>6</v>
      </c>
      <c r="D124" s="5">
        <f>COUNTIFS($C$130:$C$229, "=Others",$D$130:$D$229, "&gt;=2015",$D$130:$D$229, "&lt;=2017")</f>
        <v>0</v>
      </c>
    </row>
    <row r="125" spans="1:4" x14ac:dyDescent="0.2">
      <c r="A125" s="63"/>
      <c r="B125" s="5">
        <v>10</v>
      </c>
      <c r="C125" s="5">
        <v>7</v>
      </c>
      <c r="D125" s="5">
        <f>COUNTIFS($C$130:$C$229, "=Others",$D$130:$D$229, "&gt;=2018",$D$130:$D$229, "&lt;=2020")</f>
        <v>4</v>
      </c>
    </row>
    <row r="126" spans="1:4" x14ac:dyDescent="0.2">
      <c r="A126" s="63"/>
      <c r="B126" s="5">
        <v>10</v>
      </c>
      <c r="C126" s="5">
        <v>8</v>
      </c>
      <c r="D126" s="5">
        <f>COUNTIFS($C$130:$C$229, "=Others",$D$130:$D$229, "&gt;=2021",$D$130:$D$229, "&lt;=2023")</f>
        <v>0</v>
      </c>
    </row>
    <row r="127" spans="1:4" x14ac:dyDescent="0.2">
      <c r="B127" s="61" t="s">
        <v>31</v>
      </c>
      <c r="C127" s="62"/>
      <c r="D127" s="3">
        <f>SUM(D28:D126)</f>
        <v>100</v>
      </c>
    </row>
    <row r="129" spans="2:4" ht="20" x14ac:dyDescent="0.2">
      <c r="B129" s="6" t="s">
        <v>0</v>
      </c>
      <c r="C129" s="6" t="s">
        <v>18</v>
      </c>
      <c r="D129" s="6" t="s">
        <v>29</v>
      </c>
    </row>
    <row r="130" spans="2:4" ht="20" x14ac:dyDescent="0.2">
      <c r="B130" s="3" t="s">
        <v>64</v>
      </c>
      <c r="C130" s="7" t="s">
        <v>17</v>
      </c>
      <c r="D130" s="7">
        <v>2012</v>
      </c>
    </row>
    <row r="131" spans="2:4" ht="40" x14ac:dyDescent="0.2">
      <c r="B131" s="3" t="s">
        <v>65</v>
      </c>
      <c r="C131" s="7" t="s">
        <v>17</v>
      </c>
      <c r="D131" s="7">
        <v>2014</v>
      </c>
    </row>
    <row r="132" spans="2:4" ht="40" x14ac:dyDescent="0.2">
      <c r="B132" s="3" t="s">
        <v>66</v>
      </c>
      <c r="C132" s="7" t="s">
        <v>17</v>
      </c>
      <c r="D132" s="7">
        <v>2015</v>
      </c>
    </row>
    <row r="133" spans="2:4" ht="40" x14ac:dyDescent="0.2">
      <c r="B133" s="3" t="s">
        <v>67</v>
      </c>
      <c r="C133" s="7" t="s">
        <v>17</v>
      </c>
      <c r="D133" s="7">
        <v>2017</v>
      </c>
    </row>
    <row r="134" spans="2:4" ht="20" x14ac:dyDescent="0.2">
      <c r="B134" s="3" t="s">
        <v>68</v>
      </c>
      <c r="C134" s="7" t="s">
        <v>17</v>
      </c>
      <c r="D134" s="7">
        <v>2019</v>
      </c>
    </row>
    <row r="135" spans="2:4" ht="40" x14ac:dyDescent="0.2">
      <c r="B135" s="3" t="s">
        <v>69</v>
      </c>
      <c r="C135" s="7" t="s">
        <v>17</v>
      </c>
      <c r="D135" s="7">
        <v>2020</v>
      </c>
    </row>
    <row r="136" spans="2:4" ht="40" x14ac:dyDescent="0.2">
      <c r="B136" s="3" t="s">
        <v>70</v>
      </c>
      <c r="C136" s="7" t="s">
        <v>17</v>
      </c>
      <c r="D136" s="7">
        <v>2021</v>
      </c>
    </row>
    <row r="137" spans="2:4" ht="60" x14ac:dyDescent="0.2">
      <c r="B137" s="3" t="s">
        <v>71</v>
      </c>
      <c r="C137" s="7" t="s">
        <v>17</v>
      </c>
      <c r="D137" s="7">
        <v>2022</v>
      </c>
    </row>
    <row r="138" spans="2:4" ht="20" x14ac:dyDescent="0.2">
      <c r="B138" s="3" t="s">
        <v>72</v>
      </c>
      <c r="C138" s="7" t="s">
        <v>17</v>
      </c>
      <c r="D138" s="7">
        <v>2023</v>
      </c>
    </row>
    <row r="139" spans="2:4" ht="20" x14ac:dyDescent="0.2">
      <c r="B139" s="4" t="s">
        <v>73</v>
      </c>
      <c r="C139" s="8" t="s">
        <v>19</v>
      </c>
      <c r="D139" s="8">
        <v>2007</v>
      </c>
    </row>
    <row r="140" spans="2:4" ht="40" x14ac:dyDescent="0.2">
      <c r="B140" s="4" t="s">
        <v>74</v>
      </c>
      <c r="C140" s="8" t="s">
        <v>19</v>
      </c>
      <c r="D140" s="8">
        <v>2008</v>
      </c>
    </row>
    <row r="141" spans="2:4" ht="40" x14ac:dyDescent="0.2">
      <c r="B141" s="4" t="s">
        <v>75</v>
      </c>
      <c r="C141" s="8" t="s">
        <v>19</v>
      </c>
      <c r="D141" s="8">
        <v>2010</v>
      </c>
    </row>
    <row r="142" spans="2:4" ht="40" x14ac:dyDescent="0.2">
      <c r="B142" s="4" t="s">
        <v>76</v>
      </c>
      <c r="C142" s="8" t="s">
        <v>19</v>
      </c>
      <c r="D142" s="8">
        <v>2012</v>
      </c>
    </row>
    <row r="143" spans="2:4" ht="60" x14ac:dyDescent="0.2">
      <c r="B143" s="4" t="s">
        <v>77</v>
      </c>
      <c r="C143" s="8" t="s">
        <v>19</v>
      </c>
      <c r="D143" s="8">
        <v>2014</v>
      </c>
    </row>
    <row r="144" spans="2:4" ht="40" x14ac:dyDescent="0.2">
      <c r="B144" s="4" t="s">
        <v>78</v>
      </c>
      <c r="C144" s="8" t="s">
        <v>19</v>
      </c>
      <c r="D144" s="8">
        <v>2016</v>
      </c>
    </row>
    <row r="145" spans="2:4" ht="40" x14ac:dyDescent="0.2">
      <c r="B145" s="4" t="s">
        <v>79</v>
      </c>
      <c r="C145" s="8" t="s">
        <v>19</v>
      </c>
      <c r="D145" s="8">
        <v>2019</v>
      </c>
    </row>
    <row r="146" spans="2:4" ht="40" x14ac:dyDescent="0.2">
      <c r="B146" s="4" t="s">
        <v>80</v>
      </c>
      <c r="C146" s="8" t="s">
        <v>19</v>
      </c>
      <c r="D146" s="8">
        <v>2021</v>
      </c>
    </row>
    <row r="147" spans="2:4" ht="40" x14ac:dyDescent="0.2">
      <c r="B147" s="4" t="s">
        <v>81</v>
      </c>
      <c r="C147" s="8" t="s">
        <v>19</v>
      </c>
      <c r="D147" s="8">
        <v>2023</v>
      </c>
    </row>
    <row r="148" spans="2:4" ht="40" x14ac:dyDescent="0.2">
      <c r="B148" s="5" t="s">
        <v>82</v>
      </c>
      <c r="C148" s="9" t="s">
        <v>20</v>
      </c>
      <c r="D148" s="9">
        <v>2005</v>
      </c>
    </row>
    <row r="149" spans="2:4" ht="20" x14ac:dyDescent="0.2">
      <c r="B149" s="5" t="s">
        <v>83</v>
      </c>
      <c r="C149" s="9" t="s">
        <v>20</v>
      </c>
      <c r="D149" s="9">
        <v>2007</v>
      </c>
    </row>
    <row r="150" spans="2:4" ht="40" x14ac:dyDescent="0.2">
      <c r="B150" s="5" t="s">
        <v>84</v>
      </c>
      <c r="C150" s="9" t="s">
        <v>20</v>
      </c>
      <c r="D150" s="9">
        <v>2009</v>
      </c>
    </row>
    <row r="151" spans="2:4" ht="40" x14ac:dyDescent="0.2">
      <c r="B151" s="5" t="s">
        <v>85</v>
      </c>
      <c r="C151" s="9" t="s">
        <v>20</v>
      </c>
      <c r="D151" s="9">
        <v>2011</v>
      </c>
    </row>
    <row r="152" spans="2:4" ht="20" x14ac:dyDescent="0.2">
      <c r="B152" s="5" t="s">
        <v>86</v>
      </c>
      <c r="C152" s="9" t="s">
        <v>20</v>
      </c>
      <c r="D152" s="9">
        <v>2013</v>
      </c>
    </row>
    <row r="153" spans="2:4" ht="20" x14ac:dyDescent="0.2">
      <c r="B153" s="5" t="s">
        <v>87</v>
      </c>
      <c r="C153" s="9" t="s">
        <v>20</v>
      </c>
      <c r="D153" s="9">
        <v>2015</v>
      </c>
    </row>
    <row r="154" spans="2:4" ht="20" x14ac:dyDescent="0.2">
      <c r="B154" s="5" t="s">
        <v>88</v>
      </c>
      <c r="C154" s="9" t="s">
        <v>20</v>
      </c>
      <c r="D154" s="9">
        <v>2019</v>
      </c>
    </row>
    <row r="155" spans="2:4" ht="40" x14ac:dyDescent="0.2">
      <c r="B155" s="5" t="s">
        <v>89</v>
      </c>
      <c r="C155" s="9" t="s">
        <v>20</v>
      </c>
      <c r="D155" s="9">
        <v>2021</v>
      </c>
    </row>
    <row r="156" spans="2:4" ht="40" x14ac:dyDescent="0.2">
      <c r="B156" s="5" t="s">
        <v>90</v>
      </c>
      <c r="C156" s="9" t="s">
        <v>20</v>
      </c>
      <c r="D156" s="9">
        <v>2023</v>
      </c>
    </row>
    <row r="157" spans="2:4" ht="40" x14ac:dyDescent="0.2">
      <c r="B157" s="3" t="s">
        <v>91</v>
      </c>
      <c r="C157" s="7" t="s">
        <v>61</v>
      </c>
      <c r="D157" s="7">
        <v>2009</v>
      </c>
    </row>
    <row r="158" spans="2:4" ht="60" x14ac:dyDescent="0.2">
      <c r="B158" s="3" t="s">
        <v>92</v>
      </c>
      <c r="C158" s="7" t="s">
        <v>61</v>
      </c>
      <c r="D158" s="7">
        <v>2011</v>
      </c>
    </row>
    <row r="159" spans="2:4" ht="60" x14ac:dyDescent="0.2">
      <c r="B159" s="3" t="s">
        <v>93</v>
      </c>
      <c r="C159" s="7" t="s">
        <v>61</v>
      </c>
      <c r="D159" s="7">
        <v>2013</v>
      </c>
    </row>
    <row r="160" spans="2:4" ht="40" x14ac:dyDescent="0.2">
      <c r="B160" s="3" t="s">
        <v>94</v>
      </c>
      <c r="C160" s="7" t="s">
        <v>61</v>
      </c>
      <c r="D160" s="7">
        <v>2015</v>
      </c>
    </row>
    <row r="161" spans="2:4" ht="40" x14ac:dyDescent="0.2">
      <c r="B161" s="3" t="s">
        <v>95</v>
      </c>
      <c r="C161" s="7" t="s">
        <v>61</v>
      </c>
      <c r="D161" s="7">
        <v>2017</v>
      </c>
    </row>
    <row r="162" spans="2:4" ht="40" x14ac:dyDescent="0.2">
      <c r="B162" s="3" t="s">
        <v>96</v>
      </c>
      <c r="C162" s="7" t="s">
        <v>61</v>
      </c>
      <c r="D162" s="7">
        <v>2019</v>
      </c>
    </row>
    <row r="163" spans="2:4" ht="40" x14ac:dyDescent="0.2">
      <c r="B163" s="3" t="s">
        <v>97</v>
      </c>
      <c r="C163" s="7" t="s">
        <v>61</v>
      </c>
      <c r="D163" s="7">
        <v>2020</v>
      </c>
    </row>
    <row r="164" spans="2:4" ht="40" x14ac:dyDescent="0.2">
      <c r="B164" s="3" t="s">
        <v>98</v>
      </c>
      <c r="C164" s="7" t="s">
        <v>61</v>
      </c>
      <c r="D164" s="7">
        <v>2022</v>
      </c>
    </row>
    <row r="165" spans="2:4" ht="40" x14ac:dyDescent="0.2">
      <c r="B165" s="3" t="s">
        <v>99</v>
      </c>
      <c r="C165" s="7" t="s">
        <v>61</v>
      </c>
      <c r="D165" s="7">
        <v>2023</v>
      </c>
    </row>
    <row r="166" spans="2:4" ht="20" x14ac:dyDescent="0.2">
      <c r="B166" s="4" t="s">
        <v>100</v>
      </c>
      <c r="C166" s="8" t="s">
        <v>21</v>
      </c>
      <c r="D166" s="8">
        <v>2000</v>
      </c>
    </row>
    <row r="167" spans="2:4" ht="40" x14ac:dyDescent="0.2">
      <c r="B167" s="4" t="s">
        <v>101</v>
      </c>
      <c r="C167" s="8" t="s">
        <v>21</v>
      </c>
      <c r="D167" s="8">
        <v>2003</v>
      </c>
    </row>
    <row r="168" spans="2:4" ht="20" x14ac:dyDescent="0.2">
      <c r="B168" s="4" t="s">
        <v>102</v>
      </c>
      <c r="C168" s="8" t="s">
        <v>21</v>
      </c>
      <c r="D168" s="8">
        <v>2006</v>
      </c>
    </row>
    <row r="169" spans="2:4" ht="40" x14ac:dyDescent="0.2">
      <c r="B169" s="4" t="s">
        <v>103</v>
      </c>
      <c r="C169" s="8" t="s">
        <v>21</v>
      </c>
      <c r="D169" s="8">
        <v>2009</v>
      </c>
    </row>
    <row r="170" spans="2:4" ht="20" x14ac:dyDescent="0.2">
      <c r="B170" s="4" t="s">
        <v>104</v>
      </c>
      <c r="C170" s="8" t="s">
        <v>21</v>
      </c>
      <c r="D170" s="8">
        <v>2012</v>
      </c>
    </row>
    <row r="171" spans="2:4" ht="60" x14ac:dyDescent="0.2">
      <c r="B171" s="4" t="s">
        <v>105</v>
      </c>
      <c r="C171" s="8" t="s">
        <v>21</v>
      </c>
      <c r="D171" s="8">
        <v>2015</v>
      </c>
    </row>
    <row r="172" spans="2:4" ht="20" x14ac:dyDescent="0.2">
      <c r="B172" s="4" t="s">
        <v>106</v>
      </c>
      <c r="C172" s="8" t="s">
        <v>21</v>
      </c>
      <c r="D172" s="8">
        <v>2018</v>
      </c>
    </row>
    <row r="173" spans="2:4" ht="40" x14ac:dyDescent="0.2">
      <c r="B173" s="4" t="s">
        <v>107</v>
      </c>
      <c r="C173" s="8" t="s">
        <v>21</v>
      </c>
      <c r="D173" s="8">
        <v>2021</v>
      </c>
    </row>
    <row r="174" spans="2:4" ht="40" x14ac:dyDescent="0.2">
      <c r="B174" s="4" t="s">
        <v>108</v>
      </c>
      <c r="C174" s="8" t="s">
        <v>21</v>
      </c>
      <c r="D174" s="8">
        <v>2023</v>
      </c>
    </row>
    <row r="175" spans="2:4" ht="40" x14ac:dyDescent="0.2">
      <c r="B175" s="5" t="s">
        <v>109</v>
      </c>
      <c r="C175" s="9" t="s">
        <v>22</v>
      </c>
      <c r="D175" s="9">
        <v>1995</v>
      </c>
    </row>
    <row r="176" spans="2:4" ht="40" x14ac:dyDescent="0.2">
      <c r="B176" s="5" t="s">
        <v>110</v>
      </c>
      <c r="C176" s="9" t="s">
        <v>22</v>
      </c>
      <c r="D176" s="9">
        <v>2000</v>
      </c>
    </row>
    <row r="177" spans="2:4" ht="40" x14ac:dyDescent="0.2">
      <c r="B177" s="5" t="s">
        <v>111</v>
      </c>
      <c r="C177" s="9" t="s">
        <v>22</v>
      </c>
      <c r="D177" s="9">
        <v>2004</v>
      </c>
    </row>
    <row r="178" spans="2:4" ht="80" x14ac:dyDescent="0.2">
      <c r="B178" s="5" t="s">
        <v>112</v>
      </c>
      <c r="C178" s="9" t="s">
        <v>22</v>
      </c>
      <c r="D178" s="9">
        <v>2008</v>
      </c>
    </row>
    <row r="179" spans="2:4" ht="40" x14ac:dyDescent="0.2">
      <c r="B179" s="5" t="s">
        <v>113</v>
      </c>
      <c r="C179" s="9" t="s">
        <v>22</v>
      </c>
      <c r="D179" s="9">
        <v>2011</v>
      </c>
    </row>
    <row r="180" spans="2:4" ht="40" x14ac:dyDescent="0.2">
      <c r="B180" s="5" t="s">
        <v>114</v>
      </c>
      <c r="C180" s="9" t="s">
        <v>22</v>
      </c>
      <c r="D180" s="9">
        <v>2014</v>
      </c>
    </row>
    <row r="181" spans="2:4" ht="40" x14ac:dyDescent="0.2">
      <c r="B181" s="5" t="s">
        <v>115</v>
      </c>
      <c r="C181" s="9" t="s">
        <v>22</v>
      </c>
      <c r="D181" s="9">
        <v>2017</v>
      </c>
    </row>
    <row r="182" spans="2:4" ht="40" x14ac:dyDescent="0.2">
      <c r="B182" s="5" t="s">
        <v>116</v>
      </c>
      <c r="C182" s="9" t="s">
        <v>22</v>
      </c>
      <c r="D182" s="9">
        <v>2020</v>
      </c>
    </row>
    <row r="183" spans="2:4" ht="60" x14ac:dyDescent="0.2">
      <c r="B183" s="5" t="s">
        <v>117</v>
      </c>
      <c r="C183" s="9" t="s">
        <v>22</v>
      </c>
      <c r="D183" s="9">
        <v>2023</v>
      </c>
    </row>
    <row r="184" spans="2:4" ht="40" x14ac:dyDescent="0.2">
      <c r="B184" s="3" t="s">
        <v>118</v>
      </c>
      <c r="C184" s="7" t="s">
        <v>23</v>
      </c>
      <c r="D184" s="7">
        <v>2012</v>
      </c>
    </row>
    <row r="185" spans="2:4" ht="20" x14ac:dyDescent="0.2">
      <c r="B185" s="3" t="s">
        <v>119</v>
      </c>
      <c r="C185" s="7" t="s">
        <v>23</v>
      </c>
      <c r="D185" s="7">
        <v>2013</v>
      </c>
    </row>
    <row r="186" spans="2:4" ht="20" x14ac:dyDescent="0.2">
      <c r="B186" s="3" t="s">
        <v>120</v>
      </c>
      <c r="C186" s="7" t="s">
        <v>23</v>
      </c>
      <c r="D186" s="7">
        <v>2014</v>
      </c>
    </row>
    <row r="187" spans="2:4" ht="40" x14ac:dyDescent="0.2">
      <c r="B187" s="3" t="s">
        <v>121</v>
      </c>
      <c r="C187" s="7" t="s">
        <v>23</v>
      </c>
      <c r="D187" s="7">
        <v>2015</v>
      </c>
    </row>
    <row r="188" spans="2:4" ht="40" x14ac:dyDescent="0.2">
      <c r="B188" s="3" t="s">
        <v>122</v>
      </c>
      <c r="C188" s="7" t="s">
        <v>23</v>
      </c>
      <c r="D188" s="7">
        <v>2016</v>
      </c>
    </row>
    <row r="189" spans="2:4" ht="40" x14ac:dyDescent="0.2">
      <c r="B189" s="3" t="s">
        <v>123</v>
      </c>
      <c r="C189" s="7" t="s">
        <v>23</v>
      </c>
      <c r="D189" s="7">
        <v>2018</v>
      </c>
    </row>
    <row r="190" spans="2:4" ht="40" x14ac:dyDescent="0.2">
      <c r="B190" s="3" t="s">
        <v>124</v>
      </c>
      <c r="C190" s="7" t="s">
        <v>23</v>
      </c>
      <c r="D190" s="7">
        <v>2020</v>
      </c>
    </row>
    <row r="191" spans="2:4" ht="40" x14ac:dyDescent="0.2">
      <c r="B191" s="3" t="s">
        <v>125</v>
      </c>
      <c r="C191" s="7" t="s">
        <v>23</v>
      </c>
      <c r="D191" s="7">
        <v>2021</v>
      </c>
    </row>
    <row r="192" spans="2:4" ht="40" x14ac:dyDescent="0.2">
      <c r="B192" s="3" t="s">
        <v>126</v>
      </c>
      <c r="C192" s="7" t="s">
        <v>23</v>
      </c>
      <c r="D192" s="7">
        <v>2023</v>
      </c>
    </row>
    <row r="193" spans="2:4" ht="40" x14ac:dyDescent="0.2">
      <c r="B193" s="4" t="s">
        <v>127</v>
      </c>
      <c r="C193" s="8" t="s">
        <v>24</v>
      </c>
      <c r="D193" s="8">
        <v>2009</v>
      </c>
    </row>
    <row r="194" spans="2:4" ht="60" x14ac:dyDescent="0.2">
      <c r="B194" s="4" t="s">
        <v>128</v>
      </c>
      <c r="C194" s="8" t="s">
        <v>24</v>
      </c>
      <c r="D194" s="8">
        <v>2011</v>
      </c>
    </row>
    <row r="195" spans="2:4" ht="40" x14ac:dyDescent="0.2">
      <c r="B195" s="4" t="s">
        <v>129</v>
      </c>
      <c r="C195" s="8" t="s">
        <v>24</v>
      </c>
      <c r="D195" s="8">
        <v>2013</v>
      </c>
    </row>
    <row r="196" spans="2:4" ht="40" x14ac:dyDescent="0.2">
      <c r="B196" s="4" t="s">
        <v>130</v>
      </c>
      <c r="C196" s="8" t="s">
        <v>24</v>
      </c>
      <c r="D196" s="8">
        <v>2015</v>
      </c>
    </row>
    <row r="197" spans="2:4" ht="40" x14ac:dyDescent="0.2">
      <c r="B197" s="4" t="s">
        <v>131</v>
      </c>
      <c r="C197" s="8" t="s">
        <v>24</v>
      </c>
      <c r="D197" s="8">
        <v>2017</v>
      </c>
    </row>
    <row r="198" spans="2:4" ht="40" x14ac:dyDescent="0.2">
      <c r="B198" s="4" t="s">
        <v>132</v>
      </c>
      <c r="C198" s="8" t="s">
        <v>24</v>
      </c>
      <c r="D198" s="8">
        <v>2019</v>
      </c>
    </row>
    <row r="199" spans="2:4" ht="60" x14ac:dyDescent="0.2">
      <c r="B199" s="4" t="s">
        <v>133</v>
      </c>
      <c r="C199" s="8" t="s">
        <v>24</v>
      </c>
      <c r="D199" s="8">
        <v>2020</v>
      </c>
    </row>
    <row r="200" spans="2:4" ht="40" x14ac:dyDescent="0.2">
      <c r="B200" s="4" t="s">
        <v>134</v>
      </c>
      <c r="C200" s="8" t="s">
        <v>24</v>
      </c>
      <c r="D200" s="8">
        <v>2022</v>
      </c>
    </row>
    <row r="201" spans="2:4" ht="40" x14ac:dyDescent="0.2">
      <c r="B201" s="4" t="s">
        <v>135</v>
      </c>
      <c r="C201" s="8" t="s">
        <v>24</v>
      </c>
      <c r="D201" s="8">
        <v>2023</v>
      </c>
    </row>
    <row r="202" spans="2:4" ht="20" x14ac:dyDescent="0.2">
      <c r="B202" s="5" t="s">
        <v>136</v>
      </c>
      <c r="C202" s="9" t="s">
        <v>25</v>
      </c>
      <c r="D202" s="9">
        <v>2012</v>
      </c>
    </row>
    <row r="203" spans="2:4" ht="20" x14ac:dyDescent="0.2">
      <c r="B203" s="5" t="s">
        <v>137</v>
      </c>
      <c r="C203" s="9" t="s">
        <v>25</v>
      </c>
      <c r="D203" s="9">
        <v>2014</v>
      </c>
    </row>
    <row r="204" spans="2:4" ht="40" x14ac:dyDescent="0.2">
      <c r="B204" s="5" t="s">
        <v>138</v>
      </c>
      <c r="C204" s="9" t="s">
        <v>25</v>
      </c>
      <c r="D204" s="9">
        <v>2016</v>
      </c>
    </row>
    <row r="205" spans="2:4" ht="40" x14ac:dyDescent="0.2">
      <c r="B205" s="5" t="s">
        <v>139</v>
      </c>
      <c r="C205" s="9" t="s">
        <v>25</v>
      </c>
      <c r="D205" s="9">
        <v>2017</v>
      </c>
    </row>
    <row r="206" spans="2:4" ht="40" x14ac:dyDescent="0.2">
      <c r="B206" s="5" t="s">
        <v>140</v>
      </c>
      <c r="C206" s="9" t="s">
        <v>25</v>
      </c>
      <c r="D206" s="9">
        <v>2018</v>
      </c>
    </row>
    <row r="207" spans="2:4" ht="20" x14ac:dyDescent="0.2">
      <c r="B207" s="5" t="s">
        <v>141</v>
      </c>
      <c r="C207" s="9" t="s">
        <v>25</v>
      </c>
      <c r="D207" s="9">
        <v>2019</v>
      </c>
    </row>
    <row r="208" spans="2:4" ht="20" x14ac:dyDescent="0.2">
      <c r="B208" s="5" t="s">
        <v>142</v>
      </c>
      <c r="C208" s="9" t="s">
        <v>25</v>
      </c>
      <c r="D208" s="9">
        <v>2020</v>
      </c>
    </row>
    <row r="209" spans="2:4" ht="40" x14ac:dyDescent="0.2">
      <c r="B209" s="5" t="s">
        <v>143</v>
      </c>
      <c r="C209" s="9" t="s">
        <v>25</v>
      </c>
      <c r="D209" s="9">
        <v>2021</v>
      </c>
    </row>
    <row r="210" spans="2:4" ht="20" x14ac:dyDescent="0.2">
      <c r="B210" s="5" t="s">
        <v>144</v>
      </c>
      <c r="C210" s="9" t="s">
        <v>25</v>
      </c>
      <c r="D210" s="9">
        <v>2023</v>
      </c>
    </row>
    <row r="211" spans="2:4" ht="40" x14ac:dyDescent="0.2">
      <c r="B211" s="3" t="s">
        <v>145</v>
      </c>
      <c r="C211" s="7" t="s">
        <v>62</v>
      </c>
      <c r="D211" s="7">
        <v>2000</v>
      </c>
    </row>
    <row r="212" spans="2:4" ht="40" x14ac:dyDescent="0.2">
      <c r="B212" s="3" t="s">
        <v>146</v>
      </c>
      <c r="C212" s="7" t="s">
        <v>62</v>
      </c>
      <c r="D212" s="7">
        <v>2003</v>
      </c>
    </row>
    <row r="213" spans="2:4" ht="40" x14ac:dyDescent="0.2">
      <c r="B213" s="3" t="s">
        <v>147</v>
      </c>
      <c r="C213" s="7" t="s">
        <v>62</v>
      </c>
      <c r="D213" s="7">
        <v>2006</v>
      </c>
    </row>
    <row r="214" spans="2:4" ht="20" x14ac:dyDescent="0.2">
      <c r="B214" s="3" t="s">
        <v>148</v>
      </c>
      <c r="C214" s="7" t="s">
        <v>62</v>
      </c>
      <c r="D214" s="7">
        <v>2009</v>
      </c>
    </row>
    <row r="215" spans="2:4" ht="40" x14ac:dyDescent="0.2">
      <c r="B215" s="3" t="s">
        <v>149</v>
      </c>
      <c r="C215" s="7" t="s">
        <v>62</v>
      </c>
      <c r="D215" s="7">
        <v>2012</v>
      </c>
    </row>
    <row r="216" spans="2:4" ht="40" x14ac:dyDescent="0.2">
      <c r="B216" s="3" t="s">
        <v>150</v>
      </c>
      <c r="C216" s="7" t="s">
        <v>62</v>
      </c>
      <c r="D216" s="7">
        <v>2015</v>
      </c>
    </row>
    <row r="217" spans="2:4" ht="40" x14ac:dyDescent="0.2">
      <c r="B217" s="3" t="s">
        <v>151</v>
      </c>
      <c r="C217" s="7" t="s">
        <v>62</v>
      </c>
      <c r="D217" s="7">
        <v>2018</v>
      </c>
    </row>
    <row r="218" spans="2:4" ht="40" x14ac:dyDescent="0.2">
      <c r="B218" s="3" t="s">
        <v>152</v>
      </c>
      <c r="C218" s="7" t="s">
        <v>62</v>
      </c>
      <c r="D218" s="7">
        <v>2021</v>
      </c>
    </row>
    <row r="219" spans="2:4" ht="40" x14ac:dyDescent="0.2">
      <c r="B219" s="3" t="s">
        <v>153</v>
      </c>
      <c r="C219" s="7" t="s">
        <v>62</v>
      </c>
      <c r="D219" s="7">
        <v>2023</v>
      </c>
    </row>
    <row r="220" spans="2:4" ht="20" x14ac:dyDescent="0.2">
      <c r="B220" s="4" t="s">
        <v>154</v>
      </c>
      <c r="C220" s="8" t="s">
        <v>26</v>
      </c>
      <c r="D220" s="8">
        <v>1979</v>
      </c>
    </row>
    <row r="221" spans="2:4" ht="20" x14ac:dyDescent="0.2">
      <c r="B221" s="4" t="s">
        <v>155</v>
      </c>
      <c r="C221" s="8" t="s">
        <v>26</v>
      </c>
      <c r="D221" s="8">
        <v>2014</v>
      </c>
    </row>
    <row r="222" spans="2:4" ht="20" x14ac:dyDescent="0.2">
      <c r="B222" s="4" t="s">
        <v>156</v>
      </c>
      <c r="C222" s="8" t="s">
        <v>26</v>
      </c>
      <c r="D222" s="8">
        <v>2019</v>
      </c>
    </row>
    <row r="223" spans="2:4" ht="20" x14ac:dyDescent="0.2">
      <c r="B223" s="4" t="s">
        <v>157</v>
      </c>
      <c r="C223" s="8" t="s">
        <v>26</v>
      </c>
      <c r="D223" s="8">
        <v>2019</v>
      </c>
    </row>
    <row r="224" spans="2:4" ht="20" x14ac:dyDescent="0.2">
      <c r="B224" s="4" t="s">
        <v>158</v>
      </c>
      <c r="C224" s="8" t="s">
        <v>26</v>
      </c>
      <c r="D224" s="8">
        <v>2013</v>
      </c>
    </row>
    <row r="225" spans="2:4" ht="20" x14ac:dyDescent="0.2">
      <c r="B225" s="4" t="s">
        <v>159</v>
      </c>
      <c r="C225" s="8" t="s">
        <v>26</v>
      </c>
      <c r="D225" s="8">
        <v>2005</v>
      </c>
    </row>
    <row r="226" spans="2:4" ht="20" x14ac:dyDescent="0.2">
      <c r="B226" s="4" t="s">
        <v>160</v>
      </c>
      <c r="C226" s="8" t="s">
        <v>26</v>
      </c>
      <c r="D226" s="8">
        <v>2018</v>
      </c>
    </row>
    <row r="227" spans="2:4" ht="20" x14ac:dyDescent="0.2">
      <c r="B227" s="4" t="s">
        <v>161</v>
      </c>
      <c r="C227" s="8" t="s">
        <v>26</v>
      </c>
      <c r="D227" s="8">
        <v>2012</v>
      </c>
    </row>
    <row r="228" spans="2:4" ht="20" x14ac:dyDescent="0.2">
      <c r="B228" s="4" t="s">
        <v>162</v>
      </c>
      <c r="C228" s="8" t="s">
        <v>26</v>
      </c>
      <c r="D228" s="8">
        <v>2014</v>
      </c>
    </row>
    <row r="229" spans="2:4" ht="20" x14ac:dyDescent="0.2">
      <c r="B229" s="4" t="s">
        <v>163</v>
      </c>
      <c r="C229" s="8" t="s">
        <v>26</v>
      </c>
      <c r="D229" s="8">
        <v>2018</v>
      </c>
    </row>
  </sheetData>
  <mergeCells count="14">
    <mergeCell ref="B1:D1"/>
    <mergeCell ref="B15:D15"/>
    <mergeCell ref="B127:C127"/>
    <mergeCell ref="A82:A90"/>
    <mergeCell ref="A55:A63"/>
    <mergeCell ref="A73:A81"/>
    <mergeCell ref="A91:A99"/>
    <mergeCell ref="A37:A45"/>
    <mergeCell ref="A28:A36"/>
    <mergeCell ref="A100:A108"/>
    <mergeCell ref="A109:A117"/>
    <mergeCell ref="A64:A72"/>
    <mergeCell ref="A46:A54"/>
    <mergeCell ref="A118:A12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781D3-53A5-354C-8361-9DE7894DFB69}">
  <sheetPr codeName="Sheet1"/>
  <dimension ref="A1:AH181"/>
  <sheetViews>
    <sheetView tabSelected="1" topLeftCell="L1" zoomScale="120" zoomScaleNormal="120" workbookViewId="0">
      <selection activeCell="N25" sqref="N25"/>
    </sheetView>
  </sheetViews>
  <sheetFormatPr baseColWidth="10" defaultRowHeight="19" x14ac:dyDescent="0.2"/>
  <cols>
    <col min="1" max="5" width="30.83203125" style="1" customWidth="1"/>
    <col min="6" max="6" width="10.83203125" style="1" customWidth="1"/>
    <col min="7" max="7" width="30.83203125" style="16" customWidth="1"/>
    <col min="8" max="8" width="10.83203125" style="16" customWidth="1"/>
    <col min="9" max="9" width="30.83203125" style="16" customWidth="1"/>
    <col min="10" max="11" width="10.83203125" style="16" customWidth="1"/>
    <col min="12" max="12" width="30.83203125" style="16" customWidth="1"/>
    <col min="13" max="13" width="10.83203125" style="1" customWidth="1"/>
    <col min="14" max="14" width="30.83203125" style="1" customWidth="1"/>
    <col min="15" max="15" width="10.83203125" style="1" customWidth="1"/>
    <col min="16" max="16" width="30.83203125" style="1" customWidth="1"/>
    <col min="17" max="17" width="10.83203125" style="1" customWidth="1"/>
    <col min="18" max="19" width="30.83203125" style="1" customWidth="1"/>
    <col min="20" max="20" width="10.83203125" style="1" customWidth="1"/>
    <col min="21" max="21" width="30.83203125" style="1" customWidth="1"/>
    <col min="22" max="22" width="10.83203125" style="1" customWidth="1"/>
    <col min="23" max="34" width="30.83203125" style="1" customWidth="1"/>
    <col min="35" max="16384" width="10.83203125" style="1"/>
  </cols>
  <sheetData>
    <row r="1" spans="7:34" ht="20" customHeight="1" x14ac:dyDescent="0.2">
      <c r="G1" s="64" t="s">
        <v>34</v>
      </c>
      <c r="H1" s="65"/>
      <c r="I1" s="65"/>
      <c r="J1" s="65"/>
      <c r="K1" s="65"/>
      <c r="L1" s="67"/>
      <c r="M1" s="38"/>
      <c r="N1" s="57" t="s">
        <v>203</v>
      </c>
      <c r="O1" s="55" t="s">
        <v>204</v>
      </c>
      <c r="P1" s="55" t="s">
        <v>205</v>
      </c>
      <c r="Q1" s="56"/>
      <c r="R1" s="56"/>
      <c r="T1" s="59"/>
      <c r="U1" s="59"/>
      <c r="V1" s="59"/>
      <c r="X1" s="59"/>
      <c r="Y1" s="59"/>
      <c r="Z1" s="59"/>
      <c r="AB1" s="59"/>
      <c r="AC1" s="59"/>
      <c r="AD1" s="59"/>
      <c r="AF1" s="59"/>
      <c r="AG1" s="59"/>
      <c r="AH1" s="59"/>
    </row>
    <row r="2" spans="7:34" ht="20" x14ac:dyDescent="0.2">
      <c r="G2" s="44" t="s">
        <v>33</v>
      </c>
      <c r="H2" s="45"/>
      <c r="I2" s="45" t="s">
        <v>1</v>
      </c>
      <c r="J2" s="45"/>
      <c r="K2" s="45"/>
      <c r="L2" s="45" t="s">
        <v>2</v>
      </c>
      <c r="M2" s="39"/>
      <c r="N2" s="46">
        <v>1</v>
      </c>
      <c r="O2" s="47">
        <v>9</v>
      </c>
      <c r="P2" s="47" t="s">
        <v>237</v>
      </c>
      <c r="Q2" s="4"/>
      <c r="R2" s="4"/>
      <c r="T2" s="3"/>
      <c r="U2" s="3"/>
      <c r="V2" s="3"/>
      <c r="X2" s="3"/>
      <c r="Y2" s="3"/>
      <c r="Z2" s="3"/>
      <c r="AB2" s="3"/>
      <c r="AC2" s="3"/>
      <c r="AD2" s="3"/>
      <c r="AF2" s="3"/>
      <c r="AG2" s="3"/>
      <c r="AH2" s="3"/>
    </row>
    <row r="3" spans="7:34" ht="20" x14ac:dyDescent="0.2">
      <c r="G3" s="46" t="s">
        <v>174</v>
      </c>
      <c r="H3" s="47"/>
      <c r="I3" s="47">
        <v>0</v>
      </c>
      <c r="J3" s="47"/>
      <c r="K3" s="47"/>
      <c r="L3" s="47">
        <v>0</v>
      </c>
      <c r="M3" s="40"/>
      <c r="N3" s="46">
        <v>5</v>
      </c>
      <c r="O3" s="47">
        <v>9</v>
      </c>
      <c r="P3" s="47" t="s">
        <v>238</v>
      </c>
      <c r="Q3" s="4"/>
      <c r="R3" s="4"/>
      <c r="T3" s="3"/>
      <c r="U3" s="3"/>
      <c r="V3" s="3"/>
      <c r="X3" s="3"/>
      <c r="Y3" s="3"/>
      <c r="Z3" s="3"/>
      <c r="AB3" s="3"/>
      <c r="AC3" s="3"/>
      <c r="AD3" s="3"/>
      <c r="AF3" s="3"/>
      <c r="AG3" s="3"/>
      <c r="AH3" s="3"/>
    </row>
    <row r="4" spans="7:34" ht="20" x14ac:dyDescent="0.2">
      <c r="G4" s="46" t="s">
        <v>175</v>
      </c>
      <c r="H4" s="47"/>
      <c r="I4" s="47">
        <v>1</v>
      </c>
      <c r="J4" s="47"/>
      <c r="K4" s="47"/>
      <c r="L4" s="47">
        <v>0</v>
      </c>
      <c r="M4" s="40"/>
      <c r="N4" s="46">
        <v>9</v>
      </c>
      <c r="O4" s="47">
        <v>9</v>
      </c>
      <c r="P4" s="47" t="s">
        <v>243</v>
      </c>
      <c r="Q4" s="4"/>
      <c r="R4" s="4"/>
      <c r="T4" s="3"/>
      <c r="U4" s="3"/>
      <c r="V4" s="3"/>
      <c r="X4" s="3"/>
      <c r="Y4" s="3"/>
      <c r="Z4" s="3"/>
      <c r="AB4" s="3"/>
      <c r="AC4" s="3"/>
      <c r="AD4" s="3"/>
      <c r="AF4" s="3"/>
      <c r="AG4" s="3"/>
      <c r="AH4" s="3"/>
    </row>
    <row r="5" spans="7:34" ht="20" x14ac:dyDescent="0.2">
      <c r="G5" s="46" t="s">
        <v>176</v>
      </c>
      <c r="H5" s="47"/>
      <c r="I5" s="47">
        <v>2</v>
      </c>
      <c r="J5" s="47"/>
      <c r="K5" s="47"/>
      <c r="L5" s="47">
        <v>0</v>
      </c>
      <c r="M5" s="40"/>
      <c r="N5" s="48">
        <v>13</v>
      </c>
      <c r="O5" s="49">
        <v>9</v>
      </c>
      <c r="P5" s="49" t="s">
        <v>206</v>
      </c>
      <c r="Q5" s="4"/>
      <c r="R5" s="4"/>
      <c r="T5" s="3"/>
      <c r="U5" s="3"/>
      <c r="V5" s="3"/>
      <c r="X5" s="3"/>
      <c r="Y5" s="3"/>
      <c r="Z5" s="3"/>
      <c r="AB5" s="3"/>
      <c r="AC5" s="3"/>
      <c r="AD5" s="3"/>
      <c r="AF5" s="3"/>
      <c r="AG5" s="3"/>
      <c r="AH5" s="3"/>
    </row>
    <row r="6" spans="7:34" ht="19" customHeight="1" x14ac:dyDescent="0.2">
      <c r="G6" s="71" t="s">
        <v>35</v>
      </c>
      <c r="H6" s="72"/>
      <c r="I6" s="72"/>
      <c r="J6" s="72"/>
      <c r="K6" s="72"/>
      <c r="L6" s="73"/>
      <c r="M6" s="41"/>
      <c r="N6" s="48">
        <v>17</v>
      </c>
      <c r="O6" s="49">
        <v>9</v>
      </c>
      <c r="P6" s="49" t="s">
        <v>240</v>
      </c>
      <c r="Q6" s="36"/>
      <c r="R6" s="36"/>
      <c r="T6" s="18"/>
      <c r="U6" s="18"/>
      <c r="V6" s="18"/>
      <c r="X6" s="18"/>
      <c r="Y6" s="18"/>
      <c r="Z6" s="18"/>
      <c r="AB6" s="18"/>
      <c r="AC6" s="18"/>
      <c r="AD6" s="18"/>
      <c r="AF6" s="18"/>
      <c r="AG6" s="18"/>
      <c r="AH6" s="18"/>
    </row>
    <row r="7" spans="7:34" ht="19" customHeight="1" x14ac:dyDescent="0.2">
      <c r="G7" s="48" t="s">
        <v>177</v>
      </c>
      <c r="H7" s="49"/>
      <c r="I7" s="49">
        <v>4</v>
      </c>
      <c r="J7" s="49"/>
      <c r="K7" s="49"/>
      <c r="L7" s="49">
        <v>0</v>
      </c>
      <c r="M7" s="18"/>
      <c r="N7" s="48">
        <v>21</v>
      </c>
      <c r="O7" s="49">
        <v>9</v>
      </c>
      <c r="P7" s="49" t="s">
        <v>241</v>
      </c>
      <c r="Q7" s="36"/>
      <c r="R7" s="36"/>
      <c r="T7" s="18"/>
      <c r="U7" s="18"/>
      <c r="V7" s="18"/>
      <c r="X7" s="18"/>
      <c r="Y7" s="18"/>
      <c r="Z7" s="18"/>
      <c r="AB7" s="18"/>
      <c r="AC7" s="18"/>
      <c r="AD7" s="18"/>
      <c r="AF7" s="18"/>
      <c r="AG7" s="18"/>
      <c r="AH7" s="18"/>
    </row>
    <row r="8" spans="7:34" ht="19" customHeight="1" x14ac:dyDescent="0.2">
      <c r="G8" s="48" t="s">
        <v>178</v>
      </c>
      <c r="H8" s="49"/>
      <c r="I8" s="49">
        <v>5</v>
      </c>
      <c r="J8" s="49"/>
      <c r="K8" s="49"/>
      <c r="L8" s="49">
        <v>0</v>
      </c>
      <c r="M8" s="18"/>
      <c r="N8" s="50">
        <v>25</v>
      </c>
      <c r="O8" s="51">
        <v>9</v>
      </c>
      <c r="P8" s="51" t="s">
        <v>242</v>
      </c>
      <c r="Q8" s="36"/>
      <c r="R8" s="36"/>
      <c r="T8" s="18"/>
      <c r="U8" s="18"/>
      <c r="V8" s="18"/>
      <c r="X8" s="18"/>
      <c r="Y8" s="18"/>
      <c r="Z8" s="18"/>
      <c r="AB8" s="18"/>
      <c r="AC8" s="18"/>
      <c r="AD8" s="18"/>
      <c r="AF8" s="18"/>
      <c r="AG8" s="18"/>
      <c r="AH8" s="18"/>
    </row>
    <row r="9" spans="7:34" ht="19" customHeight="1" x14ac:dyDescent="0.2">
      <c r="G9" s="48" t="s">
        <v>179</v>
      </c>
      <c r="H9" s="49"/>
      <c r="I9" s="49">
        <v>6</v>
      </c>
      <c r="J9" s="49"/>
      <c r="K9" s="49"/>
      <c r="L9" s="49">
        <v>0</v>
      </c>
      <c r="M9" s="18"/>
      <c r="N9" s="50">
        <v>29</v>
      </c>
      <c r="O9" s="51">
        <v>9</v>
      </c>
      <c r="P9" s="51" t="s">
        <v>244</v>
      </c>
      <c r="Q9" s="36"/>
      <c r="R9" s="36"/>
      <c r="T9" s="18"/>
      <c r="U9" s="18"/>
      <c r="V9" s="18"/>
      <c r="X9" s="18"/>
      <c r="Y9" s="18"/>
      <c r="Z9" s="18"/>
      <c r="AB9" s="18"/>
      <c r="AC9" s="18"/>
      <c r="AD9" s="18"/>
      <c r="AF9" s="18"/>
      <c r="AG9" s="18"/>
      <c r="AH9" s="18"/>
    </row>
    <row r="10" spans="7:34" ht="19" customHeight="1" x14ac:dyDescent="0.2">
      <c r="G10" s="64" t="s">
        <v>180</v>
      </c>
      <c r="H10" s="65"/>
      <c r="I10" s="65"/>
      <c r="J10" s="65"/>
      <c r="K10" s="65"/>
      <c r="L10" s="66"/>
      <c r="M10" s="38"/>
      <c r="N10" s="50">
        <v>33</v>
      </c>
      <c r="O10" s="51">
        <v>9</v>
      </c>
      <c r="P10" s="51" t="s">
        <v>51</v>
      </c>
      <c r="Q10" s="36"/>
      <c r="R10" s="36"/>
      <c r="T10" s="18"/>
      <c r="U10" s="18"/>
      <c r="V10" s="18"/>
      <c r="X10" s="18"/>
      <c r="Y10" s="18"/>
      <c r="Z10" s="18"/>
      <c r="AB10" s="18"/>
      <c r="AC10" s="18"/>
      <c r="AD10" s="18"/>
      <c r="AF10" s="18"/>
      <c r="AG10" s="18"/>
      <c r="AH10" s="18"/>
    </row>
    <row r="11" spans="7:34" ht="19" customHeight="1" x14ac:dyDescent="0.2">
      <c r="G11" s="50" t="s">
        <v>181</v>
      </c>
      <c r="H11" s="51"/>
      <c r="I11" s="51">
        <v>8</v>
      </c>
      <c r="J11" s="51"/>
      <c r="K11" s="51"/>
      <c r="L11" s="51">
        <v>0</v>
      </c>
      <c r="M11" s="36"/>
      <c r="P11" s="36"/>
      <c r="Q11" s="36"/>
      <c r="R11" s="36"/>
      <c r="T11" s="18"/>
      <c r="U11" s="18"/>
      <c r="V11" s="18"/>
      <c r="X11" s="18"/>
      <c r="Y11" s="18"/>
      <c r="Z11" s="18"/>
      <c r="AB11" s="18"/>
      <c r="AC11" s="18"/>
      <c r="AD11" s="18"/>
      <c r="AF11" s="18"/>
      <c r="AG11" s="18"/>
      <c r="AH11" s="18"/>
    </row>
    <row r="12" spans="7:34" ht="19" customHeight="1" x14ac:dyDescent="0.2">
      <c r="G12" s="50" t="s">
        <v>182</v>
      </c>
      <c r="H12" s="51"/>
      <c r="I12" s="51">
        <v>9</v>
      </c>
      <c r="J12" s="51"/>
      <c r="K12" s="51"/>
      <c r="L12" s="51">
        <v>0</v>
      </c>
      <c r="M12" s="36"/>
      <c r="P12" s="36"/>
      <c r="Q12" s="36"/>
      <c r="R12" s="36"/>
      <c r="T12" s="18"/>
      <c r="U12" s="18"/>
      <c r="V12" s="18"/>
      <c r="X12" s="18"/>
      <c r="Y12" s="18"/>
      <c r="Z12" s="18"/>
      <c r="AB12" s="18"/>
      <c r="AC12" s="18"/>
      <c r="AD12" s="18"/>
      <c r="AF12" s="18"/>
      <c r="AG12" s="18"/>
      <c r="AH12" s="18"/>
    </row>
    <row r="13" spans="7:34" ht="19" customHeight="1" x14ac:dyDescent="0.2">
      <c r="G13" s="50" t="s">
        <v>183</v>
      </c>
      <c r="H13" s="51"/>
      <c r="I13" s="51">
        <v>10</v>
      </c>
      <c r="J13" s="51"/>
      <c r="K13" s="51"/>
      <c r="L13" s="51">
        <v>0</v>
      </c>
      <c r="M13" s="36"/>
      <c r="P13" s="36"/>
      <c r="Q13" s="36"/>
      <c r="R13" s="36"/>
      <c r="T13" s="18"/>
      <c r="U13" s="18"/>
      <c r="V13" s="18"/>
      <c r="X13" s="18"/>
      <c r="Y13" s="18"/>
      <c r="Z13" s="18"/>
      <c r="AB13" s="18"/>
      <c r="AC13" s="18"/>
      <c r="AD13" s="18"/>
      <c r="AF13" s="18"/>
      <c r="AG13" s="18"/>
      <c r="AH13" s="18"/>
    </row>
    <row r="14" spans="7:34" ht="19" customHeight="1" x14ac:dyDescent="0.2">
      <c r="G14" s="74" t="s">
        <v>38</v>
      </c>
      <c r="H14" s="75"/>
      <c r="I14" s="75"/>
      <c r="J14" s="75"/>
      <c r="K14" s="75"/>
      <c r="L14" s="76"/>
      <c r="M14" s="42"/>
      <c r="P14" s="36"/>
      <c r="Q14" s="36"/>
      <c r="R14" s="36"/>
    </row>
    <row r="15" spans="7:34" ht="19" customHeight="1" x14ac:dyDescent="0.2">
      <c r="G15" s="46" t="s">
        <v>184</v>
      </c>
      <c r="H15" s="47"/>
      <c r="I15" s="47">
        <v>12</v>
      </c>
      <c r="J15" s="52"/>
      <c r="K15" s="52"/>
      <c r="L15" s="47">
        <v>0</v>
      </c>
      <c r="M15" s="40"/>
      <c r="P15" s="36"/>
      <c r="Q15" s="36"/>
      <c r="R15" s="36"/>
    </row>
    <row r="16" spans="7:34" ht="19" customHeight="1" x14ac:dyDescent="0.2">
      <c r="G16" s="46" t="s">
        <v>185</v>
      </c>
      <c r="H16" s="47"/>
      <c r="I16" s="47">
        <v>13</v>
      </c>
      <c r="J16" s="52"/>
      <c r="K16" s="52"/>
      <c r="L16" s="47">
        <v>0</v>
      </c>
      <c r="M16" s="40"/>
      <c r="P16" s="36"/>
      <c r="Q16" s="36"/>
      <c r="R16" s="36"/>
    </row>
    <row r="17" spans="7:13" ht="19" customHeight="1" x14ac:dyDescent="0.2">
      <c r="G17" s="46" t="s">
        <v>186</v>
      </c>
      <c r="H17" s="47"/>
      <c r="I17" s="47">
        <v>14</v>
      </c>
      <c r="J17" s="52"/>
      <c r="K17" s="52"/>
      <c r="L17" s="47">
        <v>0</v>
      </c>
      <c r="M17" s="40"/>
    </row>
    <row r="18" spans="7:13" ht="19" customHeight="1" x14ac:dyDescent="0.2">
      <c r="G18" s="77" t="s">
        <v>39</v>
      </c>
      <c r="H18" s="78"/>
      <c r="I18" s="78"/>
      <c r="J18" s="78"/>
      <c r="K18" s="78"/>
      <c r="L18" s="79"/>
      <c r="M18" s="43"/>
    </row>
    <row r="19" spans="7:13" ht="19" customHeight="1" x14ac:dyDescent="0.2">
      <c r="G19" s="48" t="s">
        <v>187</v>
      </c>
      <c r="H19" s="49"/>
      <c r="I19" s="49">
        <v>16</v>
      </c>
      <c r="J19" s="53"/>
      <c r="K19" s="53"/>
      <c r="L19" s="49">
        <v>0</v>
      </c>
      <c r="M19" s="18"/>
    </row>
    <row r="20" spans="7:13" ht="19" customHeight="1" x14ac:dyDescent="0.2">
      <c r="G20" s="48" t="s">
        <v>188</v>
      </c>
      <c r="H20" s="49"/>
      <c r="I20" s="49">
        <v>17</v>
      </c>
      <c r="J20" s="53"/>
      <c r="K20" s="53"/>
      <c r="L20" s="49">
        <v>0</v>
      </c>
      <c r="M20" s="18"/>
    </row>
    <row r="21" spans="7:13" ht="19" customHeight="1" x14ac:dyDescent="0.2">
      <c r="G21" s="48" t="s">
        <v>189</v>
      </c>
      <c r="H21" s="49"/>
      <c r="I21" s="49">
        <v>18</v>
      </c>
      <c r="J21" s="53"/>
      <c r="K21" s="53"/>
      <c r="L21" s="49">
        <v>0</v>
      </c>
      <c r="M21" s="18"/>
    </row>
    <row r="22" spans="7:13" ht="19" customHeight="1" x14ac:dyDescent="0.2">
      <c r="G22" s="64" t="s">
        <v>40</v>
      </c>
      <c r="H22" s="65"/>
      <c r="I22" s="65"/>
      <c r="J22" s="65"/>
      <c r="K22" s="65"/>
      <c r="L22" s="66"/>
      <c r="M22" s="38"/>
    </row>
    <row r="23" spans="7:13" ht="19" customHeight="1" x14ac:dyDescent="0.2">
      <c r="G23" s="50" t="s">
        <v>190</v>
      </c>
      <c r="H23" s="51"/>
      <c r="I23" s="51">
        <v>20</v>
      </c>
      <c r="J23" s="54"/>
      <c r="K23" s="54"/>
      <c r="L23" s="51">
        <v>0</v>
      </c>
      <c r="M23" s="36"/>
    </row>
    <row r="24" spans="7:13" ht="19" customHeight="1" x14ac:dyDescent="0.2">
      <c r="G24" s="50" t="s">
        <v>191</v>
      </c>
      <c r="H24" s="51"/>
      <c r="I24" s="51">
        <v>21</v>
      </c>
      <c r="J24" s="54"/>
      <c r="K24" s="54"/>
      <c r="L24" s="51">
        <v>0</v>
      </c>
      <c r="M24" s="36"/>
    </row>
    <row r="25" spans="7:13" ht="19" customHeight="1" x14ac:dyDescent="0.2">
      <c r="G25" s="50" t="s">
        <v>192</v>
      </c>
      <c r="H25" s="51"/>
      <c r="I25" s="51">
        <v>22</v>
      </c>
      <c r="J25" s="54"/>
      <c r="K25" s="54"/>
      <c r="L25" s="51">
        <v>0</v>
      </c>
      <c r="M25" s="36"/>
    </row>
    <row r="26" spans="7:13" ht="19" customHeight="1" x14ac:dyDescent="0.2">
      <c r="G26" s="74" t="s">
        <v>45</v>
      </c>
      <c r="H26" s="75"/>
      <c r="I26" s="75"/>
      <c r="J26" s="75"/>
      <c r="K26" s="75"/>
      <c r="L26" s="76"/>
      <c r="M26" s="42"/>
    </row>
    <row r="27" spans="7:13" ht="19" customHeight="1" x14ac:dyDescent="0.2">
      <c r="G27" s="46" t="s">
        <v>193</v>
      </c>
      <c r="H27" s="47"/>
      <c r="I27" s="47">
        <v>24</v>
      </c>
      <c r="J27" s="52"/>
      <c r="K27" s="52"/>
      <c r="L27" s="47">
        <v>0</v>
      </c>
      <c r="M27" s="40"/>
    </row>
    <row r="28" spans="7:13" ht="19" customHeight="1" x14ac:dyDescent="0.2">
      <c r="G28" s="46" t="s">
        <v>194</v>
      </c>
      <c r="H28" s="47"/>
      <c r="I28" s="47">
        <v>25</v>
      </c>
      <c r="J28" s="52"/>
      <c r="K28" s="52"/>
      <c r="L28" s="47">
        <v>0</v>
      </c>
      <c r="M28" s="40"/>
    </row>
    <row r="29" spans="7:13" ht="19" customHeight="1" x14ac:dyDescent="0.2">
      <c r="G29" s="46" t="s">
        <v>195</v>
      </c>
      <c r="H29" s="47"/>
      <c r="I29" s="47">
        <v>26</v>
      </c>
      <c r="J29" s="52"/>
      <c r="K29" s="52"/>
      <c r="L29" s="47">
        <v>0</v>
      </c>
      <c r="M29" s="40"/>
    </row>
    <row r="30" spans="7:13" ht="19" customHeight="1" x14ac:dyDescent="0.2">
      <c r="G30" s="77" t="s">
        <v>196</v>
      </c>
      <c r="H30" s="78"/>
      <c r="I30" s="78"/>
      <c r="J30" s="78"/>
      <c r="K30" s="78"/>
      <c r="L30" s="79"/>
      <c r="M30" s="43"/>
    </row>
    <row r="31" spans="7:13" ht="19" customHeight="1" x14ac:dyDescent="0.2">
      <c r="G31" s="48" t="s">
        <v>197</v>
      </c>
      <c r="H31" s="49"/>
      <c r="I31" s="49">
        <v>28</v>
      </c>
      <c r="J31" s="53"/>
      <c r="K31" s="53"/>
      <c r="L31" s="49">
        <v>0</v>
      </c>
      <c r="M31" s="18"/>
    </row>
    <row r="32" spans="7:13" ht="19" customHeight="1" x14ac:dyDescent="0.2">
      <c r="G32" s="48" t="s">
        <v>198</v>
      </c>
      <c r="H32" s="49"/>
      <c r="I32" s="49">
        <v>29</v>
      </c>
      <c r="J32" s="53"/>
      <c r="K32" s="53"/>
      <c r="L32" s="49">
        <v>0</v>
      </c>
      <c r="M32" s="18"/>
    </row>
    <row r="33" spans="1:13" ht="19" customHeight="1" x14ac:dyDescent="0.2">
      <c r="G33" s="48" t="s">
        <v>199</v>
      </c>
      <c r="H33" s="49"/>
      <c r="I33" s="49">
        <v>30</v>
      </c>
      <c r="J33" s="53"/>
      <c r="K33" s="53"/>
      <c r="L33" s="49">
        <v>0</v>
      </c>
      <c r="M33" s="18"/>
    </row>
    <row r="34" spans="1:13" ht="19" customHeight="1" x14ac:dyDescent="0.2">
      <c r="G34" s="64" t="s">
        <v>46</v>
      </c>
      <c r="H34" s="65"/>
      <c r="I34" s="65"/>
      <c r="J34" s="65"/>
      <c r="K34" s="65"/>
      <c r="L34" s="66"/>
      <c r="M34" s="38"/>
    </row>
    <row r="35" spans="1:13" ht="19" customHeight="1" x14ac:dyDescent="0.2">
      <c r="G35" s="50" t="s">
        <v>200</v>
      </c>
      <c r="H35" s="51"/>
      <c r="I35" s="51">
        <v>32</v>
      </c>
      <c r="J35" s="54"/>
      <c r="K35" s="54"/>
      <c r="L35" s="51">
        <v>0</v>
      </c>
      <c r="M35" s="36"/>
    </row>
    <row r="36" spans="1:13" ht="19" customHeight="1" x14ac:dyDescent="0.2">
      <c r="G36" s="50" t="s">
        <v>201</v>
      </c>
      <c r="H36" s="51"/>
      <c r="I36" s="51">
        <v>33</v>
      </c>
      <c r="J36" s="54"/>
      <c r="K36" s="54"/>
      <c r="L36" s="51">
        <v>0</v>
      </c>
      <c r="M36" s="36"/>
    </row>
    <row r="37" spans="1:13" ht="19" customHeight="1" x14ac:dyDescent="0.2">
      <c r="G37" s="50" t="s">
        <v>202</v>
      </c>
      <c r="H37" s="51"/>
      <c r="I37" s="51">
        <v>34</v>
      </c>
      <c r="J37" s="54"/>
      <c r="K37" s="54"/>
      <c r="L37" s="51">
        <v>0</v>
      </c>
      <c r="M37" s="36"/>
    </row>
    <row r="38" spans="1:13" x14ac:dyDescent="0.2">
      <c r="G38" s="12"/>
      <c r="H38" s="12"/>
      <c r="I38" s="12"/>
      <c r="J38" s="12"/>
      <c r="K38" s="12"/>
    </row>
    <row r="39" spans="1:13" ht="21" customHeight="1" x14ac:dyDescent="0.2">
      <c r="A39" s="68" t="s">
        <v>27</v>
      </c>
      <c r="B39" s="69"/>
      <c r="C39" s="70"/>
      <c r="D39" s="37"/>
      <c r="E39" s="11"/>
      <c r="F39" s="11"/>
    </row>
    <row r="40" spans="1:13" ht="20" x14ac:dyDescent="0.2">
      <c r="A40" s="4" t="s">
        <v>3</v>
      </c>
      <c r="B40" s="4" t="s">
        <v>1</v>
      </c>
      <c r="C40" s="4" t="s">
        <v>2</v>
      </c>
      <c r="D40" s="36"/>
    </row>
    <row r="41" spans="1:13" ht="20" x14ac:dyDescent="0.2">
      <c r="A41" s="4" t="s">
        <v>28</v>
      </c>
      <c r="B41" s="4">
        <v>0</v>
      </c>
      <c r="C41" s="4">
        <v>0</v>
      </c>
      <c r="D41" s="36"/>
    </row>
    <row r="42" spans="1:13" ht="20" x14ac:dyDescent="0.2">
      <c r="A42" s="4" t="s">
        <v>53</v>
      </c>
      <c r="B42" s="4">
        <v>0</v>
      </c>
      <c r="C42" s="4">
        <v>1</v>
      </c>
      <c r="D42" s="36"/>
    </row>
    <row r="43" spans="1:13" ht="20" x14ac:dyDescent="0.2">
      <c r="A43" s="4" t="s">
        <v>54</v>
      </c>
      <c r="B43" s="4">
        <v>0</v>
      </c>
      <c r="C43" s="4">
        <v>2</v>
      </c>
      <c r="D43" s="36"/>
    </row>
    <row r="44" spans="1:13" ht="20" x14ac:dyDescent="0.2">
      <c r="A44" s="4" t="s">
        <v>55</v>
      </c>
      <c r="B44" s="4">
        <v>0</v>
      </c>
      <c r="C44" s="4">
        <v>3</v>
      </c>
      <c r="D44" s="36"/>
    </row>
    <row r="45" spans="1:13" ht="20" x14ac:dyDescent="0.2">
      <c r="A45" s="4" t="s">
        <v>56</v>
      </c>
      <c r="B45" s="4">
        <v>0</v>
      </c>
      <c r="C45" s="4">
        <v>4</v>
      </c>
      <c r="D45" s="36"/>
    </row>
    <row r="46" spans="1:13" ht="20" x14ac:dyDescent="0.2">
      <c r="A46" s="4" t="s">
        <v>57</v>
      </c>
      <c r="B46" s="4">
        <v>0</v>
      </c>
      <c r="C46" s="4">
        <v>5</v>
      </c>
      <c r="D46" s="36"/>
    </row>
    <row r="47" spans="1:13" ht="20" x14ac:dyDescent="0.2">
      <c r="A47" s="4" t="s">
        <v>58</v>
      </c>
      <c r="B47" s="4">
        <v>0</v>
      </c>
      <c r="C47" s="4">
        <v>6</v>
      </c>
      <c r="D47" s="36"/>
    </row>
    <row r="48" spans="1:13" ht="111" customHeight="1" x14ac:dyDescent="0.2">
      <c r="A48" s="4" t="s">
        <v>59</v>
      </c>
      <c r="B48" s="4">
        <v>0</v>
      </c>
      <c r="C48" s="4">
        <v>7</v>
      </c>
      <c r="D48" s="36"/>
    </row>
    <row r="49" spans="1:23" ht="112" customHeight="1" x14ac:dyDescent="0.2">
      <c r="A49" s="4" t="s">
        <v>60</v>
      </c>
      <c r="B49" s="4">
        <v>0</v>
      </c>
      <c r="C49" s="4">
        <v>8</v>
      </c>
      <c r="D49" s="36"/>
    </row>
    <row r="50" spans="1:23" ht="90" customHeight="1" x14ac:dyDescent="0.2">
      <c r="S50" s="15"/>
    </row>
    <row r="51" spans="1:23" ht="20" x14ac:dyDescent="0.2">
      <c r="B51" s="2" t="s">
        <v>5</v>
      </c>
      <c r="D51" s="2" t="s">
        <v>36</v>
      </c>
      <c r="E51" s="20" t="s">
        <v>165</v>
      </c>
      <c r="F51" s="20" t="s">
        <v>37</v>
      </c>
      <c r="G51" s="2" t="s">
        <v>166</v>
      </c>
      <c r="H51" s="2" t="s">
        <v>41</v>
      </c>
      <c r="I51" s="2" t="s">
        <v>167</v>
      </c>
      <c r="J51" s="12"/>
      <c r="K51" s="2" t="s">
        <v>42</v>
      </c>
      <c r="L51" s="2" t="s">
        <v>168</v>
      </c>
      <c r="M51" s="28" t="s">
        <v>43</v>
      </c>
      <c r="N51" s="28" t="s">
        <v>169</v>
      </c>
      <c r="O51" s="28" t="s">
        <v>44</v>
      </c>
      <c r="P51" s="2" t="s">
        <v>170</v>
      </c>
      <c r="R51" s="2" t="s">
        <v>47</v>
      </c>
      <c r="S51" s="2" t="s">
        <v>171</v>
      </c>
      <c r="T51" s="28" t="s">
        <v>48</v>
      </c>
      <c r="U51" s="28" t="s">
        <v>172</v>
      </c>
      <c r="V51" s="28" t="s">
        <v>49</v>
      </c>
      <c r="W51" s="2" t="s">
        <v>173</v>
      </c>
    </row>
    <row r="52" spans="1:23" x14ac:dyDescent="0.2">
      <c r="B52" s="4">
        <v>0</v>
      </c>
      <c r="D52" s="4">
        <v>0</v>
      </c>
      <c r="E52" s="4">
        <f>COUNTIFS(E82:E181, "=0",$B$82:$B$181, "&lt;2000")</f>
        <v>2</v>
      </c>
      <c r="F52" s="21">
        <v>4</v>
      </c>
      <c r="G52" s="4">
        <f>COUNTIFS(G82:G181, "=0",$B$82:$B$181, "&lt;2000")</f>
        <v>2</v>
      </c>
      <c r="H52" s="4">
        <v>8</v>
      </c>
      <c r="I52" s="4">
        <f>COUNTIFS(I82:I181, "=0",$B$82:$B$181, "&lt;2000")</f>
        <v>0</v>
      </c>
      <c r="K52" s="4">
        <v>12</v>
      </c>
      <c r="L52" s="4">
        <f>COUNTIFS(L82:L181, "=0",$B$82:$B$181, "&lt;2000")</f>
        <v>0</v>
      </c>
      <c r="M52" s="29">
        <v>16</v>
      </c>
      <c r="N52" s="4">
        <f>COUNTIFS(N82:N181, "=0",$B$82:$B$181, "&lt;2000")</f>
        <v>0</v>
      </c>
      <c r="O52" s="29">
        <v>20</v>
      </c>
      <c r="P52" s="4">
        <f>COUNTIFS(P82:P181, "=0",$B$82:$B$181, "&lt;2000")</f>
        <v>2</v>
      </c>
      <c r="R52" s="4">
        <v>24</v>
      </c>
      <c r="S52" s="4">
        <f>COUNTIFS(S82:S181, "=0",$B$82:$B$181, "&lt;2000")</f>
        <v>2</v>
      </c>
      <c r="T52" s="29">
        <v>28</v>
      </c>
      <c r="U52" s="4">
        <f>COUNTIFS(U82:U181, "=0",$B$82:$B$181, "&lt;2000")</f>
        <v>1</v>
      </c>
      <c r="V52" s="29">
        <v>32</v>
      </c>
      <c r="W52" s="4">
        <f>COUNTIFS(W82:W181, "=0",$B$82:$B$181, "&lt;2000")</f>
        <v>2</v>
      </c>
    </row>
    <row r="53" spans="1:23" x14ac:dyDescent="0.2">
      <c r="B53" s="4">
        <v>1</v>
      </c>
      <c r="D53" s="4">
        <v>0</v>
      </c>
      <c r="E53" s="4">
        <f>COUNTIFS(E82:E181, "=0",$B$82:$B$181, "&gt;=2000",$B$82:$B$181, "&lt;=2002")</f>
        <v>2</v>
      </c>
      <c r="F53" s="21">
        <v>4</v>
      </c>
      <c r="G53" s="4">
        <f>COUNTIFS(G82:G181, "=0",$B$82:$B$181, "&gt;=2000",$B$82:$B$181, "&lt;=2002")</f>
        <v>3</v>
      </c>
      <c r="H53" s="4">
        <v>8</v>
      </c>
      <c r="I53" s="4">
        <f>COUNTIFS(I82:I181, "=0",$B$82:$B$181, "&gt;=2000",$B$82:$B$181, "&lt;=2002")</f>
        <v>0</v>
      </c>
      <c r="K53" s="4">
        <v>12</v>
      </c>
      <c r="L53" s="4">
        <f>COUNTIFS(L82:L181, "=0",$B$82:$B$181, "&gt;=2000",$B$82:$B$181, "&lt;=2002")</f>
        <v>1</v>
      </c>
      <c r="M53" s="29">
        <v>16</v>
      </c>
      <c r="N53" s="4">
        <f>COUNTIFS(N82:N181, "=0",$B$82:$B$181, "&gt;=2000",$B$82:$B$181, "&lt;=2002")</f>
        <v>0</v>
      </c>
      <c r="O53" s="29">
        <v>20</v>
      </c>
      <c r="P53" s="4">
        <f>COUNTIFS(P82:P181, "=0",$B$82:$B$181, "&gt;=2000",$B$82:$B$181, "&lt;=2002")</f>
        <v>3</v>
      </c>
      <c r="R53" s="4">
        <v>24</v>
      </c>
      <c r="S53" s="4">
        <f>COUNTIFS(S82:S181, "=0",$B$82:$B$181, "&gt;=2000",$B$82:$B$181, "&lt;=2002")</f>
        <v>3</v>
      </c>
      <c r="T53" s="29">
        <v>28</v>
      </c>
      <c r="U53" s="4">
        <f>COUNTIFS(U82:U181, "=0",$B$82:$B$181, "&gt;=2000",$B$82:$B$181, "&lt;=2002")</f>
        <v>3</v>
      </c>
      <c r="V53" s="29">
        <v>32</v>
      </c>
      <c r="W53" s="4">
        <f>COUNTIFS(W82:W181, "=0",$B$82:$B$181, "&gt;=2000",$B$82:$B$181, "&lt;=2002")</f>
        <v>3</v>
      </c>
    </row>
    <row r="54" spans="1:23" x14ac:dyDescent="0.2">
      <c r="B54" s="4">
        <v>2</v>
      </c>
      <c r="D54" s="4">
        <v>0</v>
      </c>
      <c r="E54" s="4">
        <f>COUNTIFS(E82:E181, "=0",$B$82:$B$181, "&gt;=2003",$B$82:$B$181, "&lt;=2005")</f>
        <v>2</v>
      </c>
      <c r="F54" s="21">
        <v>4</v>
      </c>
      <c r="G54" s="4">
        <f>COUNTIFS(G82:G181, "=0",$B$82:$B$181, "&gt;=2003",$B$82:$B$181, "&lt;=2005")</f>
        <v>3</v>
      </c>
      <c r="H54" s="4">
        <v>8</v>
      </c>
      <c r="I54" s="4">
        <f>COUNTIFS(I82:I181, "=0",$B$82:$B$181, "&gt;=2003",$B$82:$B$181, "&lt;=2005")</f>
        <v>0</v>
      </c>
      <c r="K54" s="4">
        <v>12</v>
      </c>
      <c r="L54" s="4">
        <f>COUNTIFS(L82:L181, "=0",$B$82:$B$181, "&gt;=2003",$B$82:$B$181, "&lt;=2005")</f>
        <v>1</v>
      </c>
      <c r="M54" s="29">
        <v>16</v>
      </c>
      <c r="N54" s="4">
        <f>COUNTIFS(N82:N181, "=0",$B$82:$B$181, "&gt;=2003",$B$82:$B$181, "&lt;=2005")</f>
        <v>0</v>
      </c>
      <c r="O54" s="29">
        <v>20</v>
      </c>
      <c r="P54" s="4">
        <f>COUNTIFS(P82:P181, "=0",$B$82:$B$181, "&gt;=2003",$B$82:$B$181, "&lt;=2005")</f>
        <v>2</v>
      </c>
      <c r="R54" s="4">
        <v>24</v>
      </c>
      <c r="S54" s="4">
        <f>COUNTIFS(S82:S181, "=0",$B$82:$B$181, "&gt;=2003",$B$82:$B$181, "&lt;=2005")</f>
        <v>4</v>
      </c>
      <c r="T54" s="29">
        <v>28</v>
      </c>
      <c r="U54" s="4">
        <f>COUNTIFS(U82:U181, "=0",$B$82:$B$181, "&gt;=2003",$B$82:$B$181, "&lt;=2005")</f>
        <v>4</v>
      </c>
      <c r="V54" s="29">
        <v>32</v>
      </c>
      <c r="W54" s="4">
        <f>COUNTIFS(W82:W181, "=0",$B$82:$B$181, "&gt;=2003",$B$82:$B$181, "&lt;=2005")</f>
        <v>3</v>
      </c>
    </row>
    <row r="55" spans="1:23" x14ac:dyDescent="0.2">
      <c r="B55" s="4">
        <v>3</v>
      </c>
      <c r="D55" s="4">
        <v>0</v>
      </c>
      <c r="E55" s="4">
        <f>COUNTIFS(E82:E181, "=0",$B$82:$B$181, "&gt;=2006",$B$82:$B$181, "&lt;=2008")</f>
        <v>4</v>
      </c>
      <c r="F55" s="21">
        <v>4</v>
      </c>
      <c r="G55" s="4">
        <f>COUNTIFS(G82:G181, "=0",$B$82:$B$181, "&gt;=2006",$B$82:$B$181, "&lt;=2008")</f>
        <v>5</v>
      </c>
      <c r="H55" s="4">
        <v>8</v>
      </c>
      <c r="I55" s="4">
        <f>COUNTIFS(I82:I181, "=0",$B$82:$B$181, "&gt;=2006",$B$82:$B$181, "&lt;=2008")</f>
        <v>1</v>
      </c>
      <c r="K55" s="4">
        <v>12</v>
      </c>
      <c r="L55" s="4">
        <f>COUNTIFS(L82:L181, "=0",$B$82:$B$181, "&gt;=2006",$B$82:$B$181, "&lt;=2008")</f>
        <v>4</v>
      </c>
      <c r="M55" s="29">
        <v>16</v>
      </c>
      <c r="N55" s="4">
        <f>COUNTIFS(N82:N181, "=0",$B$82:$B$181, "&gt;=2006",$B$82:$B$181, "&lt;=2008")</f>
        <v>0</v>
      </c>
      <c r="O55" s="29">
        <v>20</v>
      </c>
      <c r="P55" s="4">
        <f>COUNTIFS(P82:P181, "=0",$B$82:$B$181, "&gt;=2006",$B$82:$B$181, "&lt;=2008")</f>
        <v>5</v>
      </c>
      <c r="R55" s="4">
        <v>24</v>
      </c>
      <c r="S55" s="4">
        <f>COUNTIFS(S82:S181, "=0",$B$82:$B$181, "&gt;=2006",$B$82:$B$181, "&lt;=2008")</f>
        <v>6</v>
      </c>
      <c r="T55" s="29">
        <v>28</v>
      </c>
      <c r="U55" s="4">
        <f>COUNTIFS(U82:U181, "=0",$B$82:$B$181, "&gt;=2006",$B$82:$B$181, "&lt;=2008")</f>
        <v>6</v>
      </c>
      <c r="V55" s="29">
        <v>32</v>
      </c>
      <c r="W55" s="4">
        <f>COUNTIFS(W82:W181, "=0",$B$82:$B$181, "&gt;=2006",$B$82:$B$181, "&lt;=2008")</f>
        <v>5</v>
      </c>
    </row>
    <row r="56" spans="1:23" x14ac:dyDescent="0.2">
      <c r="B56" s="4">
        <v>4</v>
      </c>
      <c r="D56" s="4">
        <v>0</v>
      </c>
      <c r="E56" s="4">
        <f>COUNTIFS(E82:E181, "=0",$B$82:$B$181, "&gt;=2009",$B$82:$B$181, "&lt;=2011")</f>
        <v>5</v>
      </c>
      <c r="F56" s="21">
        <v>4</v>
      </c>
      <c r="G56" s="4">
        <f>COUNTIFS(G82:G181, "=0",$B$82:$B$181, "&gt;=2009",$B$82:$B$181, "&lt;=2011")</f>
        <v>11</v>
      </c>
      <c r="H56" s="4">
        <v>8</v>
      </c>
      <c r="I56" s="4">
        <f>COUNTIFS(I82:I181, "=0",$B$82:$B$181, "&gt;=2009",$B$82:$B$181, "&lt;=2011")</f>
        <v>1</v>
      </c>
      <c r="K56" s="4">
        <v>12</v>
      </c>
      <c r="L56" s="4">
        <f>COUNTIFS(L82:L181, "=0",$B$82:$B$181, "&gt;=2009",$B$82:$B$181, "&lt;=2011")</f>
        <v>2</v>
      </c>
      <c r="M56" s="29">
        <v>16</v>
      </c>
      <c r="N56" s="4">
        <f>COUNTIFS(N82:N181, "=0",$B$82:$B$181, "&gt;=2009",$B$82:$B$181, "&lt;=2011")</f>
        <v>0</v>
      </c>
      <c r="O56" s="29">
        <v>20</v>
      </c>
      <c r="P56" s="4">
        <f>COUNTIFS(P82:P181, "=0",$B$82:$B$181, "&gt;=2009",$B$82:$B$181, "&lt;=2011")</f>
        <v>5</v>
      </c>
      <c r="R56" s="4">
        <v>24</v>
      </c>
      <c r="S56" s="4">
        <f>COUNTIFS(S82:S181, "=0",$B$82:$B$181, "&gt;=2009",$B$82:$B$181, "&lt;=2011")</f>
        <v>12</v>
      </c>
      <c r="T56" s="29">
        <v>28</v>
      </c>
      <c r="U56" s="4">
        <f>COUNTIFS(U82:U181, "=0",$B$82:$B$181, "&gt;=2009",$B$82:$B$181, "&lt;=2011")</f>
        <v>8</v>
      </c>
      <c r="V56" s="29">
        <v>32</v>
      </c>
      <c r="W56" s="4">
        <f>COUNTIFS(W82:W181, "=0",$B$82:$B$181, "&gt;=2009",$B$82:$B$181, "&lt;=2011")</f>
        <v>10</v>
      </c>
    </row>
    <row r="57" spans="1:23" x14ac:dyDescent="0.2">
      <c r="B57" s="4">
        <v>5</v>
      </c>
      <c r="D57" s="4">
        <v>0</v>
      </c>
      <c r="E57" s="4">
        <f>COUNTIFS(E82:E181, "=0",$B$82:$B$181, "&gt;=2012",$B$82:$B$181, "&lt;=2014")</f>
        <v>4</v>
      </c>
      <c r="F57" s="21">
        <v>4</v>
      </c>
      <c r="G57" s="4">
        <f>COUNTIFS(G82:G181, "=0",$B$82:$B$181, "&gt;=2012",$B$82:$B$181, "&lt;=2014")</f>
        <v>8</v>
      </c>
      <c r="H57" s="4">
        <v>8</v>
      </c>
      <c r="I57" s="4">
        <f>COUNTIFS(I82:I181, "=0",$B$82:$B$181, "&gt;=2012",$B$82:$B$181, "&lt;=2014")</f>
        <v>0</v>
      </c>
      <c r="K57" s="4">
        <v>12</v>
      </c>
      <c r="L57" s="4">
        <f>COUNTIFS(L82:L181, "=0",$B$82:$B$181, "&gt;=2012",$B$82:$B$181, "&lt;=2014")</f>
        <v>4</v>
      </c>
      <c r="M57" s="29">
        <v>16</v>
      </c>
      <c r="N57" s="4">
        <f>COUNTIFS(N82:N181, "=0",$B$82:$B$181, "&gt;=2012",$B$82:$B$181, "&lt;=2014")</f>
        <v>0</v>
      </c>
      <c r="O57" s="29">
        <v>20</v>
      </c>
      <c r="P57" s="4">
        <f>COUNTIFS(P82:P181, "=0",$B$82:$B$181, "&gt;=2012",$B$82:$B$181, "&lt;=2014")</f>
        <v>5</v>
      </c>
      <c r="R57" s="4">
        <v>24</v>
      </c>
      <c r="S57" s="4">
        <f>COUNTIFS(S82:S181, "=0",$B$82:$B$181, "&gt;=2012",$B$82:$B$181, "&lt;=2014")</f>
        <v>17</v>
      </c>
      <c r="T57" s="29">
        <v>28</v>
      </c>
      <c r="U57" s="4">
        <f>COUNTIFS(U82:U181, "=0",$B$82:$B$181, "&gt;=2012",$B$82:$B$181, "&lt;=2014")</f>
        <v>10</v>
      </c>
      <c r="V57" s="29">
        <v>32</v>
      </c>
      <c r="W57" s="4">
        <f>COUNTIFS(W82:W181, "=0",$B$82:$B$181, "&gt;=2012",$B$82:$B$181, "&lt;=2014")</f>
        <v>9</v>
      </c>
    </row>
    <row r="58" spans="1:23" x14ac:dyDescent="0.2">
      <c r="B58" s="4">
        <v>6</v>
      </c>
      <c r="D58" s="4">
        <v>0</v>
      </c>
      <c r="E58" s="4">
        <f>COUNTIFS(E82:E181, "=0",$B$82:$B$181, "&gt;=2015",$B$82:$B$181, "&lt;=2017")</f>
        <v>4</v>
      </c>
      <c r="F58" s="21">
        <v>4</v>
      </c>
      <c r="G58" s="4">
        <f>COUNTIFS(G82:G181, "=0",$B$82:$B$181, "&gt;=2015",$B$82:$B$181, "&lt;=2017")</f>
        <v>7</v>
      </c>
      <c r="H58" s="4">
        <v>8</v>
      </c>
      <c r="I58" s="4">
        <f>COUNTIFS(I82:I181, "=0",$B$82:$B$181, "&gt;=2015",$B$82:$B$181, "&lt;=2017")</f>
        <v>0</v>
      </c>
      <c r="K58" s="4">
        <v>12</v>
      </c>
      <c r="L58" s="4">
        <f>COUNTIFS(L82:L181, "=0",$B$82:$B$181, "&gt;=2015",$B$82:$B$181, "&lt;=2017")</f>
        <v>2</v>
      </c>
      <c r="M58" s="29">
        <v>16</v>
      </c>
      <c r="N58" s="4">
        <f>COUNTIFS(N82:N181, "=0",$B$82:$B$181, "&gt;=2015",$B$82:$B$181, "&lt;=2017")</f>
        <v>0</v>
      </c>
      <c r="O58" s="29">
        <v>20</v>
      </c>
      <c r="P58" s="4">
        <f>COUNTIFS(P82:P181, "=0",$B$82:$B$181, "&gt;=2015",$B$82:$B$181, "&lt;=2017")</f>
        <v>4</v>
      </c>
      <c r="R58" s="4">
        <v>24</v>
      </c>
      <c r="S58" s="4">
        <f>COUNTIFS(S82:S181, "=0",$B$82:$B$181, "&gt;=2015",$B$82:$B$181, "&lt;=2017")</f>
        <v>15</v>
      </c>
      <c r="T58" s="29">
        <v>28</v>
      </c>
      <c r="U58" s="4">
        <f>COUNTIFS(U82:U181, "=0",$B$82:$B$181, "&gt;=2015",$B$82:$B$181, "&lt;=2017")</f>
        <v>7</v>
      </c>
      <c r="V58" s="29">
        <v>32</v>
      </c>
      <c r="W58" s="4">
        <f>COUNTIFS(W82:W181, "=0",$B$82:$B$181, "&gt;=2015",$B$82:$B$181, "&lt;=2017")</f>
        <v>6</v>
      </c>
    </row>
    <row r="59" spans="1:23" x14ac:dyDescent="0.2">
      <c r="B59" s="4">
        <v>7</v>
      </c>
      <c r="D59" s="4">
        <v>0</v>
      </c>
      <c r="E59" s="4">
        <f>COUNTIFS(E82:E181, "=0",$B$82:$B$181, "&gt;=2018",$B$82:$B$181, "&lt;=2020")</f>
        <v>3</v>
      </c>
      <c r="F59" s="21">
        <v>4</v>
      </c>
      <c r="G59" s="4">
        <f>COUNTIFS(G82:G181, "=0",$B$82:$B$181, "&gt;=2018",$B$82:$B$181, "&lt;=2020")</f>
        <v>9</v>
      </c>
      <c r="H59" s="4">
        <v>8</v>
      </c>
      <c r="I59" s="4">
        <f>COUNTIFS(I82:I181, "=0",$B$82:$B$181, "&gt;=2018",$B$82:$B$181, "&lt;=2020")</f>
        <v>0</v>
      </c>
      <c r="K59" s="4">
        <v>12</v>
      </c>
      <c r="L59" s="4">
        <f>COUNTIFS(L82:L181, "=0",$B$82:$B$181, "&gt;=2018",$B$82:$B$181, "&lt;=2020")</f>
        <v>1</v>
      </c>
      <c r="M59" s="29">
        <v>16</v>
      </c>
      <c r="N59" s="4">
        <f>COUNTIFS(N82:N181, "=0",$B$82:$B$181, "&gt;=2018",$B$82:$B$181, "&lt;=2020")</f>
        <v>0</v>
      </c>
      <c r="O59" s="29">
        <v>20</v>
      </c>
      <c r="P59" s="4">
        <f>COUNTIFS(P82:P181, "=0",$B$82:$B$181, "&gt;=2018",$B$82:$B$181, "&lt;=2020")</f>
        <v>4</v>
      </c>
      <c r="R59" s="4">
        <v>24</v>
      </c>
      <c r="S59" s="4">
        <f>COUNTIFS(S82:S181, "=0",$B$82:$B$181, "&gt;=2018",$B$82:$B$181, "&lt;=2020")</f>
        <v>20</v>
      </c>
      <c r="T59" s="29">
        <v>28</v>
      </c>
      <c r="U59" s="4">
        <f>COUNTIFS(U82:U181, "=0",$B$82:$B$181, "&gt;=2018",$B$82:$B$181, "&lt;=2020")</f>
        <v>11</v>
      </c>
      <c r="V59" s="29">
        <v>32</v>
      </c>
      <c r="W59" s="4">
        <f>COUNTIFS(W82:W181, "=0",$B$82:$B$181, "&gt;=2018",$B$82:$B$181, "&lt;=2020")</f>
        <v>6</v>
      </c>
    </row>
    <row r="60" spans="1:23" x14ac:dyDescent="0.2">
      <c r="B60" s="4">
        <v>8</v>
      </c>
      <c r="D60" s="4">
        <v>0</v>
      </c>
      <c r="E60" s="4">
        <f>COUNTIFS(E82:E181, "=0",$B$82:$B$181, "&gt;=2021",$B$82:$B$181, "&lt;=2023")</f>
        <v>4</v>
      </c>
      <c r="F60" s="21">
        <v>4</v>
      </c>
      <c r="G60" s="4">
        <f>COUNTIFS(G82:G181, "=0",$B$82:$B$181, "&gt;=2021",$B$82:$B$181, "&lt;=2023")</f>
        <v>9</v>
      </c>
      <c r="H60" s="4">
        <v>8</v>
      </c>
      <c r="I60" s="4">
        <f>COUNTIFS(I82:I181, "=0",$B$82:$B$181, "&gt;=2021",$B$82:$B$181, "&lt;=2023")</f>
        <v>0</v>
      </c>
      <c r="K60" s="4">
        <v>12</v>
      </c>
      <c r="L60" s="4">
        <f>COUNTIFS(L82:L181, "=0",$B$82:$B$181, "&gt;=2021",$B$82:$B$181, "&lt;=2023")</f>
        <v>2</v>
      </c>
      <c r="M60" s="29">
        <v>16</v>
      </c>
      <c r="N60" s="4">
        <f>COUNTIFS(N82:N181, "=0",$B$82:$B$181, "&gt;=2021",$B$82:$B$181, "&lt;=2023")</f>
        <v>0</v>
      </c>
      <c r="O60" s="29">
        <v>20</v>
      </c>
      <c r="P60" s="4">
        <f>COUNTIFS(P82:P181, "=0",$B$82:$B$181, "&gt;=2021",$B$82:$B$181, "&lt;=2023")</f>
        <v>6</v>
      </c>
      <c r="R60" s="4">
        <v>24</v>
      </c>
      <c r="S60" s="4">
        <f>COUNTIFS(S82:S181, "=0",$B$82:$B$181, "&gt;=2021",$B$82:$B$181, "&lt;=2023")</f>
        <v>20</v>
      </c>
      <c r="T60" s="29">
        <v>28</v>
      </c>
      <c r="U60" s="4">
        <f>COUNTIFS(U82:U181, "=0",$B$82:$B$181, "&gt;=2021",$B$82:$B$181, "&lt;=2023")</f>
        <v>12</v>
      </c>
      <c r="V60" s="29">
        <v>32</v>
      </c>
      <c r="W60" s="4">
        <f>COUNTIFS(W82:W181, "=0",$B$82:$B$181, "&gt;=2021",$B$82:$B$181, "&lt;=2023")</f>
        <v>10</v>
      </c>
    </row>
    <row r="61" spans="1:23" x14ac:dyDescent="0.2">
      <c r="B61" s="5">
        <v>0</v>
      </c>
      <c r="D61" s="5">
        <v>1</v>
      </c>
      <c r="E61" s="5">
        <f>COUNTIFS(E82:E181, "=1",$B$82:$B$181, "&lt;2000")</f>
        <v>0</v>
      </c>
      <c r="F61" s="22">
        <v>5</v>
      </c>
      <c r="G61" s="5">
        <f>COUNTIFS(G82:G181, "=1",$B$82:$B$181, "&lt;2000")</f>
        <v>0</v>
      </c>
      <c r="H61" s="5">
        <v>9</v>
      </c>
      <c r="I61" s="5">
        <f>COUNTIFS(I82:I181, "=1",$B$82:$B$181, "&lt;2000")</f>
        <v>1</v>
      </c>
      <c r="K61" s="5">
        <v>13</v>
      </c>
      <c r="L61" s="5">
        <f>COUNTIFS(L82:L181, "=1",$B$82:$B$181, "&lt;2000")</f>
        <v>2</v>
      </c>
      <c r="M61" s="30">
        <v>17</v>
      </c>
      <c r="N61" s="5">
        <f>COUNTIFS(N82:N181, "=1",$B$82:$B$181, "&lt;2000")</f>
        <v>0</v>
      </c>
      <c r="O61" s="30">
        <v>21</v>
      </c>
      <c r="P61" s="5">
        <f>COUNTIFS(P82:P181, "=1",$B$82:$B$181, "&lt;2000")</f>
        <v>0</v>
      </c>
      <c r="R61" s="5">
        <v>25</v>
      </c>
      <c r="S61" s="5">
        <f>COUNTIFS(S82:S181, "=1",$B$82:$B$181, "&lt;2000")</f>
        <v>0</v>
      </c>
      <c r="T61" s="30">
        <v>29</v>
      </c>
      <c r="U61" s="5">
        <f>COUNTIFS(U82:U181, "=1",$B$82:$B$181, "&lt;2000")</f>
        <v>0</v>
      </c>
      <c r="V61" s="30">
        <v>33</v>
      </c>
      <c r="W61" s="5">
        <f>COUNTIFS(W82:W181, "=1",$B$82:$B$181, "&lt;2000")</f>
        <v>0</v>
      </c>
    </row>
    <row r="62" spans="1:23" x14ac:dyDescent="0.2">
      <c r="B62" s="5">
        <v>1</v>
      </c>
      <c r="D62" s="5">
        <v>1</v>
      </c>
      <c r="E62" s="5">
        <f>COUNTIFS(E82:E181, "=1",$B$82:$B$181, "&gt;=2000",$B$82:$B$181, "&lt;=2002")</f>
        <v>1</v>
      </c>
      <c r="F62" s="22">
        <v>5</v>
      </c>
      <c r="G62" s="5">
        <f>COUNTIFS(G82:G181, "=1",$B$82:$B$181, "&gt;=2000",$B$82:$B$181, "&lt;=2002")</f>
        <v>0</v>
      </c>
      <c r="H62" s="5">
        <v>9</v>
      </c>
      <c r="I62" s="5">
        <f>COUNTIFS(I82:I181, "=1",$B$82:$B$181, "&gt;=2000",$B$82:$B$181, "&lt;=2002")</f>
        <v>3</v>
      </c>
      <c r="K62" s="5">
        <v>13</v>
      </c>
      <c r="L62" s="5">
        <f>COUNTIFS(L82:L181, "=1",$B$82:$B$181, "&gt;=2000",$B$82:$B$181, "&lt;=2002")</f>
        <v>2</v>
      </c>
      <c r="M62" s="30">
        <v>17</v>
      </c>
      <c r="N62" s="5">
        <f>COUNTIFS(N82:N181, "=1",$B$82:$B$181, "&gt;=2000",$B$82:$B$181, "&lt;=2002")</f>
        <v>0</v>
      </c>
      <c r="O62" s="30">
        <v>21</v>
      </c>
      <c r="P62" s="5">
        <f>COUNTIFS(P82:P181, "=1",$B$82:$B$181, "&gt;=2000",$B$82:$B$181, "&lt;=2002")</f>
        <v>0</v>
      </c>
      <c r="R62" s="5">
        <v>25</v>
      </c>
      <c r="S62" s="5">
        <f>COUNTIFS(S82:S181, "=1",$B$82:$B$181, "&gt;=2000",$B$82:$B$181, "&lt;=2002")</f>
        <v>0</v>
      </c>
      <c r="T62" s="30">
        <v>29</v>
      </c>
      <c r="U62" s="5">
        <f>COUNTIFS(U82:U181, "=1",$B$82:$B$181, "&gt;=2000",$B$82:$B$181, "&lt;=2002")</f>
        <v>0</v>
      </c>
      <c r="V62" s="30">
        <v>33</v>
      </c>
      <c r="W62" s="5">
        <f>COUNTIFS(W82:W181, "=1",$B$82:$B$181, "&gt;=2000",$B$82:$B$181, "&lt;=2002")</f>
        <v>0</v>
      </c>
    </row>
    <row r="63" spans="1:23" x14ac:dyDescent="0.2">
      <c r="B63" s="5">
        <v>2</v>
      </c>
      <c r="D63" s="5">
        <v>1</v>
      </c>
      <c r="E63" s="5">
        <f>COUNTIFS(E82:E181, "=1",$B$82:$B$181, "&gt;=2003",$B$82:$B$181, "&lt;=2005")</f>
        <v>2</v>
      </c>
      <c r="F63" s="22">
        <v>5</v>
      </c>
      <c r="G63" s="5">
        <f>COUNTIFS(G82:G181, "=1",$B$82:$B$181, "&gt;=2003",$B$82:$B$181, "&lt;=2005")</f>
        <v>0</v>
      </c>
      <c r="H63" s="5">
        <v>9</v>
      </c>
      <c r="I63" s="5">
        <f>COUNTIFS(I82:I181, "=1",$B$82:$B$181, "&gt;=2003",$B$82:$B$181, "&lt;=2005")</f>
        <v>2</v>
      </c>
      <c r="K63" s="5">
        <v>13</v>
      </c>
      <c r="L63" s="5">
        <f>COUNTIFS(L82:L181, "=1",$B$82:$B$181, "&gt;=2003",$B$82:$B$181, "&lt;=2005")</f>
        <v>3</v>
      </c>
      <c r="M63" s="30">
        <v>17</v>
      </c>
      <c r="N63" s="5">
        <f>COUNTIFS(N82:N181, "=1",$B$82:$B$181, "&gt;=2003",$B$82:$B$181, "&lt;=2005")</f>
        <v>1</v>
      </c>
      <c r="O63" s="30">
        <v>21</v>
      </c>
      <c r="P63" s="5">
        <f>COUNTIFS(P82:P181, "=1",$B$82:$B$181, "&gt;=2003",$B$82:$B$181, "&lt;=2005")</f>
        <v>2</v>
      </c>
      <c r="R63" s="5">
        <v>25</v>
      </c>
      <c r="S63" s="5">
        <f>COUNTIFS(S82:S181, "=1",$B$82:$B$181, "&gt;=2003",$B$82:$B$181, "&lt;=2005")</f>
        <v>0</v>
      </c>
      <c r="T63" s="30">
        <v>29</v>
      </c>
      <c r="U63" s="5">
        <f>COUNTIFS(U82:U181, "=1",$B$82:$B$181, "&gt;=2003",$B$82:$B$181, "&lt;=2005")</f>
        <v>0</v>
      </c>
      <c r="V63" s="30">
        <v>33</v>
      </c>
      <c r="W63" s="5">
        <f>COUNTIFS(W82:W181, "=1",$B$82:$B$181, "&gt;=2003",$B$82:$B$181, "&lt;=2005")</f>
        <v>1</v>
      </c>
    </row>
    <row r="64" spans="1:23" x14ac:dyDescent="0.2">
      <c r="B64" s="5">
        <v>3</v>
      </c>
      <c r="D64" s="5">
        <v>1</v>
      </c>
      <c r="E64" s="5">
        <f>COUNTIFS(E82:E181, "=1",$B$82:$B$181, "&gt;=2006",$B$82:$B$181, "&lt;=2008")</f>
        <v>2</v>
      </c>
      <c r="F64" s="22">
        <v>5</v>
      </c>
      <c r="G64" s="5">
        <f>COUNTIFS(G82:G181, "=1",$B$82:$B$181, "&gt;=2006",$B$82:$B$181, "&lt;=2008")</f>
        <v>1</v>
      </c>
      <c r="H64" s="5">
        <v>9</v>
      </c>
      <c r="I64" s="5">
        <f>COUNTIFS(I82:I181, "=1",$B$82:$B$181, "&gt;=2006",$B$82:$B$181, "&lt;=2008")</f>
        <v>5</v>
      </c>
      <c r="K64" s="5">
        <v>13</v>
      </c>
      <c r="L64" s="5">
        <f>COUNTIFS(L82:L181, "=1",$B$82:$B$181, "&gt;=2006",$B$82:$B$181, "&lt;=2008")</f>
        <v>2</v>
      </c>
      <c r="M64" s="30">
        <v>17</v>
      </c>
      <c r="N64" s="5">
        <f>COUNTIFS(N82:N181, "=1",$B$82:$B$181, "&gt;=2006",$B$82:$B$181, "&lt;=2008")</f>
        <v>0</v>
      </c>
      <c r="O64" s="30">
        <v>21</v>
      </c>
      <c r="P64" s="5">
        <f>COUNTIFS(P82:P181, "=1",$B$82:$B$181, "&gt;=2006",$B$82:$B$181, "&lt;=2008")</f>
        <v>1</v>
      </c>
      <c r="R64" s="5">
        <v>25</v>
      </c>
      <c r="S64" s="5">
        <f>COUNTIFS(S82:S181, "=1",$B$82:$B$181, "&gt;=2006",$B$82:$B$181, "&lt;=2008")</f>
        <v>0</v>
      </c>
      <c r="T64" s="30">
        <v>29</v>
      </c>
      <c r="U64" s="5">
        <f>COUNTIFS(U82:U181, "=1",$B$82:$B$181, "&gt;=2006",$B$82:$B$181, "&lt;=2008")</f>
        <v>0</v>
      </c>
      <c r="V64" s="30">
        <v>33</v>
      </c>
      <c r="W64" s="5">
        <f>COUNTIFS(W82:W181, "=1",$B$82:$B$181, "&gt;=2006",$B$82:$B$181, "&lt;=2008")</f>
        <v>1</v>
      </c>
    </row>
    <row r="65" spans="2:23" x14ac:dyDescent="0.2">
      <c r="B65" s="5">
        <v>4</v>
      </c>
      <c r="D65" s="5">
        <v>1</v>
      </c>
      <c r="E65" s="5">
        <f>COUNTIFS(E82:E181, "=1",$B$82:$B$181, "&gt;=2009",$B$82:$B$181, "&lt;=2011")</f>
        <v>7</v>
      </c>
      <c r="F65" s="22">
        <v>5</v>
      </c>
      <c r="G65" s="5">
        <f>COUNTIFS(G82:G181, "=1",$B$82:$B$181, "&gt;=2009",$B$82:$B$181, "&lt;=2011")</f>
        <v>1</v>
      </c>
      <c r="H65" s="5">
        <v>9</v>
      </c>
      <c r="I65" s="5">
        <f>COUNTIFS(I82:I181, "=1",$B$82:$B$181, "&gt;=2009",$B$82:$B$181, "&lt;=2011")</f>
        <v>8</v>
      </c>
      <c r="K65" s="5">
        <v>13</v>
      </c>
      <c r="L65" s="5">
        <f>COUNTIFS(L82:L181, "=1",$B$82:$B$181, "&gt;=2009",$B$82:$B$181, "&lt;=2011")</f>
        <v>8</v>
      </c>
      <c r="M65" s="30">
        <v>17</v>
      </c>
      <c r="N65" s="5">
        <f>COUNTIFS(N82:N181, "=1",$B$82:$B$181, "&gt;=2009",$B$82:$B$181, "&lt;=2011")</f>
        <v>3</v>
      </c>
      <c r="O65" s="30">
        <v>21</v>
      </c>
      <c r="P65" s="5">
        <f>COUNTIFS(P82:P181, "=1",$B$82:$B$181, "&gt;=2009",$B$82:$B$181, "&lt;=2011")</f>
        <v>2</v>
      </c>
      <c r="R65" s="5">
        <v>25</v>
      </c>
      <c r="S65" s="5">
        <f>COUNTIFS(S82:S181, "=1",$B$82:$B$181, "&gt;=2009",$B$82:$B$181, "&lt;=2011")</f>
        <v>0</v>
      </c>
      <c r="T65" s="30">
        <v>29</v>
      </c>
      <c r="U65" s="5">
        <f>COUNTIFS(U82:U181, "=1",$B$82:$B$181, "&gt;=2009",$B$82:$B$181, "&lt;=2011")</f>
        <v>0</v>
      </c>
      <c r="V65" s="30">
        <v>33</v>
      </c>
      <c r="W65" s="5">
        <f>COUNTIFS(W82:W181, "=1",$B$82:$B$181, "&gt;=2009",$B$82:$B$181, "&lt;=2011")</f>
        <v>2</v>
      </c>
    </row>
    <row r="66" spans="2:23" x14ac:dyDescent="0.2">
      <c r="B66" s="5">
        <v>5</v>
      </c>
      <c r="D66" s="5">
        <v>1</v>
      </c>
      <c r="E66" s="5">
        <f>COUNTIFS(E82:E181, "=1",$B$82:$B$181, "&gt;=2012",$B$82:$B$181, "&lt;=2014")</f>
        <v>12</v>
      </c>
      <c r="F66" s="22">
        <v>5</v>
      </c>
      <c r="G66" s="5">
        <f>COUNTIFS(G82:G181, "=1",$B$82:$B$181, "&gt;=2012",$B$82:$B$181, "&lt;=2014")</f>
        <v>9</v>
      </c>
      <c r="H66" s="5">
        <v>9</v>
      </c>
      <c r="I66" s="5">
        <f>COUNTIFS(I82:I181, "=1",$B$82:$B$181, "&gt;=2012",$B$82:$B$181, "&lt;=2014")</f>
        <v>14</v>
      </c>
      <c r="K66" s="5">
        <v>13</v>
      </c>
      <c r="L66" s="5">
        <f>COUNTIFS(L82:L181, "=1",$B$82:$B$181, "&gt;=2012",$B$82:$B$181, "&lt;=2014")</f>
        <v>14</v>
      </c>
      <c r="M66" s="30">
        <v>17</v>
      </c>
      <c r="N66" s="5">
        <f>COUNTIFS(N82:N181, "=1",$B$82:$B$181, "&gt;=2012",$B$82:$B$181, "&lt;=2014")</f>
        <v>5</v>
      </c>
      <c r="O66" s="30">
        <v>21</v>
      </c>
      <c r="P66" s="5">
        <f>COUNTIFS(P82:P181, "=1",$B$82:$B$181, "&gt;=2012",$B$82:$B$181, "&lt;=2014")</f>
        <v>11</v>
      </c>
      <c r="R66" s="5">
        <v>25</v>
      </c>
      <c r="S66" s="5">
        <f>COUNTIFS(S82:S181, "=1",$B$82:$B$181, "&gt;=2012",$B$82:$B$181, "&lt;=2014")</f>
        <v>0</v>
      </c>
      <c r="T66" s="30">
        <v>29</v>
      </c>
      <c r="U66" s="5">
        <f>COUNTIFS(U82:U181, "=1",$B$82:$B$181, "&gt;=2012",$B$82:$B$181, "&lt;=2014")</f>
        <v>0</v>
      </c>
      <c r="V66" s="30">
        <v>33</v>
      </c>
      <c r="W66" s="5">
        <f>COUNTIFS(W82:W181, "=1",$B$82:$B$181, "&gt;=2012",$B$82:$B$181, "&lt;=2014")</f>
        <v>9</v>
      </c>
    </row>
    <row r="67" spans="2:23" x14ac:dyDescent="0.2">
      <c r="B67" s="5">
        <v>6</v>
      </c>
      <c r="D67" s="5">
        <v>1</v>
      </c>
      <c r="E67" s="5">
        <f>COUNTIFS(E82:E181, "=1",$B$82:$B$181, "&gt;=2015",$B$82:$B$181, "&lt;=2017")</f>
        <v>10</v>
      </c>
      <c r="F67" s="22">
        <v>5</v>
      </c>
      <c r="G67" s="5">
        <f>COUNTIFS(G82:G181, "=1",$B$82:$B$181, "&gt;=2015",$B$82:$B$181, "&lt;=2017")</f>
        <v>7</v>
      </c>
      <c r="H67" s="5">
        <v>9</v>
      </c>
      <c r="I67" s="5">
        <f>COUNTIFS(I82:I181, "=1",$B$82:$B$181, "&gt;=2015",$B$82:$B$181, "&lt;=2017")</f>
        <v>7</v>
      </c>
      <c r="K67" s="5">
        <v>13</v>
      </c>
      <c r="L67" s="5">
        <f>COUNTIFS(L82:L181, "=1",$B$82:$B$181, "&gt;=2015",$B$82:$B$181, "&lt;=2017")</f>
        <v>13</v>
      </c>
      <c r="M67" s="30">
        <v>17</v>
      </c>
      <c r="N67" s="5">
        <f>COUNTIFS(N82:N181, "=1",$B$82:$B$181, "&gt;=2015",$B$82:$B$181, "&lt;=2017")</f>
        <v>2</v>
      </c>
      <c r="O67" s="30">
        <v>21</v>
      </c>
      <c r="P67" s="5">
        <f>COUNTIFS(P82:P181, "=1",$B$82:$B$181, "&gt;=2015",$B$82:$B$181, "&lt;=2017")</f>
        <v>7</v>
      </c>
      <c r="R67" s="5">
        <v>25</v>
      </c>
      <c r="S67" s="5">
        <f>COUNTIFS(S82:S181, "=1",$B$82:$B$181, "&gt;=2015",$B$82:$B$181, "&lt;=2017")</f>
        <v>0</v>
      </c>
      <c r="T67" s="30">
        <v>29</v>
      </c>
      <c r="U67" s="5">
        <f>COUNTIFS(U82:U181, "=1",$B$82:$B$181, "&gt;=2015",$B$82:$B$181, "&lt;=2017")</f>
        <v>0</v>
      </c>
      <c r="V67" s="30">
        <v>33</v>
      </c>
      <c r="W67" s="5">
        <f>COUNTIFS(W82:W181, "=1",$B$82:$B$181, "&gt;=2015",$B$82:$B$181, "&lt;=2017")</f>
        <v>9</v>
      </c>
    </row>
    <row r="68" spans="2:23" x14ac:dyDescent="0.2">
      <c r="B68" s="5">
        <v>7</v>
      </c>
      <c r="D68" s="5">
        <v>1</v>
      </c>
      <c r="E68" s="5">
        <f>COUNTIFS(E82:E181, "=1",$B$82:$B$181, "&gt;=2018",$B$82:$B$181, "&lt;=2020")</f>
        <v>14</v>
      </c>
      <c r="F68" s="22">
        <v>5</v>
      </c>
      <c r="G68" s="5">
        <f>COUNTIFS(G82:G181, "=1",$B$82:$B$181, "&gt;=2018",$B$82:$B$181, "&lt;=2020")</f>
        <v>7</v>
      </c>
      <c r="H68" s="5">
        <v>9</v>
      </c>
      <c r="I68" s="5">
        <f>COUNTIFS(I82:I181, "=1",$B$82:$B$181, "&gt;=2018",$B$82:$B$181, "&lt;=2020")</f>
        <v>11</v>
      </c>
      <c r="K68" s="5">
        <v>13</v>
      </c>
      <c r="L68" s="5">
        <f>COUNTIFS(L82:L181, "=1",$B$82:$B$181, "&gt;=2018",$B$82:$B$181, "&lt;=2020")</f>
        <v>18</v>
      </c>
      <c r="M68" s="30">
        <v>17</v>
      </c>
      <c r="N68" s="5">
        <f>COUNTIFS(N82:N181, "=1",$B$82:$B$181, "&gt;=2018",$B$82:$B$181, "&lt;=2020")</f>
        <v>4</v>
      </c>
      <c r="O68" s="30">
        <v>21</v>
      </c>
      <c r="P68" s="5">
        <f>COUNTIFS(P82:P181, "=1",$B$82:$B$181, "&gt;=2018",$B$82:$B$181, "&lt;=2020")</f>
        <v>12</v>
      </c>
      <c r="R68" s="5">
        <v>25</v>
      </c>
      <c r="S68" s="5">
        <f>COUNTIFS(S82:S181, "=1",$B$82:$B$181, "&gt;=2018",$B$82:$B$181, "&lt;=2020")</f>
        <v>0</v>
      </c>
      <c r="T68" s="30">
        <v>29</v>
      </c>
      <c r="U68" s="5">
        <f>COUNTIFS(U82:U181, "=1",$B$82:$B$181, "&gt;=2018",$B$82:$B$181, "&lt;=2020")</f>
        <v>0</v>
      </c>
      <c r="V68" s="30">
        <v>33</v>
      </c>
      <c r="W68" s="5">
        <f>COUNTIFS(W82:W181, "=1",$B$82:$B$181, "&gt;=2018",$B$82:$B$181, "&lt;=2020")</f>
        <v>13</v>
      </c>
    </row>
    <row r="69" spans="2:23" x14ac:dyDescent="0.2">
      <c r="B69" s="5">
        <v>8</v>
      </c>
      <c r="D69" s="5">
        <v>1</v>
      </c>
      <c r="E69" s="5">
        <f>COUNTIFS(E82:E181, "=1",$B$82:$B$181, "&gt;=2021",$B$82:$B$181, "&lt;=2023")</f>
        <v>14</v>
      </c>
      <c r="F69" s="22">
        <v>5</v>
      </c>
      <c r="G69" s="5">
        <f>COUNTIFS(G82:G181, "=1",$B$82:$B$181, "&gt;=2021",$B$82:$B$181, "&lt;=2023")</f>
        <v>9</v>
      </c>
      <c r="H69" s="5">
        <v>9</v>
      </c>
      <c r="I69" s="5">
        <f>COUNTIFS(I82:I181, "=1",$B$82:$B$181, "&gt;=2021",$B$82:$B$181, "&lt;=2023")</f>
        <v>9</v>
      </c>
      <c r="K69" s="5">
        <v>13</v>
      </c>
      <c r="L69" s="5">
        <f>COUNTIFS(L82:L181, "=1",$B$82:$B$181, "&gt;=2021",$B$82:$B$181, "&lt;=2023")</f>
        <v>17</v>
      </c>
      <c r="M69" s="30">
        <v>17</v>
      </c>
      <c r="N69" s="5">
        <f>COUNTIFS(N82:N181, "=1",$B$82:$B$181, "&gt;=2021",$B$82:$B$181, "&lt;=2023")</f>
        <v>3</v>
      </c>
      <c r="O69" s="30">
        <v>21</v>
      </c>
      <c r="P69" s="5">
        <f>COUNTIFS(P82:P181, "=1",$B$82:$B$181, "&gt;=2021",$B$82:$B$181, "&lt;=2023")</f>
        <v>11</v>
      </c>
      <c r="R69" s="5">
        <v>25</v>
      </c>
      <c r="S69" s="5">
        <f>COUNTIFS(S82:S181, "=1",$B$82:$B$181, "&gt;=2021",$B$82:$B$181, "&lt;=2023")</f>
        <v>0</v>
      </c>
      <c r="T69" s="30">
        <v>29</v>
      </c>
      <c r="U69" s="5">
        <f>COUNTIFS(U82:U181, "=1",$B$82:$B$181, "&gt;=2021",$B$82:$B$181, "&lt;=2023")</f>
        <v>0</v>
      </c>
      <c r="V69" s="30">
        <v>33</v>
      </c>
      <c r="W69" s="5">
        <f>COUNTIFS(W82:W181, "=1",$B$82:$B$181, "&gt;=2021",$B$82:$B$181, "&lt;=2023")</f>
        <v>10</v>
      </c>
    </row>
    <row r="70" spans="2:23" x14ac:dyDescent="0.2">
      <c r="B70" s="3">
        <v>0</v>
      </c>
      <c r="D70" s="3">
        <v>2</v>
      </c>
      <c r="E70" s="3">
        <f>COUNTIFS(E82:E181, "=2",$B$82:$B$181, "&lt;2000")</f>
        <v>0</v>
      </c>
      <c r="F70" s="23">
        <v>6</v>
      </c>
      <c r="G70" s="3">
        <f>COUNTIFS(G82:G181, "=2",$B$82:$B$181, "&lt;2000")</f>
        <v>0</v>
      </c>
      <c r="H70" s="3">
        <v>10</v>
      </c>
      <c r="I70" s="3">
        <f>COUNTIFS(I82:I181, "=2",$B$82:$B$181, "&lt;2000")</f>
        <v>1</v>
      </c>
      <c r="K70" s="3">
        <v>14</v>
      </c>
      <c r="L70" s="3">
        <f>COUNTIFS(L82:L181, "=2",$B$82:$B$181, "&lt;2000")</f>
        <v>0</v>
      </c>
      <c r="M70" s="31">
        <v>18</v>
      </c>
      <c r="N70" s="3">
        <f>COUNTIFS(N82:N181, "=2",$B$82:$B$181, "&lt;2000")</f>
        <v>2</v>
      </c>
      <c r="O70" s="31">
        <v>22</v>
      </c>
      <c r="P70" s="3">
        <f>COUNTIFS(P82:P181, "=2",$B$82:$B$181, "&lt;2000")</f>
        <v>0</v>
      </c>
      <c r="R70" s="3">
        <v>26</v>
      </c>
      <c r="S70" s="3">
        <f>COUNTIFS(S82:S181, "=2",$B$82:$B$181, "&lt;2000")</f>
        <v>0</v>
      </c>
      <c r="T70" s="31">
        <v>30</v>
      </c>
      <c r="U70" s="3">
        <f>COUNTIFS(U82:U181, "=2",$B$82:$B$181, "&lt;2000")</f>
        <v>1</v>
      </c>
      <c r="V70" s="31">
        <v>34</v>
      </c>
      <c r="W70" s="3">
        <f>COUNTIFS(W82:W181, "=2",$B$82:$B$181, "&lt;2000")</f>
        <v>0</v>
      </c>
    </row>
    <row r="71" spans="2:23" x14ac:dyDescent="0.2">
      <c r="B71" s="3">
        <v>1</v>
      </c>
      <c r="D71" s="3">
        <v>2</v>
      </c>
      <c r="E71" s="3">
        <f>COUNTIFS(E82:E181, "=2",$B$82:$B$181, "&gt;=2000",$B$82:$B$181, "&lt;=2002")</f>
        <v>0</v>
      </c>
      <c r="F71" s="23">
        <v>6</v>
      </c>
      <c r="G71" s="3">
        <f>COUNTIFS(G82:G181, "=2",$B$82:$B$181, "&gt;=2000",$B$82:$B$181, "&lt;=2002")</f>
        <v>0</v>
      </c>
      <c r="H71" s="3">
        <v>10</v>
      </c>
      <c r="I71" s="3">
        <f>COUNTIFS(I82:I181, "=2",$B$82:$B$181, "&gt;=2000",$B$82:$B$181, "&lt;=2002")</f>
        <v>0</v>
      </c>
      <c r="K71" s="3">
        <v>14</v>
      </c>
      <c r="L71" s="3">
        <f>COUNTIFS(L82:L181, "=2",$B$82:$B$181, "&gt;=2000",$B$82:$B$181, "&lt;=2002")</f>
        <v>0</v>
      </c>
      <c r="M71" s="31">
        <v>18</v>
      </c>
      <c r="N71" s="3">
        <f>COUNTIFS(N82:N181, "=2",$B$82:$B$181, "&gt;=2000",$B$82:$B$181, "&lt;=2002")</f>
        <v>3</v>
      </c>
      <c r="O71" s="31">
        <v>22</v>
      </c>
      <c r="P71" s="3">
        <f>COUNTIFS(P82:P181, "=2",$B$82:$B$181, "&gt;=2000",$B$82:$B$181, "&lt;=2002")</f>
        <v>0</v>
      </c>
      <c r="R71" s="3">
        <v>26</v>
      </c>
      <c r="S71" s="3">
        <f>COUNTIFS(S82:S181, "=2",$B$82:$B$181, "&gt;=2000",$B$82:$B$181, "&lt;=2002")</f>
        <v>0</v>
      </c>
      <c r="T71" s="31">
        <v>30</v>
      </c>
      <c r="U71" s="3">
        <f>COUNTIFS(U82:U181, "=2",$B$82:$B$181, "&gt;=2000",$B$82:$B$181, "&lt;=2002")</f>
        <v>0</v>
      </c>
      <c r="V71" s="31">
        <v>34</v>
      </c>
      <c r="W71" s="3">
        <f>COUNTIFS(W82:W181, "=2",$B$82:$B$181, "&gt;=2000",$B$82:$B$181, "&lt;=2002")</f>
        <v>0</v>
      </c>
    </row>
    <row r="72" spans="2:23" x14ac:dyDescent="0.2">
      <c r="B72" s="3">
        <v>2</v>
      </c>
      <c r="D72" s="3">
        <v>2</v>
      </c>
      <c r="E72" s="3">
        <f>COUNTIFS(E82:E181, "=2",$B$82:$B$181, "&gt;=2003",$B$82:$B$181, "&lt;=2005")</f>
        <v>0</v>
      </c>
      <c r="F72" s="23">
        <v>6</v>
      </c>
      <c r="G72" s="3">
        <f>COUNTIFS(G82:G181, "=2",$B$82:$B$181, "&gt;=2003",$B$82:$B$181, "&lt;=2005")</f>
        <v>1</v>
      </c>
      <c r="H72" s="3">
        <v>10</v>
      </c>
      <c r="I72" s="3">
        <f>COUNTIFS(I82:I181, "=2",$B$82:$B$181, "&gt;=2003",$B$82:$B$181, "&lt;=2005")</f>
        <v>2</v>
      </c>
      <c r="K72" s="3">
        <v>14</v>
      </c>
      <c r="L72" s="3">
        <f>COUNTIFS(L82:L181, "=2",$B$82:$B$181, "&gt;=2003",$B$82:$B$181, "&lt;=2005")</f>
        <v>0</v>
      </c>
      <c r="M72" s="31">
        <v>18</v>
      </c>
      <c r="N72" s="3">
        <f>COUNTIFS(N82:N181, "=2",$B$82:$B$181, "&gt;=2003",$B$82:$B$181, "&lt;=2005")</f>
        <v>3</v>
      </c>
      <c r="O72" s="31">
        <v>22</v>
      </c>
      <c r="P72" s="3">
        <f>COUNTIFS(P82:P181, "=2",$B$82:$B$181, "&gt;=2003",$B$82:$B$181, "&lt;=2005")</f>
        <v>0</v>
      </c>
      <c r="R72" s="3">
        <v>26</v>
      </c>
      <c r="S72" s="3">
        <f>COUNTIFS(S82:S181, "=2",$B$82:$B$181, "&gt;=2003",$B$82:$B$181, "&lt;=2005")</f>
        <v>0</v>
      </c>
      <c r="T72" s="31">
        <v>30</v>
      </c>
      <c r="U72" s="3">
        <f>COUNTIFS(U82:U181, "=2",$B$82:$B$181, "&gt;=2003",$B$82:$B$181, "&lt;=2005")</f>
        <v>0</v>
      </c>
      <c r="V72" s="31">
        <v>34</v>
      </c>
      <c r="W72" s="3">
        <f>COUNTIFS(W82:W181, "=2",$B$82:$B$181, "&gt;=2003",$B$82:$B$181, "&lt;=2005")</f>
        <v>0</v>
      </c>
    </row>
    <row r="73" spans="2:23" x14ac:dyDescent="0.2">
      <c r="B73" s="14">
        <v>3</v>
      </c>
      <c r="D73" s="14">
        <v>2</v>
      </c>
      <c r="E73" s="3">
        <f>COUNTIFS(E82:E181, "=2",$B$82:$B$181, "&gt;=2006",$B$82:$B$181, "&lt;=2008")</f>
        <v>0</v>
      </c>
      <c r="F73" s="23">
        <v>6</v>
      </c>
      <c r="G73" s="3">
        <f>COUNTIFS(G82:G181, "=2",$B$82:$B$181, "&gt;=2006",$B$82:$B$181, "&lt;=2008")</f>
        <v>0</v>
      </c>
      <c r="H73" s="3">
        <v>10</v>
      </c>
      <c r="I73" s="3">
        <f>COUNTIFS(I82:I181, "=2",$B$82:$B$181, "&gt;=2006",$B$82:$B$181, "&lt;=2008")</f>
        <v>0</v>
      </c>
      <c r="J73" s="17"/>
      <c r="K73" s="3">
        <v>14</v>
      </c>
      <c r="L73" s="3">
        <f>COUNTIFS(L82:L181, "=2",$B$82:$B$181, "&gt;=2006",$B$82:$B$181, "&lt;=2008")</f>
        <v>0</v>
      </c>
      <c r="M73" s="31">
        <v>18</v>
      </c>
      <c r="N73" s="3">
        <f>COUNTIFS(N82:N181, "=2",$B$82:$B$181, "&gt;=2006",$B$82:$B$181, "&lt;=2008")</f>
        <v>6</v>
      </c>
      <c r="O73" s="31">
        <v>22</v>
      </c>
      <c r="P73" s="3">
        <f>COUNTIFS(P82:P181, "=2",$B$82:$B$181, "&gt;=2006",$B$82:$B$181, "&lt;=2008")</f>
        <v>0</v>
      </c>
      <c r="R73" s="3">
        <v>26</v>
      </c>
      <c r="S73" s="3">
        <f>COUNTIFS(S82:S181, "=2",$B$82:$B$181, "&gt;=2006",$B$82:$B$181, "&lt;=2008")</f>
        <v>0</v>
      </c>
      <c r="T73" s="31">
        <v>30</v>
      </c>
      <c r="U73" s="3">
        <f>COUNTIFS(U82:U181, "=2",$B$82:$B$181, "&gt;=2006",$B$82:$B$181, "&lt;=2008")</f>
        <v>0</v>
      </c>
      <c r="V73" s="31">
        <v>34</v>
      </c>
      <c r="W73" s="3">
        <f>COUNTIFS(W82:W181, "=2",$B$82:$B$181, "&gt;=2006",$B$82:$B$181, "&lt;=2008")</f>
        <v>0</v>
      </c>
    </row>
    <row r="74" spans="2:23" x14ac:dyDescent="0.2">
      <c r="B74" s="3">
        <v>4</v>
      </c>
      <c r="D74" s="3">
        <v>2</v>
      </c>
      <c r="E74" s="3">
        <f>COUNTIFS(E82:E181, "=2",$B$82:$B$181, "&gt;=2009",$B$82:$B$181, "&lt;=2011")</f>
        <v>0</v>
      </c>
      <c r="F74" s="23">
        <v>6</v>
      </c>
      <c r="G74" s="3">
        <f>COUNTIFS(G82:G181, "=2",$B$82:$B$181, "&gt;=2009",$B$82:$B$181, "&lt;=2011")</f>
        <v>0</v>
      </c>
      <c r="H74" s="3">
        <v>10</v>
      </c>
      <c r="I74" s="3">
        <f>COUNTIFS(I82:I181, "=2",$B$82:$B$181, "&gt;=2009",$B$82:$B$181, "&lt;=2011")</f>
        <v>3</v>
      </c>
      <c r="K74" s="3">
        <v>14</v>
      </c>
      <c r="L74" s="3">
        <f>COUNTIFS(L82:L181, "=2",$B$82:$B$181, "&gt;=2009",$B$82:$B$181, "&lt;=2011")</f>
        <v>2</v>
      </c>
      <c r="M74" s="31">
        <v>18</v>
      </c>
      <c r="N74" s="3">
        <f>COUNTIFS(N82:N181, "=2",$B$82:$B$181, "&gt;=2009",$B$82:$B$181, "&lt;=2011")</f>
        <v>9</v>
      </c>
      <c r="O74" s="31">
        <v>22</v>
      </c>
      <c r="P74" s="3">
        <f>COUNTIFS(P82:P181, "=2",$B$82:$B$181, "&gt;=2009",$B$82:$B$181, "&lt;=2011")</f>
        <v>5</v>
      </c>
      <c r="R74" s="3">
        <v>26</v>
      </c>
      <c r="S74" s="3">
        <f>COUNTIFS(S82:S181, "=2",$B$82:$B$181, "&gt;=2009",$B$82:$B$181, "&lt;=2011")</f>
        <v>0</v>
      </c>
      <c r="T74" s="31">
        <v>30</v>
      </c>
      <c r="U74" s="3">
        <f>COUNTIFS(U82:U181, "=2",$B$82:$B$181, "&gt;=2009",$B$82:$B$181, "&lt;=2011")</f>
        <v>4</v>
      </c>
      <c r="V74" s="31">
        <v>34</v>
      </c>
      <c r="W74" s="3">
        <f>COUNTIFS(W82:W181, "=2",$B$82:$B$181, "&gt;=2009",$B$82:$B$181, "&lt;=2011")</f>
        <v>0</v>
      </c>
    </row>
    <row r="75" spans="2:23" x14ac:dyDescent="0.2">
      <c r="B75" s="3">
        <v>5</v>
      </c>
      <c r="D75" s="3">
        <v>2</v>
      </c>
      <c r="E75" s="3">
        <f>COUNTIFS(E82:E181, "=2",$B$82:$B$181, "&gt;=2012",$B$82:$B$181, "&lt;=2014")</f>
        <v>2</v>
      </c>
      <c r="F75" s="23">
        <v>6</v>
      </c>
      <c r="G75" s="3">
        <f>COUNTIFS(G82:G181, "=2",$B$82:$B$181, "&gt;=2012",$B$82:$B$181, "&lt;=2014")</f>
        <v>1</v>
      </c>
      <c r="H75" s="3">
        <v>10</v>
      </c>
      <c r="I75" s="3">
        <f>COUNTIFS(I82:I181, "=2",$B$82:$B$181, "&gt;=2012",$B$82:$B$181, "&lt;=2014")</f>
        <v>4</v>
      </c>
      <c r="K75" s="3">
        <v>14</v>
      </c>
      <c r="L75" s="3">
        <f>COUNTIFS(L82:L181, "=2",$B$82:$B$181, "&gt;=2012",$B$82:$B$181, "&lt;=2014")</f>
        <v>0</v>
      </c>
      <c r="M75" s="31">
        <v>18</v>
      </c>
      <c r="N75" s="3">
        <f>COUNTIFS(N82:N181, "=2",$B$82:$B$181, "&gt;=2012",$B$82:$B$181, "&lt;=2014")</f>
        <v>13</v>
      </c>
      <c r="O75" s="31">
        <v>22</v>
      </c>
      <c r="P75" s="3">
        <f>COUNTIFS(P82:P181, "=2",$B$82:$B$181, "&gt;=2012",$B$82:$B$181, "&lt;=2014")</f>
        <v>2</v>
      </c>
      <c r="R75" s="3">
        <v>26</v>
      </c>
      <c r="S75" s="3">
        <f>COUNTIFS(S82:S181, "=2",$B$82:$B$181, "&gt;=2012",$B$82:$B$181, "&lt;=2014")</f>
        <v>1</v>
      </c>
      <c r="T75" s="31">
        <v>30</v>
      </c>
      <c r="U75" s="3">
        <f>COUNTIFS(U82:U181, "=2",$B$82:$B$181, "&gt;=2012",$B$82:$B$181, "&lt;=2014")</f>
        <v>8</v>
      </c>
      <c r="V75" s="31">
        <v>34</v>
      </c>
      <c r="W75" s="3">
        <f>COUNTIFS(W82:W181, "=2",$B$82:$B$181, "&gt;=2012",$B$82:$B$181, "&lt;=2014")</f>
        <v>0</v>
      </c>
    </row>
    <row r="76" spans="2:23" x14ac:dyDescent="0.2">
      <c r="B76" s="3">
        <v>6</v>
      </c>
      <c r="D76" s="3">
        <v>2</v>
      </c>
      <c r="E76" s="3">
        <f>COUNTIFS(E82:E181, "=2",$B$82:$B$181, "&gt;=2015",$B$82:$B$181, "&lt;=2017")</f>
        <v>1</v>
      </c>
      <c r="F76" s="23">
        <v>6</v>
      </c>
      <c r="G76" s="3">
        <f>COUNTIFS(G82:G181, "=2",$B$82:$B$181, "&gt;=2015",$B$82:$B$181, "&lt;=2017")</f>
        <v>1</v>
      </c>
      <c r="H76" s="3">
        <v>10</v>
      </c>
      <c r="I76" s="3">
        <f>COUNTIFS(I82:I181, "=2",$B$82:$B$181, "&gt;=2015",$B$82:$B$181, "&lt;=2017")</f>
        <v>8</v>
      </c>
      <c r="K76" s="3">
        <v>14</v>
      </c>
      <c r="L76" s="3">
        <f>COUNTIFS(L82:L181, "=2",$B$82:$B$181, "&gt;=2015",$B$82:$B$181, "&lt;=2017")</f>
        <v>0</v>
      </c>
      <c r="M76" s="31">
        <v>18</v>
      </c>
      <c r="N76" s="3">
        <f>COUNTIFS(N82:N181, "=2",$B$82:$B$181, "&gt;=2015",$B$82:$B$181, "&lt;=2017")</f>
        <v>13</v>
      </c>
      <c r="O76" s="31">
        <v>22</v>
      </c>
      <c r="P76" s="3">
        <f>COUNTIFS(P82:P181, "=2",$B$82:$B$181, "&gt;=2015",$B$82:$B$181, "&lt;=2017")</f>
        <v>4</v>
      </c>
      <c r="R76" s="3">
        <v>26</v>
      </c>
      <c r="S76" s="3">
        <f>COUNTIFS(S82:S181, "=2",$B$82:$B$181, "&gt;=2015",$B$82:$B$181, "&lt;=2017")</f>
        <v>0</v>
      </c>
      <c r="T76" s="31">
        <v>30</v>
      </c>
      <c r="U76" s="3">
        <f>COUNTIFS(U82:U181, "=2",$B$82:$B$181, "&gt;=2015",$B$82:$B$181, "&lt;=2017")</f>
        <v>8</v>
      </c>
      <c r="V76" s="31">
        <v>34</v>
      </c>
      <c r="W76" s="3">
        <f>COUNTIFS(W82:W181, "=2",$B$82:$B$181, "&gt;=2015",$B$82:$B$181, "&lt;=2017")</f>
        <v>0</v>
      </c>
    </row>
    <row r="77" spans="2:23" x14ac:dyDescent="0.2">
      <c r="B77" s="3">
        <v>7</v>
      </c>
      <c r="D77" s="3">
        <v>2</v>
      </c>
      <c r="E77" s="3">
        <f>COUNTIFS(E82:E181, "=2",$B$82:$B$181, "&gt;=2018",$B$82:$B$181, "&lt;=2020")</f>
        <v>3</v>
      </c>
      <c r="F77" s="23">
        <v>6</v>
      </c>
      <c r="G77" s="3">
        <f>COUNTIFS(G82:G181, "=2",$B$82:$B$181, "&gt;=2018",$B$82:$B$181, "&lt;=2020")</f>
        <v>4</v>
      </c>
      <c r="H77" s="3">
        <v>10</v>
      </c>
      <c r="I77" s="3">
        <f>COUNTIFS(I82:I181, "=2",$B$82:$B$181, "&gt;=2018",$B$82:$B$181, "&lt;=2020")</f>
        <v>9</v>
      </c>
      <c r="K77" s="3">
        <v>14</v>
      </c>
      <c r="L77" s="3">
        <f>COUNTIFS(L82:L181, "=2",$B$82:$B$181, "&gt;=2018",$B$82:$B$181, "&lt;=2020")</f>
        <v>1</v>
      </c>
      <c r="M77" s="31">
        <v>18</v>
      </c>
      <c r="N77" s="3">
        <f>COUNTIFS(N82:N181, "=2",$B$82:$B$181, "&gt;=2018",$B$82:$B$181, "&lt;=2020")</f>
        <v>16</v>
      </c>
      <c r="O77" s="31">
        <v>22</v>
      </c>
      <c r="P77" s="3">
        <f>COUNTIFS(P82:P181, "=2",$B$82:$B$181, "&gt;=2018",$B$82:$B$181, "&lt;=2020")</f>
        <v>4</v>
      </c>
      <c r="R77" s="3">
        <v>26</v>
      </c>
      <c r="S77" s="3">
        <f>COUNTIFS(S82:S181, "=2",$B$82:$B$181, "&gt;=2018",$B$82:$B$181, "&lt;=2020")</f>
        <v>0</v>
      </c>
      <c r="T77" s="31">
        <v>30</v>
      </c>
      <c r="U77" s="3">
        <f>COUNTIFS(U82:U181, "=2",$B$82:$B$181, "&gt;=2018",$B$82:$B$181, "&lt;=2020")</f>
        <v>9</v>
      </c>
      <c r="V77" s="31">
        <v>34</v>
      </c>
      <c r="W77" s="3">
        <f>COUNTIFS(W82:W181, "=2",$B$82:$B$181, "&gt;=2018",$B$82:$B$181, "&lt;=2020")</f>
        <v>1</v>
      </c>
    </row>
    <row r="78" spans="2:23" x14ac:dyDescent="0.2">
      <c r="B78" s="3">
        <v>8</v>
      </c>
      <c r="D78" s="3">
        <v>2</v>
      </c>
      <c r="E78" s="3">
        <f>COUNTIFS(E82:E181, "=2",$B$82:$B$181, "&gt;=2021",$B$82:$B$181, "&lt;=2023")</f>
        <v>2</v>
      </c>
      <c r="F78" s="23">
        <v>6</v>
      </c>
      <c r="G78" s="3">
        <f>COUNTIFS(G82:G181, "=2",$B$82:$B$181, "&gt;=2021",$B$82:$B$181, "&lt;=2023")</f>
        <v>2</v>
      </c>
      <c r="H78" s="3">
        <v>10</v>
      </c>
      <c r="I78" s="3">
        <f>COUNTIFS(I82:I181, "=2",$B$82:$B$181, "&gt;=2021",$B$82:$B$181, "&lt;=2023")</f>
        <v>11</v>
      </c>
      <c r="K78" s="3">
        <v>14</v>
      </c>
      <c r="L78" s="3">
        <f>COUNTIFS(L82:L181, "=2",$B$82:$B$181, "&gt;=2021",$B$82:$B$181, "&lt;=2023")</f>
        <v>1</v>
      </c>
      <c r="M78" s="31">
        <v>18</v>
      </c>
      <c r="N78" s="3">
        <f>COUNTIFS(N82:N181, "=2",$B$82:$B$181, "&gt;=2021",$B$82:$B$181, "&lt;=2023")</f>
        <v>17</v>
      </c>
      <c r="O78" s="31">
        <v>22</v>
      </c>
      <c r="P78" s="3">
        <f>COUNTIFS(P82:P181, "=2",$B$82:$B$181, "&gt;=2021",$B$82:$B$181, "&lt;=2023")</f>
        <v>3</v>
      </c>
      <c r="R78" s="3">
        <v>26</v>
      </c>
      <c r="S78" s="3">
        <f>COUNTIFS(S82:S181, "=2",$B$82:$B$181, "&gt;=2021",$B$82:$B$181, "&lt;=2023")</f>
        <v>0</v>
      </c>
      <c r="T78" s="31">
        <v>30</v>
      </c>
      <c r="U78" s="3">
        <f>COUNTIFS(U82:U181, "=2",$B$82:$B$181, "&gt;=2021",$B$82:$B$181, "&lt;=2023")</f>
        <v>8</v>
      </c>
      <c r="V78" s="31">
        <v>34</v>
      </c>
      <c r="W78" s="3">
        <f>COUNTIFS(W82:W181, "=2",$B$82:$B$181, "&gt;=2021",$B$82:$B$181, "&lt;=2023")</f>
        <v>0</v>
      </c>
    </row>
    <row r="79" spans="2:23" ht="20" x14ac:dyDescent="0.2">
      <c r="B79" s="19" t="s">
        <v>31</v>
      </c>
      <c r="D79" s="21"/>
      <c r="E79" s="21">
        <f>SUM(E52:E78)</f>
        <v>100</v>
      </c>
      <c r="F79" s="21"/>
      <c r="G79" s="4">
        <f>SUM(G52:G78)</f>
        <v>100</v>
      </c>
      <c r="H79" s="4"/>
      <c r="I79" s="4">
        <f>SUM(I52:I78)</f>
        <v>100</v>
      </c>
      <c r="K79" s="4"/>
      <c r="L79" s="4">
        <f>SUM(L52:L78)</f>
        <v>100</v>
      </c>
      <c r="M79" s="29"/>
      <c r="N79" s="29">
        <f>SUM(N52:N78)</f>
        <v>100</v>
      </c>
      <c r="O79" s="29"/>
      <c r="P79" s="4">
        <f>SUM(P52:P78)</f>
        <v>100</v>
      </c>
      <c r="R79" s="4"/>
      <c r="S79" s="4">
        <f>SUM(S52:S78)</f>
        <v>100</v>
      </c>
      <c r="T79" s="29"/>
      <c r="U79" s="29">
        <f>SUM(U52:U78)</f>
        <v>100</v>
      </c>
      <c r="V79" s="29"/>
      <c r="W79" s="4">
        <f>SUM(W52:W78)</f>
        <v>100</v>
      </c>
    </row>
    <row r="81" spans="1:23" ht="20" x14ac:dyDescent="0.2">
      <c r="A81" s="10" t="s">
        <v>0</v>
      </c>
      <c r="B81" s="10" t="s">
        <v>29</v>
      </c>
      <c r="C81" s="6" t="s">
        <v>32</v>
      </c>
      <c r="E81" s="24" t="s">
        <v>237</v>
      </c>
      <c r="F81" s="24"/>
      <c r="G81" s="6" t="s">
        <v>238</v>
      </c>
      <c r="H81" s="6"/>
      <c r="I81" s="6" t="s">
        <v>239</v>
      </c>
      <c r="J81" s="12"/>
      <c r="K81" s="6"/>
      <c r="L81" s="32" t="s">
        <v>30</v>
      </c>
      <c r="M81" s="32"/>
      <c r="N81" s="6" t="s">
        <v>240</v>
      </c>
      <c r="O81" s="32"/>
      <c r="P81" s="6" t="s">
        <v>241</v>
      </c>
      <c r="R81" s="6"/>
      <c r="S81" s="32" t="s">
        <v>242</v>
      </c>
      <c r="T81" s="32"/>
      <c r="U81" s="6" t="s">
        <v>50</v>
      </c>
      <c r="V81" s="32"/>
      <c r="W81" s="6" t="s">
        <v>51</v>
      </c>
    </row>
    <row r="82" spans="1:23" ht="40" x14ac:dyDescent="0.2">
      <c r="A82" s="3" t="s">
        <v>208</v>
      </c>
      <c r="B82" s="7">
        <v>2009</v>
      </c>
      <c r="C82" s="7" t="s">
        <v>17</v>
      </c>
      <c r="D82" s="58" t="s">
        <v>207</v>
      </c>
      <c r="E82" s="7">
        <v>0</v>
      </c>
      <c r="F82" s="25"/>
      <c r="G82" s="7">
        <v>0</v>
      </c>
      <c r="H82" s="7"/>
      <c r="I82" s="7">
        <v>1</v>
      </c>
      <c r="J82" s="13"/>
      <c r="K82" s="7"/>
      <c r="L82" s="7">
        <v>2</v>
      </c>
      <c r="M82" s="33"/>
      <c r="N82" s="7">
        <v>2</v>
      </c>
      <c r="O82" s="33"/>
      <c r="P82" s="7">
        <v>0</v>
      </c>
      <c r="R82" s="7"/>
      <c r="S82" s="7">
        <v>0</v>
      </c>
      <c r="T82" s="33"/>
      <c r="U82" s="7">
        <v>0</v>
      </c>
      <c r="V82" s="33"/>
      <c r="W82" s="7">
        <v>0</v>
      </c>
    </row>
    <row r="83" spans="1:23" ht="40" x14ac:dyDescent="0.2">
      <c r="A83" s="3" t="s">
        <v>65</v>
      </c>
      <c r="B83" s="7">
        <v>2014</v>
      </c>
      <c r="C83" s="7" t="s">
        <v>17</v>
      </c>
      <c r="E83" s="7">
        <v>0</v>
      </c>
      <c r="F83" s="25"/>
      <c r="G83" s="7">
        <v>0</v>
      </c>
      <c r="H83" s="7"/>
      <c r="I83" s="7">
        <v>1</v>
      </c>
      <c r="J83" s="13"/>
      <c r="K83" s="7"/>
      <c r="L83" s="7">
        <v>1</v>
      </c>
      <c r="M83" s="33"/>
      <c r="N83" s="7">
        <v>1</v>
      </c>
      <c r="O83" s="33"/>
      <c r="P83" s="7">
        <v>1</v>
      </c>
      <c r="R83" s="7"/>
      <c r="S83" s="7">
        <v>0</v>
      </c>
      <c r="T83" s="33"/>
      <c r="U83" s="7">
        <v>0</v>
      </c>
      <c r="V83" s="33"/>
      <c r="W83" s="7">
        <v>0</v>
      </c>
    </row>
    <row r="84" spans="1:23" ht="40" x14ac:dyDescent="0.2">
      <c r="A84" s="3" t="s">
        <v>66</v>
      </c>
      <c r="B84" s="7">
        <v>2015</v>
      </c>
      <c r="C84" s="7" t="s">
        <v>17</v>
      </c>
      <c r="E84" s="7">
        <v>1</v>
      </c>
      <c r="F84" s="25"/>
      <c r="G84" s="7">
        <v>1</v>
      </c>
      <c r="H84" s="7"/>
      <c r="I84" s="7">
        <v>1</v>
      </c>
      <c r="J84" s="13"/>
      <c r="K84" s="7"/>
      <c r="L84" s="7">
        <v>0</v>
      </c>
      <c r="M84" s="33"/>
      <c r="N84" s="7">
        <v>2</v>
      </c>
      <c r="O84" s="33"/>
      <c r="P84" s="7">
        <v>0</v>
      </c>
      <c r="R84" s="7"/>
      <c r="S84" s="7">
        <v>0</v>
      </c>
      <c r="T84" s="33"/>
      <c r="U84" s="7">
        <v>0</v>
      </c>
      <c r="V84" s="33"/>
      <c r="W84" s="7">
        <v>0</v>
      </c>
    </row>
    <row r="85" spans="1:23" ht="40" x14ac:dyDescent="0.2">
      <c r="A85" s="3" t="s">
        <v>67</v>
      </c>
      <c r="B85" s="7">
        <v>2017</v>
      </c>
      <c r="C85" s="7" t="s">
        <v>17</v>
      </c>
      <c r="E85" s="7">
        <v>0</v>
      </c>
      <c r="F85" s="25"/>
      <c r="G85" s="7">
        <v>0</v>
      </c>
      <c r="H85" s="7"/>
      <c r="I85" s="7">
        <v>2</v>
      </c>
      <c r="J85" s="13"/>
      <c r="K85" s="7"/>
      <c r="L85" s="7">
        <v>1</v>
      </c>
      <c r="M85" s="33"/>
      <c r="N85" s="7">
        <v>2</v>
      </c>
      <c r="O85" s="33"/>
      <c r="P85" s="7">
        <v>1</v>
      </c>
      <c r="R85" s="7"/>
      <c r="S85" s="7">
        <v>0</v>
      </c>
      <c r="T85" s="33"/>
      <c r="U85" s="7">
        <v>0</v>
      </c>
      <c r="V85" s="33"/>
      <c r="W85" s="7">
        <v>0</v>
      </c>
    </row>
    <row r="86" spans="1:23" ht="20" x14ac:dyDescent="0.2">
      <c r="A86" s="3" t="s">
        <v>68</v>
      </c>
      <c r="B86" s="7">
        <v>2019</v>
      </c>
      <c r="C86" s="7" t="s">
        <v>17</v>
      </c>
      <c r="E86" s="7">
        <v>0</v>
      </c>
      <c r="F86" s="25"/>
      <c r="G86" s="7">
        <v>0</v>
      </c>
      <c r="H86" s="7"/>
      <c r="I86" s="7">
        <v>2</v>
      </c>
      <c r="J86" s="13"/>
      <c r="K86" s="7"/>
      <c r="L86" s="7">
        <v>1</v>
      </c>
      <c r="M86" s="33"/>
      <c r="N86" s="7">
        <v>1</v>
      </c>
      <c r="O86" s="33"/>
      <c r="P86" s="7">
        <v>0</v>
      </c>
      <c r="R86" s="7"/>
      <c r="S86" s="7">
        <v>0</v>
      </c>
      <c r="T86" s="33"/>
      <c r="U86" s="7">
        <v>0</v>
      </c>
      <c r="V86" s="33"/>
      <c r="W86" s="7">
        <v>1</v>
      </c>
    </row>
    <row r="87" spans="1:23" ht="40" x14ac:dyDescent="0.2">
      <c r="A87" s="3" t="s">
        <v>69</v>
      </c>
      <c r="B87" s="7">
        <v>2020</v>
      </c>
      <c r="C87" s="7" t="s">
        <v>17</v>
      </c>
      <c r="E87" s="7">
        <v>1</v>
      </c>
      <c r="F87" s="25"/>
      <c r="G87" s="7">
        <v>1</v>
      </c>
      <c r="H87" s="7"/>
      <c r="I87" s="7">
        <v>2</v>
      </c>
      <c r="J87" s="13"/>
      <c r="K87" s="7"/>
      <c r="L87" s="7">
        <v>1</v>
      </c>
      <c r="M87" s="33"/>
      <c r="N87" s="7">
        <v>2</v>
      </c>
      <c r="O87" s="33"/>
      <c r="P87" s="7">
        <v>1</v>
      </c>
      <c r="R87" s="7"/>
      <c r="S87" s="7">
        <v>0</v>
      </c>
      <c r="T87" s="33"/>
      <c r="U87" s="7">
        <v>0</v>
      </c>
      <c r="V87" s="33"/>
      <c r="W87" s="7">
        <v>1</v>
      </c>
    </row>
    <row r="88" spans="1:23" ht="40" x14ac:dyDescent="0.2">
      <c r="A88" s="3" t="s">
        <v>70</v>
      </c>
      <c r="B88" s="7">
        <v>2021</v>
      </c>
      <c r="C88" s="7" t="s">
        <v>17</v>
      </c>
      <c r="E88" s="7">
        <v>0</v>
      </c>
      <c r="F88" s="25"/>
      <c r="G88" s="7">
        <v>0</v>
      </c>
      <c r="H88" s="7"/>
      <c r="I88" s="7">
        <v>1</v>
      </c>
      <c r="J88" s="13"/>
      <c r="K88" s="7"/>
      <c r="L88" s="7">
        <v>0</v>
      </c>
      <c r="M88" s="33"/>
      <c r="N88" s="7">
        <v>2</v>
      </c>
      <c r="O88" s="33"/>
      <c r="P88" s="7">
        <v>0</v>
      </c>
      <c r="R88" s="7"/>
      <c r="S88" s="7">
        <v>0</v>
      </c>
      <c r="T88" s="33"/>
      <c r="U88" s="7">
        <v>0</v>
      </c>
      <c r="V88" s="33"/>
      <c r="W88" s="7">
        <v>0</v>
      </c>
    </row>
    <row r="89" spans="1:23" ht="60" x14ac:dyDescent="0.2">
      <c r="A89" s="3" t="s">
        <v>71</v>
      </c>
      <c r="B89" s="7">
        <v>2022</v>
      </c>
      <c r="C89" s="7" t="s">
        <v>17</v>
      </c>
      <c r="E89" s="7">
        <v>1</v>
      </c>
      <c r="F89" s="25"/>
      <c r="G89" s="7">
        <v>1</v>
      </c>
      <c r="H89" s="7"/>
      <c r="I89" s="7">
        <v>1</v>
      </c>
      <c r="J89" s="13"/>
      <c r="K89" s="7"/>
      <c r="L89" s="7">
        <v>1</v>
      </c>
      <c r="M89" s="33"/>
      <c r="N89" s="7">
        <v>2</v>
      </c>
      <c r="O89" s="33"/>
      <c r="P89" s="7">
        <v>0</v>
      </c>
      <c r="R89" s="7"/>
      <c r="S89" s="7">
        <v>0</v>
      </c>
      <c r="T89" s="33"/>
      <c r="U89" s="7">
        <v>0</v>
      </c>
      <c r="V89" s="33"/>
      <c r="W89" s="7">
        <v>0</v>
      </c>
    </row>
    <row r="90" spans="1:23" ht="20" x14ac:dyDescent="0.2">
      <c r="A90" s="3" t="s">
        <v>72</v>
      </c>
      <c r="B90" s="7">
        <v>2023</v>
      </c>
      <c r="C90" s="7" t="s">
        <v>17</v>
      </c>
      <c r="E90" s="7">
        <v>1</v>
      </c>
      <c r="F90" s="25"/>
      <c r="G90" s="7">
        <v>1</v>
      </c>
      <c r="H90" s="7"/>
      <c r="I90" s="7">
        <v>2</v>
      </c>
      <c r="J90" s="13"/>
      <c r="K90" s="7"/>
      <c r="L90" s="7">
        <v>1</v>
      </c>
      <c r="M90" s="33"/>
      <c r="N90" s="7">
        <v>2</v>
      </c>
      <c r="O90" s="33"/>
      <c r="P90" s="7">
        <v>1</v>
      </c>
      <c r="R90" s="7"/>
      <c r="S90" s="7">
        <v>0</v>
      </c>
      <c r="T90" s="33"/>
      <c r="U90" s="7">
        <v>0</v>
      </c>
      <c r="V90" s="33"/>
      <c r="W90" s="7">
        <v>1</v>
      </c>
    </row>
    <row r="91" spans="1:23" ht="34" x14ac:dyDescent="0.2">
      <c r="A91" s="4" t="s">
        <v>210</v>
      </c>
      <c r="B91" s="8">
        <v>2010</v>
      </c>
      <c r="C91" s="8" t="s">
        <v>19</v>
      </c>
      <c r="D91" s="58" t="s">
        <v>209</v>
      </c>
      <c r="E91" s="8">
        <v>1</v>
      </c>
      <c r="F91" s="26"/>
      <c r="G91" s="8">
        <v>1</v>
      </c>
      <c r="H91" s="8"/>
      <c r="I91" s="8">
        <v>1</v>
      </c>
      <c r="J91" s="13"/>
      <c r="K91" s="8"/>
      <c r="L91" s="8">
        <v>1</v>
      </c>
      <c r="M91" s="34"/>
      <c r="N91" s="8">
        <v>2</v>
      </c>
      <c r="O91" s="34"/>
      <c r="P91" s="8">
        <v>1</v>
      </c>
      <c r="R91" s="8"/>
      <c r="S91" s="8">
        <v>0</v>
      </c>
      <c r="T91" s="34"/>
      <c r="U91" s="8">
        <v>0</v>
      </c>
      <c r="V91" s="34"/>
      <c r="W91" s="8">
        <v>1</v>
      </c>
    </row>
    <row r="92" spans="1:23" ht="40" x14ac:dyDescent="0.2">
      <c r="A92" s="4" t="s">
        <v>74</v>
      </c>
      <c r="B92" s="8">
        <v>2008</v>
      </c>
      <c r="C92" s="8" t="s">
        <v>19</v>
      </c>
      <c r="E92" s="8">
        <v>1</v>
      </c>
      <c r="F92" s="26"/>
      <c r="G92" s="8">
        <v>1</v>
      </c>
      <c r="H92" s="8"/>
      <c r="I92" s="8">
        <v>1</v>
      </c>
      <c r="J92" s="13"/>
      <c r="K92" s="8"/>
      <c r="L92" s="8">
        <v>0</v>
      </c>
      <c r="M92" s="34"/>
      <c r="N92" s="8">
        <v>2</v>
      </c>
      <c r="O92" s="34"/>
      <c r="P92" s="8">
        <v>1</v>
      </c>
      <c r="R92" s="8"/>
      <c r="S92" s="8">
        <v>0</v>
      </c>
      <c r="T92" s="34"/>
      <c r="U92" s="8">
        <v>0</v>
      </c>
      <c r="V92" s="34"/>
      <c r="W92" s="8">
        <v>1</v>
      </c>
    </row>
    <row r="93" spans="1:23" ht="40" x14ac:dyDescent="0.2">
      <c r="A93" s="4" t="s">
        <v>75</v>
      </c>
      <c r="B93" s="8">
        <v>2010</v>
      </c>
      <c r="C93" s="8" t="s">
        <v>19</v>
      </c>
      <c r="E93" s="8">
        <v>1</v>
      </c>
      <c r="F93" s="26"/>
      <c r="G93" s="8">
        <v>0</v>
      </c>
      <c r="H93" s="8"/>
      <c r="I93" s="8">
        <v>0</v>
      </c>
      <c r="J93" s="13"/>
      <c r="K93" s="8"/>
      <c r="L93" s="8">
        <v>0</v>
      </c>
      <c r="M93" s="34"/>
      <c r="N93" s="8">
        <v>2</v>
      </c>
      <c r="O93" s="34"/>
      <c r="P93" s="8">
        <v>0</v>
      </c>
      <c r="R93" s="8"/>
      <c r="S93" s="8">
        <v>0</v>
      </c>
      <c r="T93" s="34"/>
      <c r="U93" s="8">
        <v>0</v>
      </c>
      <c r="V93" s="34"/>
      <c r="W93" s="8">
        <v>0</v>
      </c>
    </row>
    <row r="94" spans="1:23" ht="40" x14ac:dyDescent="0.2">
      <c r="A94" s="4" t="s">
        <v>76</v>
      </c>
      <c r="B94" s="8">
        <v>2012</v>
      </c>
      <c r="C94" s="8" t="s">
        <v>19</v>
      </c>
      <c r="E94" s="8">
        <v>1</v>
      </c>
      <c r="F94" s="26"/>
      <c r="G94" s="8">
        <v>1</v>
      </c>
      <c r="H94" s="8"/>
      <c r="I94" s="8">
        <v>2</v>
      </c>
      <c r="J94" s="13"/>
      <c r="K94" s="8"/>
      <c r="L94" s="8">
        <v>1</v>
      </c>
      <c r="M94" s="34"/>
      <c r="N94" s="8">
        <v>2</v>
      </c>
      <c r="O94" s="34"/>
      <c r="P94" s="8">
        <v>1</v>
      </c>
      <c r="R94" s="8"/>
      <c r="S94" s="8">
        <v>0</v>
      </c>
      <c r="T94" s="34"/>
      <c r="U94" s="8">
        <v>0</v>
      </c>
      <c r="V94" s="34"/>
      <c r="W94" s="8">
        <v>0</v>
      </c>
    </row>
    <row r="95" spans="1:23" ht="60" x14ac:dyDescent="0.2">
      <c r="A95" s="4" t="s">
        <v>77</v>
      </c>
      <c r="B95" s="8">
        <v>2014</v>
      </c>
      <c r="C95" s="8" t="s">
        <v>19</v>
      </c>
      <c r="E95" s="8">
        <v>1</v>
      </c>
      <c r="F95" s="26"/>
      <c r="G95" s="8">
        <v>1</v>
      </c>
      <c r="H95" s="8"/>
      <c r="I95" s="8">
        <v>1</v>
      </c>
      <c r="J95" s="13"/>
      <c r="K95" s="8"/>
      <c r="L95" s="8">
        <v>1</v>
      </c>
      <c r="M95" s="34"/>
      <c r="N95" s="8">
        <v>2</v>
      </c>
      <c r="O95" s="34"/>
      <c r="P95" s="8">
        <v>2</v>
      </c>
      <c r="R95" s="8"/>
      <c r="S95" s="8">
        <v>0</v>
      </c>
      <c r="T95" s="34"/>
      <c r="U95" s="8">
        <v>0</v>
      </c>
      <c r="V95" s="34"/>
      <c r="W95" s="8">
        <v>1</v>
      </c>
    </row>
    <row r="96" spans="1:23" ht="40" x14ac:dyDescent="0.2">
      <c r="A96" s="4" t="s">
        <v>78</v>
      </c>
      <c r="B96" s="8">
        <v>2016</v>
      </c>
      <c r="C96" s="8" t="s">
        <v>19</v>
      </c>
      <c r="E96" s="8">
        <v>1</v>
      </c>
      <c r="F96" s="26"/>
      <c r="G96" s="8">
        <v>1</v>
      </c>
      <c r="H96" s="8"/>
      <c r="I96" s="8">
        <v>2</v>
      </c>
      <c r="J96" s="13"/>
      <c r="K96" s="8"/>
      <c r="L96" s="8">
        <v>1</v>
      </c>
      <c r="M96" s="34"/>
      <c r="N96" s="8">
        <v>2</v>
      </c>
      <c r="O96" s="34"/>
      <c r="P96" s="8">
        <v>1</v>
      </c>
      <c r="R96" s="8"/>
      <c r="S96" s="8">
        <v>0</v>
      </c>
      <c r="T96" s="34"/>
      <c r="U96" s="8">
        <v>0</v>
      </c>
      <c r="V96" s="34"/>
      <c r="W96" s="8">
        <v>1</v>
      </c>
    </row>
    <row r="97" spans="1:23" ht="40" x14ac:dyDescent="0.2">
      <c r="A97" s="4" t="s">
        <v>79</v>
      </c>
      <c r="B97" s="8">
        <v>2019</v>
      </c>
      <c r="C97" s="8" t="s">
        <v>19</v>
      </c>
      <c r="E97" s="8">
        <v>1</v>
      </c>
      <c r="F97" s="26"/>
      <c r="G97" s="8">
        <v>1</v>
      </c>
      <c r="H97" s="8"/>
      <c r="I97" s="8">
        <v>2</v>
      </c>
      <c r="J97" s="13"/>
      <c r="K97" s="8"/>
      <c r="L97" s="8">
        <v>1</v>
      </c>
      <c r="M97" s="34"/>
      <c r="N97" s="8">
        <v>2</v>
      </c>
      <c r="O97" s="34"/>
      <c r="P97" s="8">
        <v>1</v>
      </c>
      <c r="R97" s="8"/>
      <c r="S97" s="8">
        <v>0</v>
      </c>
      <c r="T97" s="34"/>
      <c r="U97" s="8">
        <v>0</v>
      </c>
      <c r="V97" s="34"/>
      <c r="W97" s="8">
        <v>1</v>
      </c>
    </row>
    <row r="98" spans="1:23" ht="40" x14ac:dyDescent="0.2">
      <c r="A98" s="4" t="s">
        <v>80</v>
      </c>
      <c r="B98" s="8">
        <v>2021</v>
      </c>
      <c r="C98" s="8" t="s">
        <v>19</v>
      </c>
      <c r="E98" s="8">
        <v>1</v>
      </c>
      <c r="F98" s="26"/>
      <c r="G98" s="8">
        <v>1</v>
      </c>
      <c r="H98" s="8"/>
      <c r="I98" s="8">
        <v>2</v>
      </c>
      <c r="J98" s="13"/>
      <c r="K98" s="8"/>
      <c r="L98" s="8">
        <v>1</v>
      </c>
      <c r="M98" s="34"/>
      <c r="N98" s="8">
        <v>2</v>
      </c>
      <c r="O98" s="34"/>
      <c r="P98" s="8">
        <v>1</v>
      </c>
      <c r="R98" s="8"/>
      <c r="S98" s="8">
        <v>0</v>
      </c>
      <c r="T98" s="34"/>
      <c r="U98" s="8">
        <v>0</v>
      </c>
      <c r="V98" s="34"/>
      <c r="W98" s="8">
        <v>1</v>
      </c>
    </row>
    <row r="99" spans="1:23" ht="40" x14ac:dyDescent="0.2">
      <c r="A99" s="4" t="s">
        <v>81</v>
      </c>
      <c r="B99" s="8">
        <v>2023</v>
      </c>
      <c r="C99" s="8" t="s">
        <v>19</v>
      </c>
      <c r="E99" s="8">
        <v>1</v>
      </c>
      <c r="F99" s="26"/>
      <c r="G99" s="8">
        <v>1</v>
      </c>
      <c r="H99" s="8"/>
      <c r="I99" s="8">
        <v>1</v>
      </c>
      <c r="J99" s="13"/>
      <c r="K99" s="8"/>
      <c r="L99" s="8">
        <v>1</v>
      </c>
      <c r="M99" s="34"/>
      <c r="N99" s="8">
        <v>2</v>
      </c>
      <c r="O99" s="34"/>
      <c r="P99" s="8">
        <v>1</v>
      </c>
      <c r="R99" s="8"/>
      <c r="S99" s="8">
        <v>0</v>
      </c>
      <c r="T99" s="34"/>
      <c r="U99" s="8">
        <v>0</v>
      </c>
      <c r="V99" s="34"/>
      <c r="W99" s="8">
        <v>1</v>
      </c>
    </row>
    <row r="100" spans="1:23" ht="34" x14ac:dyDescent="0.2">
      <c r="A100" s="5" t="s">
        <v>212</v>
      </c>
      <c r="B100" s="9">
        <v>2006</v>
      </c>
      <c r="C100" s="9" t="s">
        <v>20</v>
      </c>
      <c r="D100" s="58" t="s">
        <v>211</v>
      </c>
      <c r="E100" s="9">
        <v>0</v>
      </c>
      <c r="F100" s="27"/>
      <c r="G100" s="9">
        <v>0</v>
      </c>
      <c r="H100" s="9"/>
      <c r="I100" s="9">
        <v>1</v>
      </c>
      <c r="J100" s="13"/>
      <c r="K100" s="9"/>
      <c r="L100" s="9">
        <v>1</v>
      </c>
      <c r="M100" s="35"/>
      <c r="N100" s="9">
        <v>2</v>
      </c>
      <c r="O100" s="35"/>
      <c r="P100" s="9">
        <v>0</v>
      </c>
      <c r="R100" s="9"/>
      <c r="S100" s="9">
        <v>0</v>
      </c>
      <c r="T100" s="35"/>
      <c r="U100" s="9">
        <v>0</v>
      </c>
      <c r="V100" s="35"/>
      <c r="W100" s="9">
        <v>0</v>
      </c>
    </row>
    <row r="101" spans="1:23" ht="20" x14ac:dyDescent="0.2">
      <c r="A101" s="5" t="s">
        <v>83</v>
      </c>
      <c r="B101" s="9">
        <v>2007</v>
      </c>
      <c r="C101" s="9" t="s">
        <v>20</v>
      </c>
      <c r="E101" s="9">
        <v>0</v>
      </c>
      <c r="F101" s="27"/>
      <c r="G101" s="9">
        <v>0</v>
      </c>
      <c r="H101" s="9"/>
      <c r="I101" s="9">
        <v>0</v>
      </c>
      <c r="J101" s="13"/>
      <c r="K101" s="9"/>
      <c r="L101" s="9">
        <v>0</v>
      </c>
      <c r="M101" s="35"/>
      <c r="N101" s="9">
        <v>2</v>
      </c>
      <c r="O101" s="35"/>
      <c r="P101" s="9">
        <v>0</v>
      </c>
      <c r="R101" s="9"/>
      <c r="S101" s="9">
        <v>0</v>
      </c>
      <c r="T101" s="35"/>
      <c r="U101" s="9">
        <v>0</v>
      </c>
      <c r="V101" s="35"/>
      <c r="W101" s="9">
        <v>0</v>
      </c>
    </row>
    <row r="102" spans="1:23" ht="40" x14ac:dyDescent="0.2">
      <c r="A102" s="5" t="s">
        <v>84</v>
      </c>
      <c r="B102" s="9">
        <v>2009</v>
      </c>
      <c r="C102" s="9" t="s">
        <v>20</v>
      </c>
      <c r="E102" s="9">
        <v>0</v>
      </c>
      <c r="F102" s="27"/>
      <c r="G102" s="9">
        <v>0</v>
      </c>
      <c r="H102" s="9"/>
      <c r="I102" s="9">
        <v>2</v>
      </c>
      <c r="J102" s="13"/>
      <c r="K102" s="9"/>
      <c r="L102" s="9">
        <v>1</v>
      </c>
      <c r="M102" s="35"/>
      <c r="N102" s="9">
        <v>2</v>
      </c>
      <c r="O102" s="35"/>
      <c r="P102" s="9">
        <v>2</v>
      </c>
      <c r="R102" s="9"/>
      <c r="S102" s="9">
        <v>0</v>
      </c>
      <c r="T102" s="35"/>
      <c r="U102" s="9">
        <v>0</v>
      </c>
      <c r="V102" s="35"/>
      <c r="W102" s="9">
        <v>0</v>
      </c>
    </row>
    <row r="103" spans="1:23" ht="40" x14ac:dyDescent="0.2">
      <c r="A103" s="5" t="s">
        <v>85</v>
      </c>
      <c r="B103" s="9">
        <v>2011</v>
      </c>
      <c r="C103" s="9" t="s">
        <v>20</v>
      </c>
      <c r="E103" s="9">
        <v>0</v>
      </c>
      <c r="F103" s="27"/>
      <c r="G103" s="9">
        <v>0</v>
      </c>
      <c r="H103" s="9"/>
      <c r="I103" s="9">
        <v>2</v>
      </c>
      <c r="J103" s="13"/>
      <c r="K103" s="9"/>
      <c r="L103" s="9">
        <v>1</v>
      </c>
      <c r="M103" s="35"/>
      <c r="N103" s="9">
        <v>1</v>
      </c>
      <c r="O103" s="35"/>
      <c r="P103" s="9">
        <v>2</v>
      </c>
      <c r="R103" s="9"/>
      <c r="S103" s="9">
        <v>0</v>
      </c>
      <c r="T103" s="35"/>
      <c r="U103" s="9">
        <v>0</v>
      </c>
      <c r="V103" s="35"/>
      <c r="W103" s="9">
        <v>0</v>
      </c>
    </row>
    <row r="104" spans="1:23" ht="20" x14ac:dyDescent="0.2">
      <c r="A104" s="5" t="s">
        <v>86</v>
      </c>
      <c r="B104" s="9">
        <v>2013</v>
      </c>
      <c r="C104" s="9" t="s">
        <v>20</v>
      </c>
      <c r="E104" s="9">
        <v>0</v>
      </c>
      <c r="F104" s="27"/>
      <c r="G104" s="9">
        <v>0</v>
      </c>
      <c r="H104" s="9"/>
      <c r="I104" s="9">
        <v>1</v>
      </c>
      <c r="J104" s="13"/>
      <c r="K104" s="9"/>
      <c r="L104" s="9">
        <v>0</v>
      </c>
      <c r="M104" s="35"/>
      <c r="N104" s="9">
        <v>2</v>
      </c>
      <c r="O104" s="35"/>
      <c r="P104" s="9">
        <v>0</v>
      </c>
      <c r="R104" s="9"/>
      <c r="S104" s="9">
        <v>0</v>
      </c>
      <c r="T104" s="35"/>
      <c r="U104" s="9">
        <v>0</v>
      </c>
      <c r="V104" s="35"/>
      <c r="W104" s="9">
        <v>0</v>
      </c>
    </row>
    <row r="105" spans="1:23" ht="20" x14ac:dyDescent="0.2">
      <c r="A105" s="5" t="s">
        <v>87</v>
      </c>
      <c r="B105" s="9">
        <v>2015</v>
      </c>
      <c r="C105" s="9" t="s">
        <v>20</v>
      </c>
      <c r="E105" s="9">
        <v>0</v>
      </c>
      <c r="F105" s="27"/>
      <c r="G105" s="9">
        <v>0</v>
      </c>
      <c r="H105" s="9"/>
      <c r="I105" s="9">
        <v>2</v>
      </c>
      <c r="J105" s="13"/>
      <c r="K105" s="9"/>
      <c r="L105" s="9">
        <v>1</v>
      </c>
      <c r="M105" s="35"/>
      <c r="N105" s="9">
        <v>2</v>
      </c>
      <c r="O105" s="35"/>
      <c r="P105" s="9">
        <v>1</v>
      </c>
      <c r="R105" s="9"/>
      <c r="S105" s="9">
        <v>0</v>
      </c>
      <c r="T105" s="35"/>
      <c r="U105" s="9">
        <v>0</v>
      </c>
      <c r="V105" s="35"/>
      <c r="W105" s="9">
        <v>0</v>
      </c>
    </row>
    <row r="106" spans="1:23" ht="20" x14ac:dyDescent="0.2">
      <c r="A106" s="5" t="s">
        <v>88</v>
      </c>
      <c r="B106" s="9">
        <v>2019</v>
      </c>
      <c r="C106" s="9" t="s">
        <v>20</v>
      </c>
      <c r="E106" s="9">
        <v>0</v>
      </c>
      <c r="F106" s="27"/>
      <c r="G106" s="9">
        <v>0</v>
      </c>
      <c r="H106" s="9"/>
      <c r="I106" s="9">
        <v>1</v>
      </c>
      <c r="J106" s="13"/>
      <c r="K106" s="9"/>
      <c r="L106" s="9">
        <v>0</v>
      </c>
      <c r="M106" s="35"/>
      <c r="N106" s="9">
        <v>2</v>
      </c>
      <c r="O106" s="35"/>
      <c r="P106" s="9">
        <v>0</v>
      </c>
      <c r="R106" s="9"/>
      <c r="S106" s="9">
        <v>0</v>
      </c>
      <c r="T106" s="35"/>
      <c r="U106" s="9">
        <v>0</v>
      </c>
      <c r="V106" s="35"/>
      <c r="W106" s="9">
        <v>0</v>
      </c>
    </row>
    <row r="107" spans="1:23" ht="40" x14ac:dyDescent="0.2">
      <c r="A107" s="5" t="s">
        <v>89</v>
      </c>
      <c r="B107" s="9">
        <v>2021</v>
      </c>
      <c r="C107" s="9" t="s">
        <v>20</v>
      </c>
      <c r="E107" s="9">
        <v>0</v>
      </c>
      <c r="F107" s="27"/>
      <c r="G107" s="9">
        <v>0</v>
      </c>
      <c r="H107" s="9"/>
      <c r="I107" s="9">
        <v>2</v>
      </c>
      <c r="J107" s="13"/>
      <c r="K107" s="9"/>
      <c r="L107" s="9">
        <v>1</v>
      </c>
      <c r="M107" s="35"/>
      <c r="N107" s="9">
        <v>2</v>
      </c>
      <c r="O107" s="35"/>
      <c r="P107" s="9">
        <v>0</v>
      </c>
      <c r="R107" s="9"/>
      <c r="S107" s="9">
        <v>0</v>
      </c>
      <c r="T107" s="35"/>
      <c r="U107" s="9">
        <v>0</v>
      </c>
      <c r="V107" s="35"/>
      <c r="W107" s="9">
        <v>0</v>
      </c>
    </row>
    <row r="108" spans="1:23" ht="40" x14ac:dyDescent="0.2">
      <c r="A108" s="5" t="s">
        <v>90</v>
      </c>
      <c r="B108" s="9">
        <v>2023</v>
      </c>
      <c r="C108" s="9" t="s">
        <v>20</v>
      </c>
      <c r="E108" s="9">
        <v>0</v>
      </c>
      <c r="F108" s="27"/>
      <c r="G108" s="9">
        <v>0</v>
      </c>
      <c r="H108" s="9"/>
      <c r="I108" s="9">
        <v>2</v>
      </c>
      <c r="J108" s="13"/>
      <c r="K108" s="9"/>
      <c r="L108" s="9">
        <v>1</v>
      </c>
      <c r="M108" s="35"/>
      <c r="N108" s="9">
        <v>2</v>
      </c>
      <c r="O108" s="35"/>
      <c r="P108" s="9">
        <v>0</v>
      </c>
      <c r="R108" s="9"/>
      <c r="S108" s="9">
        <v>0</v>
      </c>
      <c r="T108" s="35"/>
      <c r="U108" s="9">
        <v>0</v>
      </c>
      <c r="V108" s="35"/>
      <c r="W108" s="9">
        <v>0</v>
      </c>
    </row>
    <row r="109" spans="1:23" ht="51" x14ac:dyDescent="0.2">
      <c r="A109" s="3" t="s">
        <v>214</v>
      </c>
      <c r="B109" s="7">
        <v>2010</v>
      </c>
      <c r="C109" s="7" t="s">
        <v>61</v>
      </c>
      <c r="D109" s="58" t="s">
        <v>213</v>
      </c>
      <c r="E109" s="7">
        <v>1</v>
      </c>
      <c r="F109" s="25"/>
      <c r="G109" s="7">
        <v>0</v>
      </c>
      <c r="H109" s="7"/>
      <c r="I109" s="7">
        <v>1</v>
      </c>
      <c r="J109" s="13"/>
      <c r="K109" s="7"/>
      <c r="L109" s="7">
        <v>1</v>
      </c>
      <c r="M109" s="33"/>
      <c r="N109" s="7">
        <v>2</v>
      </c>
      <c r="O109" s="33"/>
      <c r="P109" s="7">
        <v>2</v>
      </c>
      <c r="R109" s="7"/>
      <c r="S109" s="7">
        <v>0</v>
      </c>
      <c r="T109" s="33"/>
      <c r="U109" s="7">
        <v>2</v>
      </c>
      <c r="V109" s="33"/>
      <c r="W109" s="7">
        <v>0</v>
      </c>
    </row>
    <row r="110" spans="1:23" ht="60" x14ac:dyDescent="0.2">
      <c r="A110" s="3" t="s">
        <v>92</v>
      </c>
      <c r="B110" s="7">
        <v>2011</v>
      </c>
      <c r="C110" s="7" t="s">
        <v>61</v>
      </c>
      <c r="E110" s="7">
        <v>1</v>
      </c>
      <c r="F110" s="25"/>
      <c r="G110" s="7">
        <v>0</v>
      </c>
      <c r="H110" s="7"/>
      <c r="I110" s="7">
        <v>1</v>
      </c>
      <c r="J110" s="13"/>
      <c r="K110" s="7"/>
      <c r="L110" s="7">
        <v>1</v>
      </c>
      <c r="M110" s="33"/>
      <c r="N110" s="7">
        <v>2</v>
      </c>
      <c r="O110" s="33"/>
      <c r="P110" s="7">
        <v>2</v>
      </c>
      <c r="R110" s="7"/>
      <c r="S110" s="7">
        <v>0</v>
      </c>
      <c r="T110" s="33"/>
      <c r="U110" s="7">
        <v>2</v>
      </c>
      <c r="V110" s="33"/>
      <c r="W110" s="7">
        <v>1</v>
      </c>
    </row>
    <row r="111" spans="1:23" ht="60" x14ac:dyDescent="0.2">
      <c r="A111" s="3" t="s">
        <v>93</v>
      </c>
      <c r="B111" s="7">
        <v>2013</v>
      </c>
      <c r="C111" s="7" t="s">
        <v>61</v>
      </c>
      <c r="E111" s="7">
        <v>1</v>
      </c>
      <c r="F111" s="25"/>
      <c r="G111" s="7">
        <v>0</v>
      </c>
      <c r="H111" s="7"/>
      <c r="I111" s="7">
        <v>1</v>
      </c>
      <c r="J111" s="13"/>
      <c r="K111" s="7"/>
      <c r="L111" s="7">
        <v>1</v>
      </c>
      <c r="M111" s="33"/>
      <c r="N111" s="7">
        <v>2</v>
      </c>
      <c r="O111" s="33"/>
      <c r="P111" s="7">
        <v>2</v>
      </c>
      <c r="R111" s="7"/>
      <c r="S111" s="7">
        <v>0</v>
      </c>
      <c r="T111" s="33"/>
      <c r="U111" s="7">
        <v>2</v>
      </c>
      <c r="V111" s="33"/>
      <c r="W111" s="7">
        <v>1</v>
      </c>
    </row>
    <row r="112" spans="1:23" ht="40" x14ac:dyDescent="0.2">
      <c r="A112" s="3" t="s">
        <v>94</v>
      </c>
      <c r="B112" s="7">
        <v>2015</v>
      </c>
      <c r="C112" s="7" t="s">
        <v>61</v>
      </c>
      <c r="E112" s="7">
        <v>1</v>
      </c>
      <c r="F112" s="25"/>
      <c r="G112" s="7">
        <v>0</v>
      </c>
      <c r="H112" s="7"/>
      <c r="I112" s="7">
        <v>1</v>
      </c>
      <c r="J112" s="13"/>
      <c r="K112" s="7"/>
      <c r="L112" s="7">
        <v>1</v>
      </c>
      <c r="M112" s="33"/>
      <c r="N112" s="7">
        <v>2</v>
      </c>
      <c r="O112" s="33"/>
      <c r="P112" s="7">
        <v>2</v>
      </c>
      <c r="R112" s="7"/>
      <c r="S112" s="7">
        <v>0</v>
      </c>
      <c r="T112" s="33"/>
      <c r="U112" s="7">
        <v>2</v>
      </c>
      <c r="V112" s="33"/>
      <c r="W112" s="7">
        <v>1</v>
      </c>
    </row>
    <row r="113" spans="1:23" ht="40" x14ac:dyDescent="0.2">
      <c r="A113" s="3" t="s">
        <v>95</v>
      </c>
      <c r="B113" s="7">
        <v>2017</v>
      </c>
      <c r="C113" s="7" t="s">
        <v>61</v>
      </c>
      <c r="E113" s="7">
        <v>1</v>
      </c>
      <c r="F113" s="25"/>
      <c r="G113" s="7">
        <v>0</v>
      </c>
      <c r="H113" s="7"/>
      <c r="I113" s="7">
        <v>1</v>
      </c>
      <c r="J113" s="13"/>
      <c r="K113" s="7"/>
      <c r="L113" s="7">
        <v>1</v>
      </c>
      <c r="M113" s="33"/>
      <c r="N113" s="7">
        <v>2</v>
      </c>
      <c r="O113" s="33"/>
      <c r="P113" s="7">
        <v>2</v>
      </c>
      <c r="R113" s="7"/>
      <c r="S113" s="7">
        <v>0</v>
      </c>
      <c r="T113" s="33"/>
      <c r="U113" s="7">
        <v>2</v>
      </c>
      <c r="V113" s="33"/>
      <c r="W113" s="7">
        <v>1</v>
      </c>
    </row>
    <row r="114" spans="1:23" ht="40" x14ac:dyDescent="0.2">
      <c r="A114" s="3" t="s">
        <v>96</v>
      </c>
      <c r="B114" s="7">
        <v>2019</v>
      </c>
      <c r="C114" s="7" t="s">
        <v>61</v>
      </c>
      <c r="E114" s="7">
        <v>1</v>
      </c>
      <c r="F114" s="25"/>
      <c r="G114" s="7">
        <v>0</v>
      </c>
      <c r="H114" s="7"/>
      <c r="I114" s="7">
        <v>1</v>
      </c>
      <c r="J114" s="13"/>
      <c r="K114" s="7"/>
      <c r="L114" s="7">
        <v>1</v>
      </c>
      <c r="M114" s="33"/>
      <c r="N114" s="7">
        <v>2</v>
      </c>
      <c r="O114" s="33"/>
      <c r="P114" s="7">
        <v>2</v>
      </c>
      <c r="R114" s="7"/>
      <c r="S114" s="7">
        <v>0</v>
      </c>
      <c r="T114" s="33"/>
      <c r="U114" s="7">
        <v>2</v>
      </c>
      <c r="V114" s="33"/>
      <c r="W114" s="7">
        <v>1</v>
      </c>
    </row>
    <row r="115" spans="1:23" ht="40" x14ac:dyDescent="0.2">
      <c r="A115" s="3" t="s">
        <v>97</v>
      </c>
      <c r="B115" s="7">
        <v>2020</v>
      </c>
      <c r="C115" s="7" t="s">
        <v>61</v>
      </c>
      <c r="E115" s="7">
        <v>1</v>
      </c>
      <c r="F115" s="25"/>
      <c r="G115" s="7">
        <v>0</v>
      </c>
      <c r="H115" s="7"/>
      <c r="I115" s="7">
        <v>1</v>
      </c>
      <c r="J115" s="13"/>
      <c r="K115" s="7"/>
      <c r="L115" s="7">
        <v>1</v>
      </c>
      <c r="M115" s="33"/>
      <c r="N115" s="7">
        <v>2</v>
      </c>
      <c r="O115" s="33"/>
      <c r="P115" s="7">
        <v>2</v>
      </c>
      <c r="R115" s="7"/>
      <c r="S115" s="7">
        <v>0</v>
      </c>
      <c r="T115" s="33"/>
      <c r="U115" s="7">
        <v>2</v>
      </c>
      <c r="V115" s="33"/>
      <c r="W115" s="7">
        <v>1</v>
      </c>
    </row>
    <row r="116" spans="1:23" ht="40" x14ac:dyDescent="0.2">
      <c r="A116" s="3" t="s">
        <v>98</v>
      </c>
      <c r="B116" s="7">
        <v>2022</v>
      </c>
      <c r="C116" s="7" t="s">
        <v>61</v>
      </c>
      <c r="E116" s="7">
        <v>1</v>
      </c>
      <c r="F116" s="25"/>
      <c r="G116" s="7">
        <v>0</v>
      </c>
      <c r="H116" s="7"/>
      <c r="I116" s="7">
        <v>1</v>
      </c>
      <c r="J116" s="13"/>
      <c r="K116" s="7"/>
      <c r="L116" s="7">
        <v>1</v>
      </c>
      <c r="M116" s="33"/>
      <c r="N116" s="7">
        <v>2</v>
      </c>
      <c r="O116" s="33"/>
      <c r="P116" s="7">
        <v>2</v>
      </c>
      <c r="R116" s="7"/>
      <c r="S116" s="7">
        <v>0</v>
      </c>
      <c r="T116" s="33"/>
      <c r="U116" s="7">
        <v>2</v>
      </c>
      <c r="V116" s="33"/>
      <c r="W116" s="7">
        <v>1</v>
      </c>
    </row>
    <row r="117" spans="1:23" ht="40" x14ac:dyDescent="0.2">
      <c r="A117" s="3" t="s">
        <v>99</v>
      </c>
      <c r="B117" s="7">
        <v>2023</v>
      </c>
      <c r="C117" s="7" t="s">
        <v>61</v>
      </c>
      <c r="E117" s="7">
        <v>1</v>
      </c>
      <c r="F117" s="25"/>
      <c r="G117" s="7">
        <v>0</v>
      </c>
      <c r="H117" s="7"/>
      <c r="I117" s="7">
        <v>1</v>
      </c>
      <c r="J117" s="13"/>
      <c r="K117" s="7"/>
      <c r="L117" s="7">
        <v>1</v>
      </c>
      <c r="M117" s="33"/>
      <c r="N117" s="7">
        <v>2</v>
      </c>
      <c r="O117" s="33"/>
      <c r="P117" s="7">
        <v>2</v>
      </c>
      <c r="R117" s="7"/>
      <c r="S117" s="7">
        <v>0</v>
      </c>
      <c r="T117" s="33"/>
      <c r="U117" s="7">
        <v>2</v>
      </c>
      <c r="V117" s="33"/>
      <c r="W117" s="7">
        <v>1</v>
      </c>
    </row>
    <row r="118" spans="1:23" ht="34" x14ac:dyDescent="0.2">
      <c r="A118" s="4" t="s">
        <v>216</v>
      </c>
      <c r="B118" s="8">
        <v>2000</v>
      </c>
      <c r="C118" s="8" t="s">
        <v>21</v>
      </c>
      <c r="D118" s="58" t="s">
        <v>215</v>
      </c>
      <c r="E118" s="8">
        <v>0</v>
      </c>
      <c r="F118" s="26"/>
      <c r="G118" s="8">
        <v>0</v>
      </c>
      <c r="H118" s="8"/>
      <c r="I118" s="8">
        <v>1</v>
      </c>
      <c r="J118" s="13"/>
      <c r="K118" s="8"/>
      <c r="L118" s="8">
        <v>0</v>
      </c>
      <c r="M118" s="34"/>
      <c r="N118" s="8">
        <v>2</v>
      </c>
      <c r="O118" s="34"/>
      <c r="P118" s="8">
        <v>0</v>
      </c>
      <c r="R118" s="8"/>
      <c r="S118" s="8">
        <v>0</v>
      </c>
      <c r="T118" s="34"/>
      <c r="U118" s="8">
        <v>0</v>
      </c>
      <c r="V118" s="34"/>
      <c r="W118" s="8">
        <v>0</v>
      </c>
    </row>
    <row r="119" spans="1:23" ht="40" x14ac:dyDescent="0.2">
      <c r="A119" s="4" t="s">
        <v>101</v>
      </c>
      <c r="B119" s="8">
        <v>2003</v>
      </c>
      <c r="C119" s="8" t="s">
        <v>21</v>
      </c>
      <c r="E119" s="8">
        <v>0</v>
      </c>
      <c r="F119" s="26"/>
      <c r="G119" s="8">
        <v>0</v>
      </c>
      <c r="H119" s="8"/>
      <c r="I119" s="8">
        <v>1</v>
      </c>
      <c r="J119" s="13"/>
      <c r="K119" s="8"/>
      <c r="L119" s="8">
        <v>0</v>
      </c>
      <c r="M119" s="34"/>
      <c r="N119" s="8">
        <v>2</v>
      </c>
      <c r="O119" s="34"/>
      <c r="P119" s="8">
        <v>0</v>
      </c>
      <c r="R119" s="8"/>
      <c r="S119" s="8">
        <v>0</v>
      </c>
      <c r="T119" s="34"/>
      <c r="U119" s="8">
        <v>0</v>
      </c>
      <c r="V119" s="34"/>
      <c r="W119" s="8">
        <v>0</v>
      </c>
    </row>
    <row r="120" spans="1:23" ht="20" x14ac:dyDescent="0.2">
      <c r="A120" s="4" t="s">
        <v>102</v>
      </c>
      <c r="B120" s="8">
        <v>2006</v>
      </c>
      <c r="C120" s="8" t="s">
        <v>21</v>
      </c>
      <c r="E120" s="8">
        <v>0</v>
      </c>
      <c r="F120" s="26"/>
      <c r="G120" s="8">
        <v>0</v>
      </c>
      <c r="H120" s="8"/>
      <c r="I120" s="8">
        <v>1</v>
      </c>
      <c r="J120" s="13"/>
      <c r="K120" s="8"/>
      <c r="L120" s="8">
        <v>0</v>
      </c>
      <c r="M120" s="34"/>
      <c r="N120" s="8">
        <v>2</v>
      </c>
      <c r="O120" s="34"/>
      <c r="P120" s="8">
        <v>0</v>
      </c>
      <c r="R120" s="8"/>
      <c r="S120" s="8">
        <v>0</v>
      </c>
      <c r="T120" s="34"/>
      <c r="U120" s="8">
        <v>0</v>
      </c>
      <c r="V120" s="34"/>
      <c r="W120" s="8">
        <v>0</v>
      </c>
    </row>
    <row r="121" spans="1:23" ht="40" x14ac:dyDescent="0.2">
      <c r="A121" s="4" t="s">
        <v>103</v>
      </c>
      <c r="B121" s="8">
        <v>2009</v>
      </c>
      <c r="C121" s="8" t="s">
        <v>21</v>
      </c>
      <c r="E121" s="8">
        <v>0</v>
      </c>
      <c r="F121" s="26"/>
      <c r="G121" s="8">
        <v>0</v>
      </c>
      <c r="H121" s="8"/>
      <c r="I121" s="8">
        <v>1</v>
      </c>
      <c r="J121" s="13"/>
      <c r="K121" s="8"/>
      <c r="L121" s="8">
        <v>0</v>
      </c>
      <c r="M121" s="34"/>
      <c r="N121" s="8">
        <v>2</v>
      </c>
      <c r="O121" s="34"/>
      <c r="P121" s="8">
        <v>0</v>
      </c>
      <c r="R121" s="8"/>
      <c r="S121" s="8">
        <v>0</v>
      </c>
      <c r="T121" s="34"/>
      <c r="U121" s="8">
        <v>0</v>
      </c>
      <c r="V121" s="34"/>
      <c r="W121" s="8">
        <v>0</v>
      </c>
    </row>
    <row r="122" spans="1:23" ht="20" x14ac:dyDescent="0.2">
      <c r="A122" s="4" t="s">
        <v>104</v>
      </c>
      <c r="B122" s="8">
        <v>2012</v>
      </c>
      <c r="C122" s="8" t="s">
        <v>21</v>
      </c>
      <c r="E122" s="8">
        <v>0</v>
      </c>
      <c r="F122" s="26"/>
      <c r="G122" s="8">
        <v>0</v>
      </c>
      <c r="H122" s="8"/>
      <c r="I122" s="8">
        <v>1</v>
      </c>
      <c r="J122" s="13"/>
      <c r="K122" s="8"/>
      <c r="L122" s="8">
        <v>0</v>
      </c>
      <c r="M122" s="34"/>
      <c r="N122" s="8">
        <v>2</v>
      </c>
      <c r="O122" s="34"/>
      <c r="P122" s="8">
        <v>0</v>
      </c>
      <c r="R122" s="8"/>
      <c r="S122" s="8">
        <v>0</v>
      </c>
      <c r="T122" s="34"/>
      <c r="U122" s="8">
        <v>0</v>
      </c>
      <c r="V122" s="34"/>
      <c r="W122" s="8">
        <v>0</v>
      </c>
    </row>
    <row r="123" spans="1:23" ht="60" x14ac:dyDescent="0.2">
      <c r="A123" s="4" t="s">
        <v>105</v>
      </c>
      <c r="B123" s="8">
        <v>2015</v>
      </c>
      <c r="C123" s="8" t="s">
        <v>21</v>
      </c>
      <c r="E123" s="8">
        <v>0</v>
      </c>
      <c r="F123" s="26"/>
      <c r="G123" s="8">
        <v>0</v>
      </c>
      <c r="H123" s="8"/>
      <c r="I123" s="8">
        <v>1</v>
      </c>
      <c r="J123" s="13"/>
      <c r="K123" s="8"/>
      <c r="L123" s="8">
        <v>0</v>
      </c>
      <c r="M123" s="34"/>
      <c r="N123" s="8">
        <v>2</v>
      </c>
      <c r="O123" s="34"/>
      <c r="P123" s="8">
        <v>0</v>
      </c>
      <c r="R123" s="8"/>
      <c r="S123" s="8">
        <v>0</v>
      </c>
      <c r="T123" s="34"/>
      <c r="U123" s="8">
        <v>0</v>
      </c>
      <c r="V123" s="34"/>
      <c r="W123" s="8">
        <v>0</v>
      </c>
    </row>
    <row r="124" spans="1:23" ht="20" x14ac:dyDescent="0.2">
      <c r="A124" s="4" t="s">
        <v>106</v>
      </c>
      <c r="B124" s="8">
        <v>2018</v>
      </c>
      <c r="C124" s="8" t="s">
        <v>21</v>
      </c>
      <c r="E124" s="8">
        <v>1</v>
      </c>
      <c r="F124" s="26"/>
      <c r="G124" s="8">
        <v>1</v>
      </c>
      <c r="H124" s="8"/>
      <c r="I124" s="8">
        <v>2</v>
      </c>
      <c r="J124" s="13"/>
      <c r="K124" s="8"/>
      <c r="L124" s="8">
        <v>1</v>
      </c>
      <c r="M124" s="34"/>
      <c r="N124" s="8">
        <v>2</v>
      </c>
      <c r="O124" s="34"/>
      <c r="P124" s="8">
        <v>1</v>
      </c>
      <c r="R124" s="8"/>
      <c r="S124" s="8">
        <v>0</v>
      </c>
      <c r="T124" s="34"/>
      <c r="U124" s="8">
        <v>0</v>
      </c>
      <c r="V124" s="34"/>
      <c r="W124" s="8">
        <v>0</v>
      </c>
    </row>
    <row r="125" spans="1:23" ht="40" x14ac:dyDescent="0.2">
      <c r="A125" s="4" t="s">
        <v>107</v>
      </c>
      <c r="B125" s="8">
        <v>2021</v>
      </c>
      <c r="C125" s="8" t="s">
        <v>21</v>
      </c>
      <c r="E125" s="8">
        <v>1</v>
      </c>
      <c r="F125" s="26"/>
      <c r="G125" s="8">
        <v>1</v>
      </c>
      <c r="H125" s="8"/>
      <c r="I125" s="8">
        <v>2</v>
      </c>
      <c r="J125" s="13"/>
      <c r="K125" s="8"/>
      <c r="L125" s="8">
        <v>1</v>
      </c>
      <c r="M125" s="34"/>
      <c r="N125" s="8">
        <v>2</v>
      </c>
      <c r="O125" s="34"/>
      <c r="P125" s="8">
        <v>1</v>
      </c>
      <c r="R125" s="8"/>
      <c r="S125" s="8">
        <v>0</v>
      </c>
      <c r="T125" s="34"/>
      <c r="U125" s="8">
        <v>0</v>
      </c>
      <c r="V125" s="34"/>
      <c r="W125" s="8">
        <v>0</v>
      </c>
    </row>
    <row r="126" spans="1:23" ht="40" x14ac:dyDescent="0.2">
      <c r="A126" s="4" t="s">
        <v>108</v>
      </c>
      <c r="B126" s="8">
        <v>2023</v>
      </c>
      <c r="C126" s="8" t="s">
        <v>21</v>
      </c>
      <c r="E126" s="8">
        <v>1</v>
      </c>
      <c r="F126" s="26"/>
      <c r="G126" s="8">
        <v>1</v>
      </c>
      <c r="H126" s="8"/>
      <c r="I126" s="8">
        <v>2</v>
      </c>
      <c r="J126" s="13"/>
      <c r="K126" s="8"/>
      <c r="L126" s="8">
        <v>1</v>
      </c>
      <c r="M126" s="34"/>
      <c r="N126" s="8">
        <v>2</v>
      </c>
      <c r="O126" s="34"/>
      <c r="P126" s="8">
        <v>1</v>
      </c>
      <c r="R126" s="8"/>
      <c r="S126" s="8">
        <v>0</v>
      </c>
      <c r="T126" s="34"/>
      <c r="U126" s="8">
        <v>0</v>
      </c>
      <c r="V126" s="34"/>
      <c r="W126" s="8">
        <v>0</v>
      </c>
    </row>
    <row r="127" spans="1:23" ht="40" x14ac:dyDescent="0.2">
      <c r="A127" s="5" t="s">
        <v>218</v>
      </c>
      <c r="B127" s="9">
        <v>1989</v>
      </c>
      <c r="C127" s="9" t="s">
        <v>22</v>
      </c>
      <c r="D127" s="58" t="s">
        <v>217</v>
      </c>
      <c r="E127" s="9">
        <v>0</v>
      </c>
      <c r="F127" s="27"/>
      <c r="G127" s="9">
        <v>0</v>
      </c>
      <c r="H127" s="9"/>
      <c r="I127" s="9">
        <v>1</v>
      </c>
      <c r="J127" s="13"/>
      <c r="K127" s="9"/>
      <c r="L127" s="9">
        <v>1</v>
      </c>
      <c r="M127" s="35"/>
      <c r="N127" s="9">
        <v>2</v>
      </c>
      <c r="O127" s="35"/>
      <c r="P127" s="9">
        <v>0</v>
      </c>
      <c r="R127" s="9"/>
      <c r="S127" s="9">
        <v>0</v>
      </c>
      <c r="T127" s="35"/>
      <c r="U127" s="9">
        <v>0</v>
      </c>
      <c r="V127" s="35"/>
      <c r="W127" s="9">
        <v>0</v>
      </c>
    </row>
    <row r="128" spans="1:23" ht="40" x14ac:dyDescent="0.2">
      <c r="A128" s="5" t="s">
        <v>110</v>
      </c>
      <c r="B128" s="9">
        <v>2000</v>
      </c>
      <c r="C128" s="9" t="s">
        <v>22</v>
      </c>
      <c r="E128" s="9">
        <v>0</v>
      </c>
      <c r="F128" s="27"/>
      <c r="G128" s="9">
        <v>0</v>
      </c>
      <c r="H128" s="9"/>
      <c r="I128" s="9">
        <v>1</v>
      </c>
      <c r="J128" s="13"/>
      <c r="K128" s="9"/>
      <c r="L128" s="9">
        <v>1</v>
      </c>
      <c r="M128" s="35"/>
      <c r="N128" s="9">
        <v>2</v>
      </c>
      <c r="O128" s="35"/>
      <c r="P128" s="9">
        <v>0</v>
      </c>
      <c r="R128" s="9"/>
      <c r="S128" s="9">
        <v>0</v>
      </c>
      <c r="T128" s="35"/>
      <c r="U128" s="9">
        <v>0</v>
      </c>
      <c r="V128" s="35"/>
      <c r="W128" s="9">
        <v>0</v>
      </c>
    </row>
    <row r="129" spans="1:23" ht="40" x14ac:dyDescent="0.2">
      <c r="A129" s="5" t="s">
        <v>111</v>
      </c>
      <c r="B129" s="9">
        <v>2004</v>
      </c>
      <c r="C129" s="9" t="s">
        <v>22</v>
      </c>
      <c r="E129" s="9">
        <v>0</v>
      </c>
      <c r="F129" s="27"/>
      <c r="G129" s="9">
        <v>0</v>
      </c>
      <c r="H129" s="9"/>
      <c r="I129" s="9">
        <v>2</v>
      </c>
      <c r="J129" s="13"/>
      <c r="K129" s="9"/>
      <c r="L129" s="9">
        <v>1</v>
      </c>
      <c r="M129" s="35"/>
      <c r="N129" s="9">
        <v>2</v>
      </c>
      <c r="O129" s="35"/>
      <c r="P129" s="9">
        <v>1</v>
      </c>
      <c r="R129" s="9"/>
      <c r="S129" s="9">
        <v>0</v>
      </c>
      <c r="T129" s="35"/>
      <c r="U129" s="9">
        <v>0</v>
      </c>
      <c r="V129" s="35"/>
      <c r="W129" s="9">
        <v>1</v>
      </c>
    </row>
    <row r="130" spans="1:23" ht="80" x14ac:dyDescent="0.2">
      <c r="A130" s="5" t="s">
        <v>112</v>
      </c>
      <c r="B130" s="9">
        <v>2008</v>
      </c>
      <c r="C130" s="9" t="s">
        <v>22</v>
      </c>
      <c r="E130" s="9">
        <v>0</v>
      </c>
      <c r="F130" s="27"/>
      <c r="G130" s="9">
        <v>0</v>
      </c>
      <c r="H130" s="9"/>
      <c r="I130" s="9">
        <v>1</v>
      </c>
      <c r="J130" s="13"/>
      <c r="K130" s="9"/>
      <c r="L130" s="9">
        <v>1</v>
      </c>
      <c r="M130" s="35"/>
      <c r="N130" s="9">
        <v>2</v>
      </c>
      <c r="O130" s="35"/>
      <c r="P130" s="9">
        <v>0</v>
      </c>
      <c r="R130" s="9"/>
      <c r="S130" s="9">
        <v>0</v>
      </c>
      <c r="T130" s="35"/>
      <c r="U130" s="9">
        <v>0</v>
      </c>
      <c r="V130" s="35"/>
      <c r="W130" s="9">
        <v>0</v>
      </c>
    </row>
    <row r="131" spans="1:23" ht="40" x14ac:dyDescent="0.2">
      <c r="A131" s="5" t="s">
        <v>113</v>
      </c>
      <c r="B131" s="9">
        <v>2011</v>
      </c>
      <c r="C131" s="9" t="s">
        <v>22</v>
      </c>
      <c r="E131" s="9">
        <v>0</v>
      </c>
      <c r="F131" s="27"/>
      <c r="G131" s="9">
        <v>0</v>
      </c>
      <c r="H131" s="9"/>
      <c r="I131" s="9">
        <v>1</v>
      </c>
      <c r="J131" s="13"/>
      <c r="K131" s="9"/>
      <c r="L131" s="9">
        <v>1</v>
      </c>
      <c r="M131" s="35"/>
      <c r="N131" s="9">
        <v>2</v>
      </c>
      <c r="O131" s="35"/>
      <c r="P131" s="9">
        <v>0</v>
      </c>
      <c r="R131" s="9"/>
      <c r="S131" s="9">
        <v>0</v>
      </c>
      <c r="T131" s="35"/>
      <c r="U131" s="9">
        <v>0</v>
      </c>
      <c r="V131" s="35"/>
      <c r="W131" s="9">
        <v>0</v>
      </c>
    </row>
    <row r="132" spans="1:23" ht="40" x14ac:dyDescent="0.2">
      <c r="A132" s="5" t="s">
        <v>114</v>
      </c>
      <c r="B132" s="9">
        <v>2014</v>
      </c>
      <c r="C132" s="9" t="s">
        <v>22</v>
      </c>
      <c r="E132" s="9">
        <v>0</v>
      </c>
      <c r="F132" s="27"/>
      <c r="G132" s="9">
        <v>0</v>
      </c>
      <c r="H132" s="9"/>
      <c r="I132" s="9">
        <v>2</v>
      </c>
      <c r="J132" s="13"/>
      <c r="K132" s="9"/>
      <c r="L132" s="9">
        <v>1</v>
      </c>
      <c r="M132" s="35"/>
      <c r="N132" s="9">
        <v>2</v>
      </c>
      <c r="O132" s="35"/>
      <c r="P132" s="9">
        <v>1</v>
      </c>
      <c r="R132" s="9"/>
      <c r="S132" s="9">
        <v>0</v>
      </c>
      <c r="T132" s="35"/>
      <c r="U132" s="9">
        <v>0</v>
      </c>
      <c r="V132" s="35"/>
      <c r="W132" s="9">
        <v>1</v>
      </c>
    </row>
    <row r="133" spans="1:23" ht="40" x14ac:dyDescent="0.2">
      <c r="A133" s="5" t="s">
        <v>115</v>
      </c>
      <c r="B133" s="9">
        <v>2017</v>
      </c>
      <c r="C133" s="9" t="s">
        <v>22</v>
      </c>
      <c r="E133" s="9">
        <v>0</v>
      </c>
      <c r="F133" s="27"/>
      <c r="G133" s="9">
        <v>0</v>
      </c>
      <c r="H133" s="9"/>
      <c r="I133" s="9">
        <v>2</v>
      </c>
      <c r="J133" s="13"/>
      <c r="K133" s="9"/>
      <c r="L133" s="9">
        <v>1</v>
      </c>
      <c r="M133" s="35"/>
      <c r="N133" s="9">
        <v>2</v>
      </c>
      <c r="O133" s="35"/>
      <c r="P133" s="9">
        <v>1</v>
      </c>
      <c r="R133" s="9"/>
      <c r="S133" s="9">
        <v>0</v>
      </c>
      <c r="T133" s="35"/>
      <c r="U133" s="9">
        <v>0</v>
      </c>
      <c r="V133" s="35"/>
      <c r="W133" s="9">
        <v>0</v>
      </c>
    </row>
    <row r="134" spans="1:23" ht="40" x14ac:dyDescent="0.2">
      <c r="A134" s="5" t="s">
        <v>116</v>
      </c>
      <c r="B134" s="9">
        <v>2020</v>
      </c>
      <c r="C134" s="9" t="s">
        <v>22</v>
      </c>
      <c r="E134" s="9">
        <v>0</v>
      </c>
      <c r="F134" s="27"/>
      <c r="G134" s="9">
        <v>0</v>
      </c>
      <c r="H134" s="9"/>
      <c r="I134" s="9">
        <v>2</v>
      </c>
      <c r="J134" s="13"/>
      <c r="K134" s="9"/>
      <c r="L134" s="9">
        <v>1</v>
      </c>
      <c r="M134" s="35"/>
      <c r="N134" s="9">
        <v>2</v>
      </c>
      <c r="O134" s="35"/>
      <c r="P134" s="9">
        <v>1</v>
      </c>
      <c r="R134" s="9"/>
      <c r="S134" s="9">
        <v>0</v>
      </c>
      <c r="T134" s="35"/>
      <c r="U134" s="9">
        <v>0</v>
      </c>
      <c r="V134" s="35"/>
      <c r="W134" s="9">
        <v>0</v>
      </c>
    </row>
    <row r="135" spans="1:23" ht="60" x14ac:dyDescent="0.2">
      <c r="A135" s="5" t="s">
        <v>117</v>
      </c>
      <c r="B135" s="9">
        <v>2023</v>
      </c>
      <c r="C135" s="9" t="s">
        <v>22</v>
      </c>
      <c r="E135" s="9">
        <v>0</v>
      </c>
      <c r="F135" s="27"/>
      <c r="G135" s="9">
        <v>0</v>
      </c>
      <c r="H135" s="9"/>
      <c r="I135" s="9">
        <v>2</v>
      </c>
      <c r="J135" s="13"/>
      <c r="K135" s="9"/>
      <c r="L135" s="9">
        <v>1</v>
      </c>
      <c r="M135" s="35"/>
      <c r="N135" s="9">
        <v>2</v>
      </c>
      <c r="O135" s="35"/>
      <c r="P135" s="9">
        <v>1</v>
      </c>
      <c r="R135" s="9"/>
      <c r="S135" s="9">
        <v>0</v>
      </c>
      <c r="T135" s="35"/>
      <c r="U135" s="9">
        <v>0</v>
      </c>
      <c r="V135" s="35"/>
      <c r="W135" s="9">
        <v>0</v>
      </c>
    </row>
    <row r="136" spans="1:23" ht="34" x14ac:dyDescent="0.2">
      <c r="A136" s="3" t="s">
        <v>220</v>
      </c>
      <c r="B136" s="7">
        <v>2012</v>
      </c>
      <c r="C136" s="7" t="s">
        <v>23</v>
      </c>
      <c r="D136" s="58" t="s">
        <v>219</v>
      </c>
      <c r="E136" s="7">
        <v>1</v>
      </c>
      <c r="F136" s="25"/>
      <c r="G136" s="7">
        <v>1</v>
      </c>
      <c r="H136" s="7"/>
      <c r="I136" s="7">
        <v>1</v>
      </c>
      <c r="J136" s="13"/>
      <c r="K136" s="7"/>
      <c r="L136" s="7">
        <v>1</v>
      </c>
      <c r="M136" s="33"/>
      <c r="N136" s="7">
        <v>2</v>
      </c>
      <c r="O136" s="33"/>
      <c r="P136" s="7">
        <v>0</v>
      </c>
      <c r="R136" s="7"/>
      <c r="S136" s="7">
        <v>0</v>
      </c>
      <c r="T136" s="33"/>
      <c r="U136" s="7">
        <v>2</v>
      </c>
      <c r="V136" s="33"/>
      <c r="W136" s="7">
        <v>1</v>
      </c>
    </row>
    <row r="137" spans="1:23" ht="20" x14ac:dyDescent="0.2">
      <c r="A137" s="3" t="s">
        <v>119</v>
      </c>
      <c r="B137" s="7">
        <v>2013</v>
      </c>
      <c r="C137" s="7" t="s">
        <v>23</v>
      </c>
      <c r="E137" s="7">
        <v>1</v>
      </c>
      <c r="F137" s="25"/>
      <c r="G137" s="7">
        <v>1</v>
      </c>
      <c r="H137" s="7"/>
      <c r="I137" s="7">
        <v>2</v>
      </c>
      <c r="J137" s="13"/>
      <c r="K137" s="7"/>
      <c r="L137" s="7">
        <v>1</v>
      </c>
      <c r="M137" s="33"/>
      <c r="N137" s="7">
        <v>2</v>
      </c>
      <c r="O137" s="33"/>
      <c r="P137" s="7">
        <v>1</v>
      </c>
      <c r="R137" s="7"/>
      <c r="S137" s="7">
        <v>0</v>
      </c>
      <c r="T137" s="33"/>
      <c r="U137" s="7">
        <v>2</v>
      </c>
      <c r="V137" s="33"/>
      <c r="W137" s="7">
        <v>1</v>
      </c>
    </row>
    <row r="138" spans="1:23" ht="20" x14ac:dyDescent="0.2">
      <c r="A138" s="3" t="s">
        <v>120</v>
      </c>
      <c r="B138" s="7">
        <v>2014</v>
      </c>
      <c r="C138" s="7" t="s">
        <v>23</v>
      </c>
      <c r="E138" s="7">
        <v>1</v>
      </c>
      <c r="F138" s="25"/>
      <c r="G138" s="7">
        <v>1</v>
      </c>
      <c r="H138" s="7"/>
      <c r="I138" s="7">
        <v>2</v>
      </c>
      <c r="J138" s="13"/>
      <c r="K138" s="7"/>
      <c r="L138" s="7">
        <v>1</v>
      </c>
      <c r="M138" s="33"/>
      <c r="N138" s="7">
        <v>1</v>
      </c>
      <c r="O138" s="33"/>
      <c r="P138" s="7">
        <v>1</v>
      </c>
      <c r="R138" s="7"/>
      <c r="S138" s="7">
        <v>0</v>
      </c>
      <c r="T138" s="33"/>
      <c r="U138" s="7">
        <v>2</v>
      </c>
      <c r="V138" s="33"/>
      <c r="W138" s="7">
        <v>1</v>
      </c>
    </row>
    <row r="139" spans="1:23" ht="40" x14ac:dyDescent="0.2">
      <c r="A139" s="3" t="s">
        <v>121</v>
      </c>
      <c r="B139" s="7">
        <v>2015</v>
      </c>
      <c r="C139" s="7" t="s">
        <v>23</v>
      </c>
      <c r="E139" s="7">
        <v>1</v>
      </c>
      <c r="F139" s="25"/>
      <c r="G139" s="7">
        <v>1</v>
      </c>
      <c r="H139" s="7"/>
      <c r="I139" s="7">
        <v>2</v>
      </c>
      <c r="J139" s="13"/>
      <c r="K139" s="7"/>
      <c r="L139" s="7">
        <v>1</v>
      </c>
      <c r="M139" s="33"/>
      <c r="N139" s="7">
        <v>2</v>
      </c>
      <c r="O139" s="33"/>
      <c r="P139" s="7">
        <v>1</v>
      </c>
      <c r="R139" s="7"/>
      <c r="S139" s="7">
        <v>0</v>
      </c>
      <c r="T139" s="33"/>
      <c r="U139" s="7">
        <v>2</v>
      </c>
      <c r="V139" s="33"/>
      <c r="W139" s="7">
        <v>1</v>
      </c>
    </row>
    <row r="140" spans="1:23" ht="40" x14ac:dyDescent="0.2">
      <c r="A140" s="3" t="s">
        <v>122</v>
      </c>
      <c r="B140" s="7">
        <v>2016</v>
      </c>
      <c r="C140" s="7" t="s">
        <v>23</v>
      </c>
      <c r="E140" s="7">
        <v>1</v>
      </c>
      <c r="F140" s="25"/>
      <c r="G140" s="7">
        <v>1</v>
      </c>
      <c r="H140" s="7"/>
      <c r="I140" s="7">
        <v>2</v>
      </c>
      <c r="J140" s="13"/>
      <c r="K140" s="7"/>
      <c r="L140" s="7">
        <v>1</v>
      </c>
      <c r="M140" s="33"/>
      <c r="N140" s="7">
        <v>2</v>
      </c>
      <c r="O140" s="33"/>
      <c r="P140" s="7">
        <v>1</v>
      </c>
      <c r="R140" s="7"/>
      <c r="S140" s="7">
        <v>0</v>
      </c>
      <c r="T140" s="33"/>
      <c r="U140" s="7">
        <v>2</v>
      </c>
      <c r="V140" s="33"/>
      <c r="W140" s="7">
        <v>1</v>
      </c>
    </row>
    <row r="141" spans="1:23" ht="40" x14ac:dyDescent="0.2">
      <c r="A141" s="3" t="s">
        <v>123</v>
      </c>
      <c r="B141" s="7">
        <v>2018</v>
      </c>
      <c r="C141" s="7" t="s">
        <v>23</v>
      </c>
      <c r="E141" s="7">
        <v>1</v>
      </c>
      <c r="F141" s="25"/>
      <c r="G141" s="7">
        <v>1</v>
      </c>
      <c r="H141" s="7"/>
      <c r="I141" s="7">
        <v>2</v>
      </c>
      <c r="J141" s="13"/>
      <c r="K141" s="7"/>
      <c r="L141" s="7">
        <v>1</v>
      </c>
      <c r="M141" s="33"/>
      <c r="N141" s="7">
        <v>2</v>
      </c>
      <c r="O141" s="33"/>
      <c r="P141" s="7">
        <v>1</v>
      </c>
      <c r="R141" s="7"/>
      <c r="S141" s="7">
        <v>0</v>
      </c>
      <c r="T141" s="33"/>
      <c r="U141" s="7">
        <v>2</v>
      </c>
      <c r="V141" s="33"/>
      <c r="W141" s="7">
        <v>1</v>
      </c>
    </row>
    <row r="142" spans="1:23" ht="40" x14ac:dyDescent="0.2">
      <c r="A142" s="3" t="s">
        <v>124</v>
      </c>
      <c r="B142" s="7">
        <v>2020</v>
      </c>
      <c r="C142" s="7" t="s">
        <v>23</v>
      </c>
      <c r="E142" s="7">
        <v>1</v>
      </c>
      <c r="F142" s="25"/>
      <c r="G142" s="7">
        <v>1</v>
      </c>
      <c r="H142" s="7"/>
      <c r="I142" s="7">
        <v>1</v>
      </c>
      <c r="J142" s="13"/>
      <c r="K142" s="7"/>
      <c r="L142" s="7">
        <v>1</v>
      </c>
      <c r="M142" s="33"/>
      <c r="N142" s="7">
        <v>2</v>
      </c>
      <c r="O142" s="33"/>
      <c r="P142" s="7">
        <v>1</v>
      </c>
      <c r="R142" s="7"/>
      <c r="S142" s="7">
        <v>0</v>
      </c>
      <c r="T142" s="33"/>
      <c r="U142" s="7">
        <v>2</v>
      </c>
      <c r="V142" s="33"/>
      <c r="W142" s="7">
        <v>1</v>
      </c>
    </row>
    <row r="143" spans="1:23" ht="40" x14ac:dyDescent="0.2">
      <c r="A143" s="3" t="s">
        <v>125</v>
      </c>
      <c r="B143" s="7">
        <v>2021</v>
      </c>
      <c r="C143" s="7" t="s">
        <v>23</v>
      </c>
      <c r="E143" s="7">
        <v>1</v>
      </c>
      <c r="F143" s="25"/>
      <c r="G143" s="7">
        <v>1</v>
      </c>
      <c r="H143" s="7"/>
      <c r="I143" s="7">
        <v>2</v>
      </c>
      <c r="J143" s="13"/>
      <c r="K143" s="7"/>
      <c r="L143" s="7">
        <v>1</v>
      </c>
      <c r="M143" s="33"/>
      <c r="N143" s="7">
        <v>1</v>
      </c>
      <c r="O143" s="33"/>
      <c r="P143" s="7">
        <v>1</v>
      </c>
      <c r="R143" s="7"/>
      <c r="S143" s="7">
        <v>0</v>
      </c>
      <c r="T143" s="33"/>
      <c r="U143" s="7">
        <v>2</v>
      </c>
      <c r="V143" s="33"/>
      <c r="W143" s="7">
        <v>1</v>
      </c>
    </row>
    <row r="144" spans="1:23" ht="40" x14ac:dyDescent="0.2">
      <c r="A144" s="3" t="s">
        <v>126</v>
      </c>
      <c r="B144" s="7">
        <v>2023</v>
      </c>
      <c r="C144" s="7" t="s">
        <v>23</v>
      </c>
      <c r="E144" s="7">
        <v>1</v>
      </c>
      <c r="F144" s="25"/>
      <c r="G144" s="7">
        <v>1</v>
      </c>
      <c r="H144" s="7"/>
      <c r="I144" s="7">
        <v>2</v>
      </c>
      <c r="J144" s="13"/>
      <c r="K144" s="7"/>
      <c r="L144" s="7">
        <v>1</v>
      </c>
      <c r="M144" s="33"/>
      <c r="N144" s="7">
        <v>2</v>
      </c>
      <c r="O144" s="33"/>
      <c r="P144" s="7">
        <v>1</v>
      </c>
      <c r="R144" s="7"/>
      <c r="S144" s="7">
        <v>0</v>
      </c>
      <c r="T144" s="33"/>
      <c r="U144" s="7">
        <v>2</v>
      </c>
      <c r="V144" s="33"/>
      <c r="W144" s="7">
        <v>1</v>
      </c>
    </row>
    <row r="145" spans="1:23" ht="34" x14ac:dyDescent="0.2">
      <c r="A145" s="4" t="s">
        <v>222</v>
      </c>
      <c r="B145" s="8">
        <v>2009</v>
      </c>
      <c r="C145" s="8" t="s">
        <v>24</v>
      </c>
      <c r="D145" s="58" t="s">
        <v>221</v>
      </c>
      <c r="E145" s="8">
        <v>1</v>
      </c>
      <c r="F145" s="26"/>
      <c r="G145" s="8">
        <v>0</v>
      </c>
      <c r="H145" s="8"/>
      <c r="I145" s="8">
        <v>2</v>
      </c>
      <c r="J145" s="13"/>
      <c r="K145" s="8"/>
      <c r="L145" s="8">
        <v>2</v>
      </c>
      <c r="M145" s="34"/>
      <c r="N145" s="8">
        <v>1</v>
      </c>
      <c r="O145" s="34"/>
      <c r="P145" s="8">
        <v>2</v>
      </c>
      <c r="R145" s="8"/>
      <c r="S145" s="8">
        <v>0</v>
      </c>
      <c r="T145" s="34"/>
      <c r="U145" s="8">
        <v>2</v>
      </c>
      <c r="V145" s="34"/>
      <c r="W145" s="8">
        <v>0</v>
      </c>
    </row>
    <row r="146" spans="1:23" ht="60" x14ac:dyDescent="0.2">
      <c r="A146" s="4" t="s">
        <v>128</v>
      </c>
      <c r="B146" s="8">
        <v>2011</v>
      </c>
      <c r="C146" s="8" t="s">
        <v>24</v>
      </c>
      <c r="E146" s="8">
        <v>1</v>
      </c>
      <c r="F146" s="26"/>
      <c r="G146" s="8">
        <v>0</v>
      </c>
      <c r="H146" s="8"/>
      <c r="I146" s="8">
        <v>1</v>
      </c>
      <c r="J146" s="13"/>
      <c r="K146" s="8"/>
      <c r="L146" s="8">
        <v>1</v>
      </c>
      <c r="M146" s="34"/>
      <c r="N146" s="8">
        <v>1</v>
      </c>
      <c r="O146" s="34"/>
      <c r="P146" s="8">
        <v>1</v>
      </c>
      <c r="R146" s="8"/>
      <c r="S146" s="8">
        <v>0</v>
      </c>
      <c r="T146" s="34"/>
      <c r="U146" s="8">
        <v>2</v>
      </c>
      <c r="V146" s="34"/>
      <c r="W146" s="8">
        <v>0</v>
      </c>
    </row>
    <row r="147" spans="1:23" ht="40" x14ac:dyDescent="0.2">
      <c r="A147" s="4" t="s">
        <v>129</v>
      </c>
      <c r="B147" s="8">
        <v>2013</v>
      </c>
      <c r="C147" s="8" t="s">
        <v>24</v>
      </c>
      <c r="E147" s="8">
        <v>1</v>
      </c>
      <c r="F147" s="26"/>
      <c r="G147" s="8">
        <v>0</v>
      </c>
      <c r="H147" s="8"/>
      <c r="I147" s="8">
        <v>1</v>
      </c>
      <c r="J147" s="13"/>
      <c r="K147" s="8"/>
      <c r="L147" s="8">
        <v>1</v>
      </c>
      <c r="M147" s="34"/>
      <c r="N147" s="8">
        <v>1</v>
      </c>
      <c r="O147" s="34"/>
      <c r="P147" s="8">
        <v>1</v>
      </c>
      <c r="R147" s="8"/>
      <c r="S147" s="8">
        <v>0</v>
      </c>
      <c r="T147" s="34"/>
      <c r="U147" s="8">
        <v>2</v>
      </c>
      <c r="V147" s="34"/>
      <c r="W147" s="8">
        <v>0</v>
      </c>
    </row>
    <row r="148" spans="1:23" ht="40" x14ac:dyDescent="0.2">
      <c r="A148" s="4" t="s">
        <v>130</v>
      </c>
      <c r="B148" s="8">
        <v>2015</v>
      </c>
      <c r="C148" s="8" t="s">
        <v>24</v>
      </c>
      <c r="E148" s="8">
        <v>1</v>
      </c>
      <c r="F148" s="26"/>
      <c r="G148" s="8">
        <v>1</v>
      </c>
      <c r="H148" s="8"/>
      <c r="I148" s="8">
        <v>2</v>
      </c>
      <c r="J148" s="13"/>
      <c r="K148" s="8"/>
      <c r="L148" s="8">
        <v>1</v>
      </c>
      <c r="M148" s="34"/>
      <c r="N148" s="8">
        <v>1</v>
      </c>
      <c r="O148" s="34"/>
      <c r="P148" s="8">
        <v>2</v>
      </c>
      <c r="R148" s="8"/>
      <c r="S148" s="8">
        <v>0</v>
      </c>
      <c r="T148" s="34"/>
      <c r="U148" s="8">
        <v>2</v>
      </c>
      <c r="V148" s="34"/>
      <c r="W148" s="8">
        <v>1</v>
      </c>
    </row>
    <row r="149" spans="1:23" ht="40" x14ac:dyDescent="0.2">
      <c r="A149" s="4" t="s">
        <v>131</v>
      </c>
      <c r="B149" s="8">
        <v>2017</v>
      </c>
      <c r="C149" s="8" t="s">
        <v>24</v>
      </c>
      <c r="E149" s="8">
        <v>1</v>
      </c>
      <c r="F149" s="26"/>
      <c r="G149" s="8">
        <v>1</v>
      </c>
      <c r="H149" s="8"/>
      <c r="I149" s="8">
        <v>2</v>
      </c>
      <c r="J149" s="13"/>
      <c r="K149" s="8"/>
      <c r="L149" s="8">
        <v>1</v>
      </c>
      <c r="M149" s="34"/>
      <c r="N149" s="8">
        <v>1</v>
      </c>
      <c r="O149" s="34"/>
      <c r="P149" s="8">
        <v>2</v>
      </c>
      <c r="R149" s="8"/>
      <c r="S149" s="8">
        <v>0</v>
      </c>
      <c r="T149" s="34"/>
      <c r="U149" s="8">
        <v>2</v>
      </c>
      <c r="V149" s="34"/>
      <c r="W149" s="8">
        <v>1</v>
      </c>
    </row>
    <row r="150" spans="1:23" ht="40" x14ac:dyDescent="0.2">
      <c r="A150" s="4" t="s">
        <v>132</v>
      </c>
      <c r="B150" s="8">
        <v>2019</v>
      </c>
      <c r="C150" s="8" t="s">
        <v>24</v>
      </c>
      <c r="E150" s="8">
        <v>1</v>
      </c>
      <c r="F150" s="26"/>
      <c r="G150" s="8">
        <v>0</v>
      </c>
      <c r="H150" s="8"/>
      <c r="I150" s="8">
        <v>1</v>
      </c>
      <c r="J150" s="13"/>
      <c r="K150" s="8"/>
      <c r="L150" s="8">
        <v>1</v>
      </c>
      <c r="M150" s="34"/>
      <c r="N150" s="8">
        <v>1</v>
      </c>
      <c r="O150" s="34"/>
      <c r="P150" s="8">
        <v>1</v>
      </c>
      <c r="R150" s="8"/>
      <c r="S150" s="8">
        <v>0</v>
      </c>
      <c r="T150" s="34"/>
      <c r="U150" s="8">
        <v>2</v>
      </c>
      <c r="V150" s="34"/>
      <c r="W150" s="8">
        <v>0</v>
      </c>
    </row>
    <row r="151" spans="1:23" ht="60" x14ac:dyDescent="0.2">
      <c r="A151" s="4" t="s">
        <v>133</v>
      </c>
      <c r="B151" s="8">
        <v>2020</v>
      </c>
      <c r="C151" s="8" t="s">
        <v>24</v>
      </c>
      <c r="E151" s="8">
        <v>1</v>
      </c>
      <c r="F151" s="26"/>
      <c r="G151" s="8">
        <v>0</v>
      </c>
      <c r="H151" s="8"/>
      <c r="I151" s="8">
        <v>1</v>
      </c>
      <c r="J151" s="13"/>
      <c r="K151" s="8"/>
      <c r="L151" s="8">
        <v>1</v>
      </c>
      <c r="M151" s="34"/>
      <c r="N151" s="8">
        <v>1</v>
      </c>
      <c r="O151" s="34"/>
      <c r="P151" s="8">
        <v>1</v>
      </c>
      <c r="R151" s="8"/>
      <c r="S151" s="8">
        <v>0</v>
      </c>
      <c r="T151" s="34"/>
      <c r="U151" s="8">
        <v>2</v>
      </c>
      <c r="V151" s="34"/>
      <c r="W151" s="8">
        <v>0</v>
      </c>
    </row>
    <row r="152" spans="1:23" ht="40" x14ac:dyDescent="0.2">
      <c r="A152" s="4" t="s">
        <v>134</v>
      </c>
      <c r="B152" s="8">
        <v>2022</v>
      </c>
      <c r="C152" s="8" t="s">
        <v>24</v>
      </c>
      <c r="E152" s="8">
        <v>1</v>
      </c>
      <c r="F152" s="26"/>
      <c r="G152" s="8">
        <v>0</v>
      </c>
      <c r="H152" s="8"/>
      <c r="I152" s="8">
        <v>1</v>
      </c>
      <c r="J152" s="13"/>
      <c r="K152" s="8"/>
      <c r="L152" s="8">
        <v>1</v>
      </c>
      <c r="M152" s="34"/>
      <c r="N152" s="8">
        <v>1</v>
      </c>
      <c r="O152" s="34"/>
      <c r="P152" s="8">
        <v>1</v>
      </c>
      <c r="R152" s="8"/>
      <c r="S152" s="8">
        <v>0</v>
      </c>
      <c r="T152" s="34"/>
      <c r="U152" s="8">
        <v>2</v>
      </c>
      <c r="V152" s="34"/>
      <c r="W152" s="8">
        <v>0</v>
      </c>
    </row>
    <row r="153" spans="1:23" ht="40" x14ac:dyDescent="0.2">
      <c r="A153" s="4" t="s">
        <v>135</v>
      </c>
      <c r="B153" s="8">
        <v>2023</v>
      </c>
      <c r="C153" s="8" t="s">
        <v>24</v>
      </c>
      <c r="E153" s="8">
        <v>1</v>
      </c>
      <c r="F153" s="26"/>
      <c r="G153" s="8">
        <v>1</v>
      </c>
      <c r="H153" s="8"/>
      <c r="I153" s="8">
        <v>2</v>
      </c>
      <c r="J153" s="13"/>
      <c r="K153" s="8"/>
      <c r="L153" s="8">
        <v>1</v>
      </c>
      <c r="M153" s="34"/>
      <c r="N153" s="8">
        <v>1</v>
      </c>
      <c r="O153" s="34"/>
      <c r="P153" s="8">
        <v>2</v>
      </c>
      <c r="R153" s="8"/>
      <c r="S153" s="8">
        <v>0</v>
      </c>
      <c r="T153" s="34"/>
      <c r="U153" s="8">
        <v>2</v>
      </c>
      <c r="V153" s="34"/>
      <c r="W153" s="8">
        <v>1</v>
      </c>
    </row>
    <row r="154" spans="1:23" ht="34" x14ac:dyDescent="0.2">
      <c r="A154" s="5" t="s">
        <v>224</v>
      </c>
      <c r="B154" s="9">
        <v>2012</v>
      </c>
      <c r="C154" s="9" t="s">
        <v>25</v>
      </c>
      <c r="D154" s="58" t="s">
        <v>223</v>
      </c>
      <c r="E154" s="9">
        <v>2</v>
      </c>
      <c r="F154" s="27"/>
      <c r="G154" s="9">
        <v>1</v>
      </c>
      <c r="H154" s="9"/>
      <c r="I154" s="9">
        <v>1</v>
      </c>
      <c r="J154" s="13"/>
      <c r="K154" s="9"/>
      <c r="L154" s="9">
        <v>0</v>
      </c>
      <c r="M154" s="35"/>
      <c r="N154" s="9">
        <v>2</v>
      </c>
      <c r="O154" s="35"/>
      <c r="P154" s="9">
        <v>0</v>
      </c>
      <c r="R154" s="9"/>
      <c r="S154" s="9">
        <v>0</v>
      </c>
      <c r="T154" s="35"/>
      <c r="U154" s="9">
        <v>2</v>
      </c>
      <c r="V154" s="35"/>
      <c r="W154" s="9">
        <v>1</v>
      </c>
    </row>
    <row r="155" spans="1:23" ht="20" x14ac:dyDescent="0.2">
      <c r="A155" s="5" t="s">
        <v>137</v>
      </c>
      <c r="B155" s="9">
        <v>2014</v>
      </c>
      <c r="C155" s="9" t="s">
        <v>25</v>
      </c>
      <c r="E155" s="9">
        <v>2</v>
      </c>
      <c r="F155" s="27"/>
      <c r="G155" s="9">
        <v>1</v>
      </c>
      <c r="H155" s="9"/>
      <c r="I155" s="9">
        <v>1</v>
      </c>
      <c r="J155" s="13"/>
      <c r="K155" s="9"/>
      <c r="L155" s="9">
        <v>1</v>
      </c>
      <c r="M155" s="35"/>
      <c r="N155" s="9">
        <v>2</v>
      </c>
      <c r="O155" s="35"/>
      <c r="P155" s="9">
        <v>1</v>
      </c>
      <c r="R155" s="9"/>
      <c r="S155" s="9">
        <v>0</v>
      </c>
      <c r="T155" s="35"/>
      <c r="U155" s="9">
        <v>2</v>
      </c>
      <c r="V155" s="35"/>
      <c r="W155" s="9">
        <v>0</v>
      </c>
    </row>
    <row r="156" spans="1:23" ht="40" x14ac:dyDescent="0.2">
      <c r="A156" s="5" t="s">
        <v>138</v>
      </c>
      <c r="B156" s="9">
        <v>2016</v>
      </c>
      <c r="C156" s="9" t="s">
        <v>25</v>
      </c>
      <c r="E156" s="9">
        <v>2</v>
      </c>
      <c r="F156" s="27"/>
      <c r="G156" s="9">
        <v>1</v>
      </c>
      <c r="H156" s="9"/>
      <c r="I156" s="9">
        <v>1</v>
      </c>
      <c r="J156" s="13"/>
      <c r="K156" s="9"/>
      <c r="L156" s="9">
        <v>1</v>
      </c>
      <c r="M156" s="35"/>
      <c r="N156" s="9">
        <v>2</v>
      </c>
      <c r="O156" s="35"/>
      <c r="P156" s="9">
        <v>0</v>
      </c>
      <c r="R156" s="9"/>
      <c r="S156" s="9">
        <v>0</v>
      </c>
      <c r="T156" s="35"/>
      <c r="U156" s="9">
        <v>2</v>
      </c>
      <c r="V156" s="35"/>
      <c r="W156" s="9">
        <v>1</v>
      </c>
    </row>
    <row r="157" spans="1:23" ht="40" x14ac:dyDescent="0.2">
      <c r="A157" s="5" t="s">
        <v>139</v>
      </c>
      <c r="B157" s="9">
        <v>2017</v>
      </c>
      <c r="C157" s="9" t="s">
        <v>25</v>
      </c>
      <c r="E157" s="9">
        <v>1</v>
      </c>
      <c r="F157" s="27"/>
      <c r="G157" s="9">
        <v>2</v>
      </c>
      <c r="H157" s="9"/>
      <c r="I157" s="9">
        <v>1</v>
      </c>
      <c r="J157" s="13"/>
      <c r="K157" s="9"/>
      <c r="L157" s="9">
        <v>1</v>
      </c>
      <c r="M157" s="35"/>
      <c r="N157" s="9">
        <v>2</v>
      </c>
      <c r="O157" s="35"/>
      <c r="P157" s="9">
        <v>1</v>
      </c>
      <c r="R157" s="9"/>
      <c r="S157" s="9">
        <v>0</v>
      </c>
      <c r="T157" s="35"/>
      <c r="U157" s="9">
        <v>2</v>
      </c>
      <c r="V157" s="35"/>
      <c r="W157" s="9">
        <v>1</v>
      </c>
    </row>
    <row r="158" spans="1:23" ht="40" x14ac:dyDescent="0.2">
      <c r="A158" s="5" t="s">
        <v>140</v>
      </c>
      <c r="B158" s="9">
        <v>2018</v>
      </c>
      <c r="C158" s="9" t="s">
        <v>25</v>
      </c>
      <c r="E158" s="9">
        <v>2</v>
      </c>
      <c r="F158" s="27"/>
      <c r="G158" s="9">
        <v>2</v>
      </c>
      <c r="H158" s="9"/>
      <c r="I158" s="9">
        <v>1</v>
      </c>
      <c r="J158" s="13"/>
      <c r="K158" s="9"/>
      <c r="L158" s="9">
        <v>1</v>
      </c>
      <c r="M158" s="35"/>
      <c r="N158" s="9">
        <v>2</v>
      </c>
      <c r="O158" s="35"/>
      <c r="P158" s="9">
        <v>0</v>
      </c>
      <c r="R158" s="9"/>
      <c r="S158" s="9">
        <v>0</v>
      </c>
      <c r="T158" s="35"/>
      <c r="U158" s="9">
        <v>0</v>
      </c>
      <c r="V158" s="35"/>
      <c r="W158" s="9">
        <v>1</v>
      </c>
    </row>
    <row r="159" spans="1:23" ht="20" x14ac:dyDescent="0.2">
      <c r="A159" s="5" t="s">
        <v>141</v>
      </c>
      <c r="B159" s="9">
        <v>2019</v>
      </c>
      <c r="C159" s="9" t="s">
        <v>25</v>
      </c>
      <c r="E159" s="9">
        <v>2</v>
      </c>
      <c r="F159" s="27"/>
      <c r="G159" s="9">
        <v>2</v>
      </c>
      <c r="H159" s="9"/>
      <c r="I159" s="9">
        <v>1</v>
      </c>
      <c r="J159" s="13"/>
      <c r="K159" s="9"/>
      <c r="L159" s="9">
        <v>1</v>
      </c>
      <c r="M159" s="35"/>
      <c r="N159" s="9">
        <v>2</v>
      </c>
      <c r="O159" s="35"/>
      <c r="P159" s="9">
        <v>0</v>
      </c>
      <c r="R159" s="9"/>
      <c r="S159" s="9">
        <v>0</v>
      </c>
      <c r="T159" s="35"/>
      <c r="U159" s="9">
        <v>0</v>
      </c>
      <c r="V159" s="35"/>
      <c r="W159" s="9">
        <v>1</v>
      </c>
    </row>
    <row r="160" spans="1:23" ht="20" x14ac:dyDescent="0.2">
      <c r="A160" s="5" t="s">
        <v>142</v>
      </c>
      <c r="B160" s="9">
        <v>2020</v>
      </c>
      <c r="C160" s="9" t="s">
        <v>25</v>
      </c>
      <c r="E160" s="9">
        <v>2</v>
      </c>
      <c r="F160" s="27"/>
      <c r="G160" s="9">
        <v>2</v>
      </c>
      <c r="H160" s="9"/>
      <c r="I160" s="9">
        <v>1</v>
      </c>
      <c r="J160" s="13"/>
      <c r="K160" s="9"/>
      <c r="L160" s="9">
        <v>1</v>
      </c>
      <c r="M160" s="35"/>
      <c r="N160" s="9">
        <v>2</v>
      </c>
      <c r="O160" s="35"/>
      <c r="P160" s="9">
        <v>1</v>
      </c>
      <c r="R160" s="9"/>
      <c r="S160" s="9">
        <v>0</v>
      </c>
      <c r="T160" s="35"/>
      <c r="U160" s="9">
        <v>2</v>
      </c>
      <c r="V160" s="35"/>
      <c r="W160" s="9">
        <v>1</v>
      </c>
    </row>
    <row r="161" spans="1:23" ht="40" x14ac:dyDescent="0.2">
      <c r="A161" s="5" t="s">
        <v>143</v>
      </c>
      <c r="B161" s="9">
        <v>2021</v>
      </c>
      <c r="C161" s="9" t="s">
        <v>25</v>
      </c>
      <c r="E161" s="9">
        <v>2</v>
      </c>
      <c r="F161" s="27"/>
      <c r="G161" s="9">
        <v>2</v>
      </c>
      <c r="H161" s="9"/>
      <c r="I161" s="9">
        <v>2</v>
      </c>
      <c r="J161" s="13"/>
      <c r="K161" s="9"/>
      <c r="L161" s="9">
        <v>2</v>
      </c>
      <c r="M161" s="35"/>
      <c r="N161" s="9">
        <v>2</v>
      </c>
      <c r="O161" s="35"/>
      <c r="P161" s="9">
        <v>1</v>
      </c>
      <c r="R161" s="9"/>
      <c r="S161" s="9">
        <v>0</v>
      </c>
      <c r="T161" s="35"/>
      <c r="U161" s="9">
        <v>2</v>
      </c>
      <c r="V161" s="35"/>
      <c r="W161" s="9">
        <v>1</v>
      </c>
    </row>
    <row r="162" spans="1:23" ht="20" x14ac:dyDescent="0.2">
      <c r="A162" s="5" t="s">
        <v>144</v>
      </c>
      <c r="B162" s="9">
        <v>2023</v>
      </c>
      <c r="C162" s="9" t="s">
        <v>25</v>
      </c>
      <c r="E162" s="9">
        <v>2</v>
      </c>
      <c r="F162" s="27"/>
      <c r="G162" s="9">
        <v>2</v>
      </c>
      <c r="H162" s="9"/>
      <c r="I162" s="9">
        <v>1</v>
      </c>
      <c r="J162" s="13"/>
      <c r="K162" s="9"/>
      <c r="L162" s="9">
        <v>1</v>
      </c>
      <c r="M162" s="35"/>
      <c r="N162" s="9">
        <v>2</v>
      </c>
      <c r="O162" s="35"/>
      <c r="P162" s="9">
        <v>1</v>
      </c>
      <c r="R162" s="9"/>
      <c r="S162" s="9">
        <v>0</v>
      </c>
      <c r="T162" s="35"/>
      <c r="U162" s="9">
        <v>2</v>
      </c>
      <c r="V162" s="35"/>
      <c r="W162" s="9">
        <v>1</v>
      </c>
    </row>
    <row r="163" spans="1:23" ht="34" x14ac:dyDescent="0.2">
      <c r="A163" s="3" t="s">
        <v>226</v>
      </c>
      <c r="B163" s="7">
        <v>2000</v>
      </c>
      <c r="C163" s="7" t="s">
        <v>62</v>
      </c>
      <c r="D163" s="58" t="s">
        <v>225</v>
      </c>
      <c r="E163" s="7">
        <v>1</v>
      </c>
      <c r="F163" s="25"/>
      <c r="G163" s="7">
        <v>0</v>
      </c>
      <c r="H163" s="7"/>
      <c r="I163" s="7">
        <v>1</v>
      </c>
      <c r="J163" s="13"/>
      <c r="K163" s="7"/>
      <c r="L163" s="7">
        <v>1</v>
      </c>
      <c r="M163" s="33"/>
      <c r="N163" s="7">
        <v>2</v>
      </c>
      <c r="O163" s="33"/>
      <c r="P163" s="7">
        <v>0</v>
      </c>
      <c r="R163" s="7"/>
      <c r="S163" s="7">
        <v>0</v>
      </c>
      <c r="T163" s="33"/>
      <c r="U163" s="7">
        <v>0</v>
      </c>
      <c r="V163" s="33"/>
      <c r="W163" s="7">
        <v>0</v>
      </c>
    </row>
    <row r="164" spans="1:23" ht="40" x14ac:dyDescent="0.2">
      <c r="A164" s="3" t="s">
        <v>146</v>
      </c>
      <c r="B164" s="7">
        <v>2003</v>
      </c>
      <c r="C164" s="7" t="s">
        <v>62</v>
      </c>
      <c r="E164" s="7">
        <v>1</v>
      </c>
      <c r="F164" s="25"/>
      <c r="G164" s="7">
        <v>0</v>
      </c>
      <c r="H164" s="7"/>
      <c r="I164" s="7">
        <v>1</v>
      </c>
      <c r="J164" s="13"/>
      <c r="K164" s="7"/>
      <c r="L164" s="7">
        <v>1</v>
      </c>
      <c r="M164" s="33"/>
      <c r="N164" s="7">
        <v>2</v>
      </c>
      <c r="O164" s="33"/>
      <c r="P164" s="7">
        <v>0</v>
      </c>
      <c r="R164" s="7"/>
      <c r="S164" s="7">
        <v>0</v>
      </c>
      <c r="T164" s="33"/>
      <c r="U164" s="7">
        <v>0</v>
      </c>
      <c r="V164" s="33"/>
      <c r="W164" s="7">
        <v>0</v>
      </c>
    </row>
    <row r="165" spans="1:23" ht="40" x14ac:dyDescent="0.2">
      <c r="A165" s="3" t="s">
        <v>147</v>
      </c>
      <c r="B165" s="7">
        <v>2006</v>
      </c>
      <c r="C165" s="7" t="s">
        <v>62</v>
      </c>
      <c r="E165" s="7">
        <v>1</v>
      </c>
      <c r="F165" s="25"/>
      <c r="G165" s="7">
        <v>0</v>
      </c>
      <c r="H165" s="7"/>
      <c r="I165" s="7">
        <v>1</v>
      </c>
      <c r="J165" s="13"/>
      <c r="K165" s="7"/>
      <c r="L165" s="7">
        <v>0</v>
      </c>
      <c r="M165" s="33"/>
      <c r="N165" s="7">
        <v>2</v>
      </c>
      <c r="O165" s="33"/>
      <c r="P165" s="7">
        <v>0</v>
      </c>
      <c r="R165" s="7"/>
      <c r="S165" s="7">
        <v>0</v>
      </c>
      <c r="T165" s="33"/>
      <c r="U165" s="7">
        <v>0</v>
      </c>
      <c r="V165" s="33"/>
      <c r="W165" s="7">
        <v>0</v>
      </c>
    </row>
    <row r="166" spans="1:23" ht="20" x14ac:dyDescent="0.2">
      <c r="A166" s="3" t="s">
        <v>148</v>
      </c>
      <c r="B166" s="7">
        <v>2009</v>
      </c>
      <c r="C166" s="7" t="s">
        <v>62</v>
      </c>
      <c r="E166" s="7">
        <v>1</v>
      </c>
      <c r="F166" s="25"/>
      <c r="G166" s="7">
        <v>0</v>
      </c>
      <c r="H166" s="7"/>
      <c r="I166" s="7">
        <v>1</v>
      </c>
      <c r="J166" s="13"/>
      <c r="K166" s="7"/>
      <c r="L166" s="7">
        <v>1</v>
      </c>
      <c r="M166" s="33"/>
      <c r="N166" s="7">
        <v>2</v>
      </c>
      <c r="O166" s="33"/>
      <c r="P166" s="7">
        <v>0</v>
      </c>
      <c r="R166" s="7"/>
      <c r="S166" s="7">
        <v>0</v>
      </c>
      <c r="T166" s="33"/>
      <c r="U166" s="7">
        <v>0</v>
      </c>
      <c r="V166" s="33"/>
      <c r="W166" s="7">
        <v>0</v>
      </c>
    </row>
    <row r="167" spans="1:23" ht="40" x14ac:dyDescent="0.2">
      <c r="A167" s="3" t="s">
        <v>149</v>
      </c>
      <c r="B167" s="7">
        <v>2012</v>
      </c>
      <c r="C167" s="7" t="s">
        <v>62</v>
      </c>
      <c r="E167" s="7">
        <v>1</v>
      </c>
      <c r="F167" s="25"/>
      <c r="G167" s="7">
        <v>0</v>
      </c>
      <c r="H167" s="7"/>
      <c r="I167" s="7">
        <v>1</v>
      </c>
      <c r="J167" s="13"/>
      <c r="K167" s="7"/>
      <c r="L167" s="7">
        <v>0</v>
      </c>
      <c r="M167" s="33"/>
      <c r="N167" s="7">
        <v>2</v>
      </c>
      <c r="O167" s="33"/>
      <c r="P167" s="7">
        <v>0</v>
      </c>
      <c r="R167" s="7"/>
      <c r="S167" s="7">
        <v>0</v>
      </c>
      <c r="T167" s="33"/>
      <c r="U167" s="7">
        <v>0</v>
      </c>
      <c r="V167" s="33"/>
      <c r="W167" s="7">
        <v>0</v>
      </c>
    </row>
    <row r="168" spans="1:23" ht="40" x14ac:dyDescent="0.2">
      <c r="A168" s="3" t="s">
        <v>150</v>
      </c>
      <c r="B168" s="7">
        <v>2015</v>
      </c>
      <c r="C168" s="7" t="s">
        <v>62</v>
      </c>
      <c r="E168" s="7">
        <v>1</v>
      </c>
      <c r="F168" s="25"/>
      <c r="G168" s="7">
        <v>0</v>
      </c>
      <c r="H168" s="7"/>
      <c r="I168" s="7">
        <v>1</v>
      </c>
      <c r="J168" s="13"/>
      <c r="K168" s="7"/>
      <c r="L168" s="7">
        <v>1</v>
      </c>
      <c r="M168" s="33"/>
      <c r="N168" s="7">
        <v>2</v>
      </c>
      <c r="O168" s="33"/>
      <c r="P168" s="7">
        <v>0</v>
      </c>
      <c r="R168" s="7"/>
      <c r="S168" s="7">
        <v>0</v>
      </c>
      <c r="T168" s="33"/>
      <c r="U168" s="7">
        <v>0</v>
      </c>
      <c r="V168" s="33"/>
      <c r="W168" s="7">
        <v>0</v>
      </c>
    </row>
    <row r="169" spans="1:23" ht="40" x14ac:dyDescent="0.2">
      <c r="A169" s="3" t="s">
        <v>151</v>
      </c>
      <c r="B169" s="7">
        <v>2018</v>
      </c>
      <c r="C169" s="7" t="s">
        <v>62</v>
      </c>
      <c r="E169" s="7">
        <v>1</v>
      </c>
      <c r="F169" s="25"/>
      <c r="G169" s="7">
        <v>0</v>
      </c>
      <c r="H169" s="7"/>
      <c r="I169" s="7">
        <v>2</v>
      </c>
      <c r="J169" s="13"/>
      <c r="K169" s="7"/>
      <c r="L169" s="7">
        <v>1</v>
      </c>
      <c r="M169" s="33"/>
      <c r="N169" s="7">
        <v>2</v>
      </c>
      <c r="O169" s="33"/>
      <c r="P169" s="7">
        <v>1</v>
      </c>
      <c r="R169" s="7"/>
      <c r="S169" s="7">
        <v>0</v>
      </c>
      <c r="T169" s="33"/>
      <c r="U169" s="7">
        <v>0</v>
      </c>
      <c r="V169" s="33"/>
      <c r="W169" s="7">
        <v>0</v>
      </c>
    </row>
    <row r="170" spans="1:23" ht="40" x14ac:dyDescent="0.2">
      <c r="A170" s="3" t="s">
        <v>152</v>
      </c>
      <c r="B170" s="7">
        <v>2021</v>
      </c>
      <c r="C170" s="7" t="s">
        <v>62</v>
      </c>
      <c r="E170" s="7">
        <v>1</v>
      </c>
      <c r="F170" s="25"/>
      <c r="G170" s="7">
        <v>0</v>
      </c>
      <c r="H170" s="7"/>
      <c r="I170" s="7">
        <v>1</v>
      </c>
      <c r="J170" s="13"/>
      <c r="K170" s="7"/>
      <c r="L170" s="7">
        <v>0</v>
      </c>
      <c r="M170" s="33"/>
      <c r="N170" s="7">
        <v>2</v>
      </c>
      <c r="O170" s="33"/>
      <c r="P170" s="7">
        <v>0</v>
      </c>
      <c r="R170" s="7"/>
      <c r="S170" s="7">
        <v>0</v>
      </c>
      <c r="T170" s="33"/>
      <c r="U170" s="7">
        <v>0</v>
      </c>
      <c r="V170" s="33"/>
      <c r="W170" s="7">
        <v>0</v>
      </c>
    </row>
    <row r="171" spans="1:23" ht="40" x14ac:dyDescent="0.2">
      <c r="A171" s="3" t="s">
        <v>153</v>
      </c>
      <c r="B171" s="7">
        <v>2023</v>
      </c>
      <c r="C171" s="7" t="s">
        <v>62</v>
      </c>
      <c r="E171" s="7">
        <v>1</v>
      </c>
      <c r="F171" s="25"/>
      <c r="G171" s="7">
        <v>0</v>
      </c>
      <c r="H171" s="7"/>
      <c r="I171" s="7">
        <v>1</v>
      </c>
      <c r="J171" s="13"/>
      <c r="K171" s="7"/>
      <c r="L171" s="7">
        <v>1</v>
      </c>
      <c r="M171" s="33"/>
      <c r="N171" s="7">
        <v>2</v>
      </c>
      <c r="O171" s="33"/>
      <c r="P171" s="7">
        <v>0</v>
      </c>
      <c r="R171" s="7"/>
      <c r="S171" s="7">
        <v>0</v>
      </c>
      <c r="T171" s="33"/>
      <c r="U171" s="7">
        <v>0</v>
      </c>
      <c r="V171" s="33"/>
      <c r="W171" s="7">
        <v>0</v>
      </c>
    </row>
    <row r="172" spans="1:23" ht="34" x14ac:dyDescent="0.2">
      <c r="A172" s="4" t="s">
        <v>6</v>
      </c>
      <c r="B172" s="8">
        <v>1980</v>
      </c>
      <c r="C172" s="8" t="s">
        <v>26</v>
      </c>
      <c r="D172" s="58" t="s">
        <v>236</v>
      </c>
      <c r="E172" s="8">
        <v>0</v>
      </c>
      <c r="F172" s="26"/>
      <c r="G172" s="8">
        <v>0</v>
      </c>
      <c r="H172" s="8"/>
      <c r="I172" s="8">
        <v>2</v>
      </c>
      <c r="J172" s="13"/>
      <c r="K172" s="8"/>
      <c r="L172" s="8">
        <v>1</v>
      </c>
      <c r="M172" s="34"/>
      <c r="N172" s="8">
        <v>2</v>
      </c>
      <c r="O172" s="34"/>
      <c r="P172" s="8">
        <v>0</v>
      </c>
      <c r="R172" s="8"/>
      <c r="S172" s="8">
        <v>0</v>
      </c>
      <c r="T172" s="34"/>
      <c r="U172" s="8">
        <v>2</v>
      </c>
      <c r="V172" s="34"/>
      <c r="W172" s="8">
        <v>0</v>
      </c>
    </row>
    <row r="173" spans="1:23" ht="20" x14ac:dyDescent="0.2">
      <c r="A173" s="4" t="s">
        <v>7</v>
      </c>
      <c r="B173" s="8">
        <v>2014</v>
      </c>
      <c r="C173" s="8" t="s">
        <v>26</v>
      </c>
      <c r="D173" s="58" t="s">
        <v>227</v>
      </c>
      <c r="E173" s="8">
        <v>1</v>
      </c>
      <c r="F173" s="26"/>
      <c r="G173" s="8">
        <v>1</v>
      </c>
      <c r="H173" s="8"/>
      <c r="I173" s="8">
        <v>1</v>
      </c>
      <c r="J173" s="13"/>
      <c r="K173" s="8"/>
      <c r="L173" s="8">
        <v>1</v>
      </c>
      <c r="M173" s="34"/>
      <c r="N173" s="8">
        <v>1</v>
      </c>
      <c r="O173" s="34"/>
      <c r="P173" s="8">
        <v>1</v>
      </c>
      <c r="R173" s="8"/>
      <c r="S173" s="8">
        <v>2</v>
      </c>
      <c r="T173" s="34"/>
      <c r="U173" s="8">
        <v>0</v>
      </c>
      <c r="V173" s="34"/>
      <c r="W173" s="8">
        <v>1</v>
      </c>
    </row>
    <row r="174" spans="1:23" ht="34" x14ac:dyDescent="0.2">
      <c r="A174" s="4" t="s">
        <v>8</v>
      </c>
      <c r="B174" s="8">
        <v>2019</v>
      </c>
      <c r="C174" s="8" t="s">
        <v>26</v>
      </c>
      <c r="D174" s="58" t="s">
        <v>228</v>
      </c>
      <c r="E174" s="8">
        <v>1</v>
      </c>
      <c r="F174" s="26"/>
      <c r="G174" s="8">
        <v>1</v>
      </c>
      <c r="H174" s="8"/>
      <c r="I174" s="8">
        <v>1</v>
      </c>
      <c r="J174" s="13"/>
      <c r="K174" s="8"/>
      <c r="L174" s="8">
        <v>1</v>
      </c>
      <c r="M174" s="34"/>
      <c r="N174" s="8">
        <v>1</v>
      </c>
      <c r="O174" s="34"/>
      <c r="P174" s="8">
        <v>1</v>
      </c>
      <c r="R174" s="8"/>
      <c r="S174" s="8">
        <v>0</v>
      </c>
      <c r="T174" s="34"/>
      <c r="U174" s="8">
        <v>2</v>
      </c>
      <c r="V174" s="34"/>
      <c r="W174" s="8">
        <v>1</v>
      </c>
    </row>
    <row r="175" spans="1:23" ht="34" x14ac:dyDescent="0.2">
      <c r="A175" s="4" t="s">
        <v>9</v>
      </c>
      <c r="B175" s="8">
        <v>2019</v>
      </c>
      <c r="C175" s="8" t="s">
        <v>26</v>
      </c>
      <c r="D175" s="58" t="s">
        <v>229</v>
      </c>
      <c r="E175" s="8">
        <v>1</v>
      </c>
      <c r="F175" s="26"/>
      <c r="G175" s="8">
        <v>0</v>
      </c>
      <c r="H175" s="8"/>
      <c r="I175" s="8">
        <v>2</v>
      </c>
      <c r="J175" s="13"/>
      <c r="K175" s="8"/>
      <c r="L175" s="8">
        <v>2</v>
      </c>
      <c r="M175" s="34"/>
      <c r="N175" s="8">
        <v>2</v>
      </c>
      <c r="O175" s="34"/>
      <c r="P175" s="8">
        <v>1</v>
      </c>
      <c r="R175" s="8"/>
      <c r="S175" s="8">
        <v>0</v>
      </c>
      <c r="T175" s="34"/>
      <c r="U175" s="8">
        <v>2</v>
      </c>
      <c r="V175" s="34"/>
      <c r="W175" s="8">
        <v>2</v>
      </c>
    </row>
    <row r="176" spans="1:23" ht="34" x14ac:dyDescent="0.2">
      <c r="A176" s="4" t="s">
        <v>16</v>
      </c>
      <c r="B176" s="8">
        <v>2013</v>
      </c>
      <c r="C176" s="8" t="s">
        <v>26</v>
      </c>
      <c r="D176" s="58" t="s">
        <v>230</v>
      </c>
      <c r="E176" s="8">
        <v>1</v>
      </c>
      <c r="F176" s="26"/>
      <c r="G176" s="8">
        <v>0</v>
      </c>
      <c r="H176" s="8"/>
      <c r="I176" s="8">
        <v>1</v>
      </c>
      <c r="J176" s="13"/>
      <c r="K176" s="8"/>
      <c r="L176" s="8">
        <v>1</v>
      </c>
      <c r="M176" s="34"/>
      <c r="N176" s="8">
        <v>2</v>
      </c>
      <c r="O176" s="34"/>
      <c r="P176" s="8">
        <v>1</v>
      </c>
      <c r="R176" s="8"/>
      <c r="S176" s="8">
        <v>0</v>
      </c>
      <c r="T176" s="34"/>
      <c r="U176" s="8">
        <v>2</v>
      </c>
      <c r="V176" s="34"/>
      <c r="W176" s="8">
        <v>1</v>
      </c>
    </row>
    <row r="177" spans="1:23" ht="34" x14ac:dyDescent="0.2">
      <c r="A177" s="4" t="s">
        <v>14</v>
      </c>
      <c r="B177" s="8">
        <v>2005</v>
      </c>
      <c r="C177" s="8" t="s">
        <v>26</v>
      </c>
      <c r="D177" s="58" t="s">
        <v>231</v>
      </c>
      <c r="E177" s="8">
        <v>1</v>
      </c>
      <c r="F177" s="26"/>
      <c r="G177" s="8">
        <v>2</v>
      </c>
      <c r="H177" s="8"/>
      <c r="I177" s="8">
        <v>2</v>
      </c>
      <c r="J177" s="13"/>
      <c r="K177" s="8"/>
      <c r="L177" s="8">
        <v>1</v>
      </c>
      <c r="M177" s="34"/>
      <c r="N177" s="8">
        <v>1</v>
      </c>
      <c r="O177" s="34"/>
      <c r="P177" s="8">
        <v>1</v>
      </c>
      <c r="R177" s="8"/>
      <c r="S177" s="8">
        <v>0</v>
      </c>
      <c r="T177" s="34"/>
      <c r="U177" s="8">
        <v>0</v>
      </c>
      <c r="V177" s="34"/>
      <c r="W177" s="8">
        <v>0</v>
      </c>
    </row>
    <row r="178" spans="1:23" ht="51" x14ac:dyDescent="0.2">
      <c r="A178" s="4" t="s">
        <v>15</v>
      </c>
      <c r="B178" s="8">
        <v>2018</v>
      </c>
      <c r="C178" s="8" t="s">
        <v>26</v>
      </c>
      <c r="D178" s="58" t="s">
        <v>232</v>
      </c>
      <c r="E178" s="8">
        <v>1</v>
      </c>
      <c r="F178" s="26"/>
      <c r="G178" s="8">
        <v>2</v>
      </c>
      <c r="H178" s="8"/>
      <c r="I178" s="8">
        <v>2</v>
      </c>
      <c r="J178" s="13"/>
      <c r="K178" s="8"/>
      <c r="L178" s="8">
        <v>1</v>
      </c>
      <c r="M178" s="34"/>
      <c r="N178" s="8">
        <v>2</v>
      </c>
      <c r="O178" s="34"/>
      <c r="P178" s="8">
        <v>2</v>
      </c>
      <c r="R178" s="8"/>
      <c r="S178" s="8">
        <v>0</v>
      </c>
      <c r="T178" s="34"/>
      <c r="U178" s="8">
        <v>0</v>
      </c>
      <c r="V178" s="34"/>
      <c r="W178" s="8">
        <v>1</v>
      </c>
    </row>
    <row r="179" spans="1:23" ht="34" x14ac:dyDescent="0.2">
      <c r="A179" s="4" t="s">
        <v>10</v>
      </c>
      <c r="B179" s="8">
        <v>2012</v>
      </c>
      <c r="C179" s="8" t="s">
        <v>26</v>
      </c>
      <c r="D179" s="58" t="s">
        <v>233</v>
      </c>
      <c r="E179" s="8">
        <v>1</v>
      </c>
      <c r="F179" s="26"/>
      <c r="G179" s="8">
        <v>2</v>
      </c>
      <c r="H179" s="8"/>
      <c r="I179" s="8">
        <v>1</v>
      </c>
      <c r="J179" s="13"/>
      <c r="K179" s="8"/>
      <c r="L179" s="8">
        <v>1</v>
      </c>
      <c r="M179" s="34"/>
      <c r="N179" s="8">
        <v>2</v>
      </c>
      <c r="O179" s="34"/>
      <c r="P179" s="8">
        <v>1</v>
      </c>
      <c r="R179" s="8"/>
      <c r="S179" s="8">
        <v>0</v>
      </c>
      <c r="T179" s="34"/>
      <c r="U179" s="8">
        <v>0</v>
      </c>
      <c r="V179" s="34"/>
      <c r="W179" s="8">
        <v>0</v>
      </c>
    </row>
    <row r="180" spans="1:23" ht="34" x14ac:dyDescent="0.2">
      <c r="A180" s="4" t="s">
        <v>11</v>
      </c>
      <c r="B180" s="8">
        <v>2014</v>
      </c>
      <c r="C180" s="8" t="s">
        <v>26</v>
      </c>
      <c r="D180" s="58" t="s">
        <v>234</v>
      </c>
      <c r="E180" s="8">
        <v>1</v>
      </c>
      <c r="F180" s="26"/>
      <c r="G180" s="8">
        <v>1</v>
      </c>
      <c r="H180" s="8"/>
      <c r="I180" s="8">
        <v>1</v>
      </c>
      <c r="J180" s="13"/>
      <c r="K180" s="8"/>
      <c r="L180" s="8">
        <v>1</v>
      </c>
      <c r="M180" s="34"/>
      <c r="N180" s="8">
        <v>1</v>
      </c>
      <c r="O180" s="34"/>
      <c r="P180" s="8">
        <v>1</v>
      </c>
      <c r="R180" s="8"/>
      <c r="S180" s="8">
        <v>0</v>
      </c>
      <c r="T180" s="34"/>
      <c r="U180" s="8">
        <v>0</v>
      </c>
      <c r="V180" s="34"/>
      <c r="W180" s="8">
        <v>0</v>
      </c>
    </row>
    <row r="181" spans="1:23" ht="34" x14ac:dyDescent="0.2">
      <c r="A181" s="4" t="s">
        <v>12</v>
      </c>
      <c r="B181" s="8">
        <v>2018</v>
      </c>
      <c r="C181" s="8" t="s">
        <v>26</v>
      </c>
      <c r="D181" s="58" t="s">
        <v>235</v>
      </c>
      <c r="E181" s="8">
        <v>1</v>
      </c>
      <c r="F181" s="26"/>
      <c r="G181" s="8">
        <v>1</v>
      </c>
      <c r="H181" s="8"/>
      <c r="I181" s="8">
        <v>1</v>
      </c>
      <c r="J181" s="13"/>
      <c r="K181" s="8"/>
      <c r="L181" s="8">
        <v>1</v>
      </c>
      <c r="M181" s="34"/>
      <c r="N181" s="8">
        <v>2</v>
      </c>
      <c r="O181" s="34"/>
      <c r="P181" s="8">
        <v>2</v>
      </c>
      <c r="R181" s="8"/>
      <c r="S181" s="8">
        <v>0</v>
      </c>
      <c r="T181" s="34"/>
      <c r="U181" s="8">
        <v>0</v>
      </c>
      <c r="V181" s="34"/>
      <c r="W181" s="8">
        <v>1</v>
      </c>
    </row>
  </sheetData>
  <mergeCells count="14">
    <mergeCell ref="G22:L22"/>
    <mergeCell ref="AB1:AD1"/>
    <mergeCell ref="AF1:AH1"/>
    <mergeCell ref="G1:L1"/>
    <mergeCell ref="A39:C39"/>
    <mergeCell ref="T1:V1"/>
    <mergeCell ref="X1:Z1"/>
    <mergeCell ref="G6:L6"/>
    <mergeCell ref="G10:L10"/>
    <mergeCell ref="G14:L14"/>
    <mergeCell ref="G18:L18"/>
    <mergeCell ref="G26:L26"/>
    <mergeCell ref="G30:L30"/>
    <mergeCell ref="G34:L34"/>
  </mergeCells>
  <hyperlinks>
    <hyperlink ref="D82" r:id="rId1" xr:uid="{F08D4050-2C95-134C-B5CA-ED657960AF42}"/>
    <hyperlink ref="D91" r:id="rId2" xr:uid="{E1AEF754-4A89-BF42-8EA3-E488E6577561}"/>
    <hyperlink ref="D100" r:id="rId3" xr:uid="{1DE99C31-4087-114D-9EE8-108089677CB2}"/>
    <hyperlink ref="D109" r:id="rId4" xr:uid="{6D750FD0-E9B4-DC45-883F-B8727F3B772D}"/>
    <hyperlink ref="D118" r:id="rId5" xr:uid="{033D7A9A-3DD5-684C-B202-2E54FBD83631}"/>
    <hyperlink ref="D127" r:id="rId6" xr:uid="{FA155534-35FF-DF4B-86FA-206F27CB5C14}"/>
    <hyperlink ref="D136" r:id="rId7" xr:uid="{EFF7707A-DA5A-6746-AD8E-E1B45EB7F5A6}"/>
    <hyperlink ref="D145" r:id="rId8" xr:uid="{A01CB7C3-FB43-D04B-B4EA-9476262E7861}"/>
    <hyperlink ref="D154" r:id="rId9" xr:uid="{487F2A5A-9598-EC44-BE9E-EBECFBADAB89}"/>
    <hyperlink ref="D163" r:id="rId10" xr:uid="{A4BF60B3-8D0D-5B40-94D0-210B971BBA7A}"/>
    <hyperlink ref="D173" r:id="rId11" xr:uid="{D2947A51-411E-2443-BA0D-22DE994D9325}"/>
    <hyperlink ref="D174" r:id="rId12" xr:uid="{E42FAF28-DAB1-204B-8845-E5098CCC866E}"/>
    <hyperlink ref="D175" r:id="rId13" xr:uid="{09BDC405-AD24-CA46-A0C1-6371B6A1A857}"/>
    <hyperlink ref="D176" r:id="rId14" xr:uid="{E3B211DD-67E4-434C-BA67-AE365841B9AB}"/>
    <hyperlink ref="D177" r:id="rId15" xr:uid="{2B4CD4A5-4C31-E946-A3D3-EA6875D3C007}"/>
    <hyperlink ref="D178" r:id="rId16" xr:uid="{709B1D45-E63D-FA41-BBB3-0076AEF10FB2}"/>
    <hyperlink ref="D179" r:id="rId17" xr:uid="{B3C48797-9831-474C-BAA1-4F14C51D1BD6}"/>
    <hyperlink ref="D180" r:id="rId18" xr:uid="{FF269D57-3F26-504F-B676-6CE808C27AF7}"/>
    <hyperlink ref="D181" r:id="rId19" xr:uid="{228A452A-6F0C-2E4C-BA45-D5589C9FE23F}"/>
    <hyperlink ref="D172" r:id="rId20" xr:uid="{AB40B663-328D-8044-A39D-47AB186B3960}"/>
  </hyperlinks>
  <pageMargins left="0.7" right="0.7" top="0.75" bottom="0.75" header="0.3" footer="0.3"/>
  <drawing r:id="rId21"/>
</worksheet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2nd-1</vt:lpstr>
      <vt:lpstr>2nd-2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Barack Liu</dc:creator>
  <cp:lastModifiedBy>Barack Liu</cp:lastModifiedBy>
  <dcterms:created xsi:type="dcterms:W3CDTF">2024-01-15T19:45:53Z</dcterms:created>
  <dcterms:modified xsi:type="dcterms:W3CDTF">2024-08-01T19:24:31Z</dcterms:modified>
</cp:coreProperties>
</file>