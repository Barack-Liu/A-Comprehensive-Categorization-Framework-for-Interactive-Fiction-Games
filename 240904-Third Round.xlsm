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700-Capstone-CSS -595/231006-Research-Progress- Excel/"/>
    </mc:Choice>
  </mc:AlternateContent>
  <xr:revisionPtr revIDLastSave="1340" documentId="13_ncr:1_{FC6593FF-A35B-824A-9A71-4279B9827657}" xr6:coauthVersionLast="47" xr6:coauthVersionMax="47" xr10:uidLastSave="{8BF291F8-2789-FC42-A296-24DE1B76E20D}"/>
  <bookViews>
    <workbookView xWindow="-23360" yWindow="560" windowWidth="23360" windowHeight="14540" activeTab="1" xr2:uid="{18342DF9-798A-DA42-BBC4-C755067F6B3B}"/>
  </bookViews>
  <sheets>
    <sheet name="Infocom Series" sheetId="11" r:id="rId1"/>
    <sheet name="NancyDrew" sheetId="1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5" i="14" l="1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61" i="14"/>
  <c r="K60" i="14"/>
  <c r="K59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D85" i="14"/>
  <c r="D76" i="14"/>
  <c r="D67" i="14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84" i="14"/>
  <c r="D83" i="14"/>
  <c r="D82" i="14"/>
  <c r="D81" i="14"/>
  <c r="D80" i="14"/>
  <c r="D79" i="14"/>
  <c r="D78" i="14"/>
  <c r="D77" i="14"/>
  <c r="D75" i="14"/>
  <c r="D74" i="14"/>
  <c r="D73" i="14"/>
  <c r="D72" i="14"/>
  <c r="D71" i="14"/>
  <c r="D70" i="14"/>
  <c r="D69" i="14"/>
  <c r="D68" i="14"/>
  <c r="D66" i="14"/>
  <c r="D65" i="14"/>
  <c r="D64" i="14"/>
  <c r="D63" i="14"/>
  <c r="D62" i="14"/>
  <c r="D61" i="14"/>
  <c r="D60" i="14"/>
  <c r="D59" i="14"/>
  <c r="O86" i="14" l="1"/>
  <c r="K86" i="14"/>
  <c r="M86" i="14"/>
  <c r="T86" i="14"/>
  <c r="V86" i="14"/>
  <c r="F86" i="14"/>
  <c r="R86" i="14"/>
  <c r="D86" i="14"/>
  <c r="H86" i="14"/>
  <c r="V86" i="11" l="1"/>
  <c r="T86" i="11"/>
  <c r="R86" i="11"/>
  <c r="H86" i="11"/>
  <c r="M86" i="11"/>
  <c r="K86" i="11"/>
  <c r="O86" i="11"/>
  <c r="D86" i="11"/>
  <c r="F86" i="11"/>
</calcChain>
</file>

<file path=xl/sharedStrings.xml><?xml version="1.0" encoding="utf-8"?>
<sst xmlns="http://schemas.openxmlformats.org/spreadsheetml/2006/main" count="523" uniqueCount="253">
  <si>
    <t>Game name</t>
  </si>
  <si>
    <t>x</t>
  </si>
  <si>
    <t>y</t>
  </si>
  <si>
    <t>Name</t>
  </si>
  <si>
    <t>Text input only</t>
  </si>
  <si>
    <t>Mouse click only</t>
  </si>
  <si>
    <t>Text input and mouse click</t>
  </si>
  <si>
    <t>Y</t>
  </si>
  <si>
    <t xml:space="preserve">The Lurking Horror </t>
  </si>
  <si>
    <t>Linear limited options</t>
  </si>
  <si>
    <t>Non-linear limited options</t>
  </si>
  <si>
    <t>Non-linear open options</t>
  </si>
  <si>
    <t>Single defined end</t>
  </si>
  <si>
    <t>Multiple defined end</t>
  </si>
  <si>
    <t>Multiple undefined end</t>
  </si>
  <si>
    <t>Text and pictures</t>
  </si>
  <si>
    <t>Text, pictures and animation</t>
  </si>
  <si>
    <t>Y: Publish Year</t>
  </si>
  <si>
    <t>Before 2000</t>
  </si>
  <si>
    <t>Text output only</t>
  </si>
  <si>
    <t>Limited action time</t>
  </si>
  <si>
    <t>Unlimitd action time</t>
  </si>
  <si>
    <t>Mix of limited and unlimited action time</t>
  </si>
  <si>
    <t>Story Ending</t>
  </si>
  <si>
    <t>Sum</t>
  </si>
  <si>
    <t>Support stats and support resouce management</t>
  </si>
  <si>
    <t>Support stats and don't support resource management</t>
  </si>
  <si>
    <t>Deadline</t>
  </si>
  <si>
    <t>Secrets Can Kill</t>
  </si>
  <si>
    <t>Stay Tuned for Danger</t>
  </si>
  <si>
    <t>Secrets Can Kill Remastered</t>
  </si>
  <si>
    <t>Message in a Haunted Mansion</t>
  </si>
  <si>
    <t>Treasure in the Royal Tower</t>
  </si>
  <si>
    <t>The Final Scene</t>
  </si>
  <si>
    <t>Secret of the Scarlet Hand</t>
  </si>
  <si>
    <t>The Haunted Carousel</t>
  </si>
  <si>
    <t>Danger on Deception Island</t>
  </si>
  <si>
    <t>The Secret of Shadow Ranch</t>
  </si>
  <si>
    <t>Curse of Blackmoor Manor</t>
  </si>
  <si>
    <t>Secret of the Old Clock</t>
  </si>
  <si>
    <t>Last Train to Blue Moon Canyon</t>
  </si>
  <si>
    <t>Danger by Design</t>
  </si>
  <si>
    <t>The Creature of Kapu Cave</t>
  </si>
  <si>
    <t>The White Wolf of Icicle Creek</t>
  </si>
  <si>
    <t>Legend of the Crystal Skull</t>
  </si>
  <si>
    <t>The Phantom of Venice</t>
  </si>
  <si>
    <t>The Haunting of Castle Malloy</t>
  </si>
  <si>
    <t>Ransom of the Seven Ships</t>
  </si>
  <si>
    <t>Warnings at Waverly Academy</t>
  </si>
  <si>
    <t>Trail of the Twister</t>
  </si>
  <si>
    <t>Shadow at the Water's Edge</t>
  </si>
  <si>
    <t>The Captive Curse</t>
  </si>
  <si>
    <t>Alibi in Ashes</t>
  </si>
  <si>
    <t>Tomb of the Lost Queen</t>
  </si>
  <si>
    <t>The Deadly Device</t>
  </si>
  <si>
    <t>Ghost of Thornton Hall</t>
  </si>
  <si>
    <t>The Silent Spy</t>
  </si>
  <si>
    <t>The Shattered Medallion</t>
  </si>
  <si>
    <t>Labyrinth of Lies</t>
  </si>
  <si>
    <t>Sea of Darkness</t>
  </si>
  <si>
    <t>Midnight in Salem</t>
  </si>
  <si>
    <t xml:space="preserve">Zork I: The Great Underground Empire </t>
  </si>
  <si>
    <t xml:space="preserve">Zork II: The Wizard of Frobozz </t>
  </si>
  <si>
    <t xml:space="preserve">Zork III: The Dungeon Master </t>
  </si>
  <si>
    <t>Enchanter</t>
  </si>
  <si>
    <t xml:space="preserve">Sorcerer </t>
  </si>
  <si>
    <t xml:space="preserve">Spellbreaker </t>
  </si>
  <si>
    <t xml:space="preserve">Mini Zork I: The Great Underground Empire </t>
  </si>
  <si>
    <t xml:space="preserve">Beyond Zork: The Coconut of Quendor </t>
  </si>
  <si>
    <t xml:space="preserve">Zork Zero: The Revenge of Megaboz </t>
  </si>
  <si>
    <t xml:space="preserve">Zork: The Undiscovered Underground </t>
  </si>
  <si>
    <t xml:space="preserve">Planetfall </t>
  </si>
  <si>
    <t xml:space="preserve">Stationfall </t>
  </si>
  <si>
    <t xml:space="preserve">Starcross </t>
  </si>
  <si>
    <t xml:space="preserve">Suspended: A Cryogenic Nightmare </t>
  </si>
  <si>
    <t>The Witness</t>
  </si>
  <si>
    <t xml:space="preserve">Infidel </t>
  </si>
  <si>
    <t>Seastalker</t>
  </si>
  <si>
    <t>Cutthroats</t>
  </si>
  <si>
    <t xml:space="preserve">The Hitchhiker's Guide to the Galaxy </t>
  </si>
  <si>
    <t xml:space="preserve">Suspect </t>
  </si>
  <si>
    <t xml:space="preserve">A Mind Forever Voyaging </t>
  </si>
  <si>
    <t xml:space="preserve">Wishbringer: The Magick Stone of Dreams </t>
  </si>
  <si>
    <t xml:space="preserve">Ballyhoo </t>
  </si>
  <si>
    <t xml:space="preserve">Hollywood Hijinx </t>
  </si>
  <si>
    <t xml:space="preserve">Leather Goddesses of Phobos </t>
  </si>
  <si>
    <t>Moonmist</t>
  </si>
  <si>
    <t xml:space="preserve">Trinity </t>
  </si>
  <si>
    <t xml:space="preserve">Border Zone </t>
  </si>
  <si>
    <t>Bureaucracy</t>
  </si>
  <si>
    <t xml:space="preserve">Nord and Bert Couldn't Make Head or Tail of It </t>
  </si>
  <si>
    <t xml:space="preserve">Plundered Hearts </t>
  </si>
  <si>
    <t xml:space="preserve">Sherlock: The Riddle of the Crown Jewels </t>
  </si>
  <si>
    <t xml:space="preserve">Arthur: The Quest for Excalibur </t>
  </si>
  <si>
    <t xml:space="preserve">James Clavell's Shogun </t>
  </si>
  <si>
    <t xml:space="preserve">Journey </t>
  </si>
  <si>
    <t>Firstly Published Year</t>
  </si>
  <si>
    <t>No support for stats and no suppoort for resource management</t>
  </si>
  <si>
    <t>Single platform on PC/Phone</t>
  </si>
  <si>
    <t>Single planform on Console</t>
  </si>
  <si>
    <t>Multiple planforms</t>
  </si>
  <si>
    <t>Single player</t>
  </si>
  <si>
    <t>Two players</t>
  </si>
  <si>
    <t>Three or more players</t>
  </si>
  <si>
    <t>Free to play</t>
  </si>
  <si>
    <t>Pay to play</t>
  </si>
  <si>
    <t>In-game ad or purchase</t>
  </si>
  <si>
    <t>Platform Compatibility</t>
  </si>
  <si>
    <t>Monetization Model</t>
  </si>
  <si>
    <t>Code</t>
  </si>
  <si>
    <t>C1: Human Computer Interaction</t>
  </si>
  <si>
    <t>C2: Visual Support</t>
  </si>
  <si>
    <t>C3: Game option</t>
  </si>
  <si>
    <t>C4: Action Time</t>
  </si>
  <si>
    <t>C5: Story ending</t>
  </si>
  <si>
    <t>C6: Stats System</t>
  </si>
  <si>
    <t>C7: Platform Compatibility</t>
  </si>
  <si>
    <t>C8: Player Count</t>
  </si>
  <si>
    <t>C9: Monetization Model</t>
  </si>
  <si>
    <t>C1 X</t>
  </si>
  <si>
    <t>C2 X</t>
  </si>
  <si>
    <t>C3 X</t>
  </si>
  <si>
    <t>C4 X</t>
  </si>
  <si>
    <t>C5 X</t>
  </si>
  <si>
    <t>C6 X</t>
  </si>
  <si>
    <t>C7 X</t>
  </si>
  <si>
    <t>C9 X</t>
  </si>
  <si>
    <t>C8 X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</si>
  <si>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</si>
  <si>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</si>
  <si>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</si>
  <si>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</si>
  <si>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</si>
  <si>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</si>
  <si>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</si>
  <si>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</si>
  <si>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Keyboard</t>
  </si>
  <si>
    <t>Mouse</t>
  </si>
  <si>
    <t>Mouse only</t>
  </si>
  <si>
    <t>Text</t>
  </si>
  <si>
    <t>Picture</t>
  </si>
  <si>
    <t>Video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</si>
  <si>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</si>
  <si>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</si>
  <si>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</si>
  <si>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</si>
  <si>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</si>
  <si>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</si>
  <si>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</si>
  <si>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</si>
  <si>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</si>
  <si>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</si>
  <si>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</si>
  <si>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</si>
  <si>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</si>
  <si>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</si>
  <si>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</si>
  <si>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</si>
  <si>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</si>
  <si>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</si>
  <si>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</si>
  <si>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</si>
  <si>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</si>
  <si>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</si>
  <si>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</si>
  <si>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</si>
  <si>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</si>
  <si>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 xml:space="preserve">Monetization Model </t>
  </si>
  <si>
    <t>1980-1981</t>
  </si>
  <si>
    <t>User Input</t>
  </si>
  <si>
    <t>Visual Output</t>
  </si>
  <si>
    <t>Story Option</t>
  </si>
  <si>
    <t>Time to Respond</t>
  </si>
  <si>
    <t>Stats &amp; Resouce</t>
  </si>
  <si>
    <t>Number of Players</t>
  </si>
  <si>
    <t>Stats &amp; Resource</t>
  </si>
  <si>
    <t>Platform Compatability</t>
  </si>
  <si>
    <t>Mystery of the Seven Keys</t>
  </si>
  <si>
    <t>https://www.herinteractive.com/shop-games/nancy-drew-secrets-can-kill/</t>
  </si>
  <si>
    <t>https://www.herinteractive.com/shop-games/nancy-drew-secrets-can-kill-remastered/</t>
  </si>
  <si>
    <t>https://www.herinteractive.com/shop-games/nancy-drew-stay-tuned-for-danger/</t>
  </si>
  <si>
    <t>https://www.herinteractive.com/shop-games/nancy-drew-message-in-a-haunted-mansion/</t>
  </si>
  <si>
    <t>https://www.herinteractive.com/shop-games/nancy-drew-treasure-in-the-royal-tower/</t>
  </si>
  <si>
    <t>https://www.herinteractive.com/shop-games/nancy-drew-the-final-scene/</t>
  </si>
  <si>
    <t>https://www.herinteractive.com/shop-games/nancy-drew-secret-of-the-scarlet-hand/</t>
  </si>
  <si>
    <t>https://www.herinteractive.com/shop-games/nancy-drew-ghost-dogs-of-moon-lake/</t>
  </si>
  <si>
    <t>https://www.herinteractive.com/shop-games/nancy-drew-the-haunted-carousel/</t>
  </si>
  <si>
    <t>https://www.herinteractive.com/shop-games/nancy-drew-danger-on-deception-island/</t>
  </si>
  <si>
    <t>https://www.herinteractive.com/shop-games/nancy-drew-the-secret-of-shadow-ranch/</t>
  </si>
  <si>
    <t>https://www.herinteractive.com/shop-games/nancy-drew-curse-of-blackmoor-manor/</t>
  </si>
  <si>
    <t>https://www.herinteractive.com/shop-games/nancy-drew-secret-of-the-old-clock/</t>
  </si>
  <si>
    <t>https://www.herinteractive.com/shop-games/nancy-drew-last-train-to-blue-moon-canyon/</t>
  </si>
  <si>
    <t>https://www.herinteractive.com/shop-games/nancy-drew-danger-by-design/</t>
  </si>
  <si>
    <t>https://www.herinteractive.com/shop-games/nancy-drew-the-creature-of-kapu-cave/</t>
  </si>
  <si>
    <t>https://www.herinteractive.com/shop-games/nancy-drew-the-white-wolf-of-icicle-creek/</t>
  </si>
  <si>
    <t>https://www.herinteractive.com/shop-games/nancy-drew-legend-of-the-crystal-skull/</t>
  </si>
  <si>
    <t>https://www.herinteractive.com/shop-games/nancy-drew-the-phantom-of-venice/</t>
  </si>
  <si>
    <t>https://www.herinteractive.com/shop-games/nancy-drew-the-haunting-of-castle-malloy/</t>
  </si>
  <si>
    <t>https://www.herinteractive.com/shop-games/nancy-drew-ransom-of-the-seven-ships/</t>
  </si>
  <si>
    <t>https://www.herinteractive.com/shop-games/nancy-drew-warnings-at-waverly-academy/</t>
  </si>
  <si>
    <t>https://www.herinteractive.com/shop-games/nancy-drew-trail-of-the-twister/</t>
  </si>
  <si>
    <t>https://www.herinteractive.com/shop-games/nancy-drew-shadow-at-the-waters-edge/</t>
  </si>
  <si>
    <t>https://www.herinteractive.com/shop-games/nancy-drew-the-captive-curse/</t>
  </si>
  <si>
    <t>https://www.herinteractive.com/shop-games/nancy-drew-alibi-in-ashes/</t>
  </si>
  <si>
    <t>https://www.herinteractive.com/shop-games/nancy-drew-tomb-of-the-lost-queen/</t>
  </si>
  <si>
    <t>https://www.herinteractive.com/shop-games/nancy-drew-the-deadly-device/</t>
  </si>
  <si>
    <t>https://www.herinteractive.com/shop-games/nancy-drew-ghost-of-thornton-hall/</t>
  </si>
  <si>
    <t>https://www.herinteractive.com/shop-games/nancy-drew-the-silent-spy/</t>
  </si>
  <si>
    <t>https://www.herinteractive.com/shop-games/nancy-drew-the-shattered-medallion/</t>
  </si>
  <si>
    <t>https://www.herinteractive.com/shop-games/nancy-drew-labyrinth-of-lies/</t>
  </si>
  <si>
    <t>https://www.herinteractive.com/shop-games/nancy-drew-sea-of-darkness/</t>
  </si>
  <si>
    <t>https://www.herinteractive.com/shop-games/33-nancy-drew-midnight-in-salem/</t>
  </si>
  <si>
    <t>https://www.herinteractive.com/shop-games/34-nancy-drew-mystery-of-the-seven-keys/</t>
  </si>
  <si>
    <t>Game Name</t>
  </si>
  <si>
    <t>Published Year</t>
  </si>
  <si>
    <t>Ghost Dogs of Moon Lake</t>
  </si>
  <si>
    <t>https://ifdb.org/viewgame?id=vu4xhul3abknifcr</t>
  </si>
  <si>
    <t>https://ifdb.org/viewgame?id=lidg5nx9ig0bwk55</t>
  </si>
  <si>
    <t>https://ifdb.org/viewgame?id=wqsmrahzozosu3r</t>
  </si>
  <si>
    <t>https://ifdb.org/viewgame?id=0dbnusxunq7fw5ro</t>
  </si>
  <si>
    <t>https://ifdb.org/viewgame?id=yzzm4puxyjakk8c4</t>
  </si>
  <si>
    <t>https://ifdb.org/viewgame?id=vrsot1zgy1wfcdru</t>
  </si>
  <si>
    <t>https://www.ifiction.org/games/playz.php?cat=2&amp;game=146&amp;mode=html</t>
  </si>
  <si>
    <t>https://ifdb.org/viewgame?id=9h6o1charof548ii</t>
  </si>
  <si>
    <t>https://ifdb.org/viewgame?id=17coplfu323xif76</t>
  </si>
  <si>
    <t>https://ifdb.org/viewgame?id=40hswtkhap88gzvn</t>
  </si>
  <si>
    <t>https://ifdb.org/viewgame?id=xe6kb3cuqwie2q38</t>
  </si>
  <si>
    <t>https://ifdb.org/viewgame?id=9nlbhqnlyb169uge</t>
  </si>
  <si>
    <t>https://ifdb.org/viewgame?id=p976o7x5ies9ltdh</t>
  </si>
  <si>
    <t>https://ifdb.org/viewgame?id=y42oje3ryqi6lohn</t>
  </si>
  <si>
    <t>https://ifdb.org/viewgame?id=t47hei9uq10xoar8</t>
  </si>
  <si>
    <t>https://ifdb.org/viewgame?id=6963a47vqgms8wi0</t>
  </si>
  <si>
    <t>https://ifdb.org/viewgame?id=anu79a4n1jedg5mm</t>
  </si>
  <si>
    <t>https://ifdb.org/viewgame?id=56wb8hflec2isvzm</t>
  </si>
  <si>
    <t>https://ifdb.org/viewgame?id=4ao65o1u0xuvj8jf</t>
  </si>
  <si>
    <t>https://ifdb.org/viewgame?id=ouv80gvsl32xlion</t>
  </si>
  <si>
    <t>https://ifdb.org/viewgame?id=tdbss1ekrp4ua7h4</t>
  </si>
  <si>
    <t>https://ifdb.org/viewgame?id=4h62dvooeg9ajtfa</t>
  </si>
  <si>
    <t>https://ifdb.org/viewgame?id=z02joykzh66wfhcl</t>
  </si>
  <si>
    <t>https://ifdb.org/viewgame?id=b0i6bx7g4rkrekgg</t>
  </si>
  <si>
    <t>https://ifdb.org/viewgame?id=jnfkbgdgopwfqist</t>
  </si>
  <si>
    <t>https://ifdb.org/viewgame?id=3p9fdt4fxr2goctw</t>
  </si>
  <si>
    <t>https://ifdb.org/viewgame?id=c66u816v8kx2jzm2</t>
  </si>
  <si>
    <t>https://ifdb.org/viewgame?id=j18kjz80hxjtyayw</t>
  </si>
  <si>
    <t>https://ifdb.org/viewgame?id=7epwz167lgruvm0u</t>
  </si>
  <si>
    <t>https://ifdb.org/viewgame?id=zjyxds3s57pgis3x</t>
  </si>
  <si>
    <t>https://ifdb.org/viewgame?id=jhbd0kja1t57uop</t>
  </si>
  <si>
    <t>https://ifdb.org/viewgame?id=zxb8pq3qrkvdob4i</t>
  </si>
  <si>
    <t>https://ifdb.org/viewgame?id=ddagftras22bnz8h</t>
  </si>
  <si>
    <t>https://ifdb.org/viewgame?id=j8lmspy4iz73mx26</t>
  </si>
  <si>
    <t>https://ifdb.org/viewgame?id=zoohwv5nqye7up2t</t>
  </si>
  <si>
    <t>https://ifdb.org/viewgame?id=w3pz3v8wckaw1wgb</t>
  </si>
  <si>
    <t>https://ifdb.org/viewgame?id=2752o3sh6y05ob1p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</si>
</sst>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2" fillId="3" borderId="0" xfId="0" applyFont="1" applyFill="1" applyAlignment="1">
      <alignment horizontal="left" vertical="top" wrapText="1"/>
    </xf>
    <xf numFmtId="0" fontId="3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6" fillId="6" borderId="6" xfId="0" applyFont="1" applyFill="1" applyBorder="1" applyAlignment="1">
      <alignment wrapText="1"/>
    </xf>
    <xf numFmtId="0" fontId="6" fillId="6" borderId="7" xfId="0" applyFont="1" applyFill="1" applyBorder="1" applyAlignment="1">
      <alignment wrapText="1"/>
    </xf>
    <xf numFmtId="0" fontId="6" fillId="7" borderId="6" xfId="0" applyFont="1" applyFill="1" applyBorder="1" applyAlignment="1">
      <alignment wrapText="1"/>
    </xf>
    <xf numFmtId="0" fontId="6" fillId="7" borderId="7" xfId="0" applyFont="1" applyFill="1" applyBorder="1" applyAlignment="1">
      <alignment wrapText="1"/>
    </xf>
    <xf numFmtId="0" fontId="6" fillId="5" borderId="6" xfId="0" applyFont="1" applyFill="1" applyBorder="1" applyAlignment="1">
      <alignment wrapText="1"/>
    </xf>
    <xf numFmtId="0" fontId="6" fillId="5" borderId="7" xfId="0" applyFont="1" applyFill="1" applyBorder="1" applyAlignment="1">
      <alignment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0" borderId="0" xfId="1" applyAlignment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2" fillId="4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Infocom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81379070220159"/>
          <c:y val="0.10060520377561902"/>
          <c:w val="0.85712950976289881"/>
          <c:h val="0.73239023938983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'Infocom Series'!$D$58</c:f>
              <c:strCache>
                <c:ptCount val="1"/>
                <c:pt idx="0">
                  <c:v>User Input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43D-E440-9482-5C59D5D5591E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43D-E440-9482-5C59D5D5591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43D-E440-9482-5C59D5D5591E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43D-E440-9482-5C59D5D5591E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843D-E440-9482-5C59D5D5591E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843D-E440-9482-5C59D5D5591E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843D-E440-9482-5C59D5D5591E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843D-E440-9482-5C59D5D5591E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843D-E440-9482-5C59D5D5591E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843D-E440-9482-5C59D5D5591E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843D-E440-9482-5C59D5D5591E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843D-E440-9482-5C59D5D5591E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843D-E440-9482-5C59D5D5591E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843D-E440-9482-5C59D5D5591E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843D-E440-9482-5C59D5D5591E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843D-E440-9482-5C59D5D5591E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843D-E440-9482-5C59D5D5591E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843D-E440-9482-5C59D5D5591E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843D-E440-9482-5C59D5D5591E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843D-E440-9482-5C59D5D5591E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843D-E440-9482-5C59D5D5591E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843D-E440-9482-5C59D5D5591E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843D-E440-9482-5C59D5D5591E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843D-E440-9482-5C59D5D5591E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843D-E440-9482-5C59D5D5591E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843D-E440-9482-5C59D5D5591E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843D-E440-9482-5C59D5D5591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7D05867-72A0-3942-AF38-2EE4BC8D3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2BBB75-7F6F-3A4C-BC90-0EB497CD8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02D34B-AED0-1643-A41F-E2484C2521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97E636-8973-8E40-BF4B-89EDE4BC2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0D3CB8-0FA4-2846-80B1-1794EB318E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D709E8-2578-C047-B1F1-56A65A232F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B6A46B-3535-BC47-B93D-4EECA599A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D413C4-86E6-C546-9383-FCE823CF5E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599FAC-0D19-0D48-BEDC-87A4AEE05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3D-E440-9482-5C59D5D559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A0FD3D-F3B4-7643-8F02-53FA99A7B2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3D-E440-9482-5C59D5D559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3598BB-BCF8-D041-9F9A-E72C3B336D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3D-E440-9482-5C59D5D559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1F7FB7-6163-D142-8DAA-8D99BC8A6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3D-E440-9482-5C59D5D559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EF34A6-250E-CF42-8DCF-A7EA1BEC7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3D-E440-9482-5C59D5D559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9439D5-AB24-C246-BA6D-304A77BCC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3D-E440-9482-5C59D5D559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CE80BD-A10F-9549-B0C5-303D604BE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3D-E440-9482-5C59D5D559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AE225E-52FF-7348-B23A-8BFEFB197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3D-E440-9482-5C59D5D559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92E5D2-DA75-FC43-A132-8CB6367529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3D-E440-9482-5C59D5D559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293941-2B08-3943-9496-1FF7EA056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3D-E440-9482-5C59D5D559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B120E6-D7F9-3F4A-AB2D-8BBCE1276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3D-E440-9482-5C59D5D559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4AE9A5-10D1-3946-8030-1C248364D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3D-E440-9482-5C59D5D559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036FA2-D117-4B40-8976-39744564D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3D-E440-9482-5C59D5D559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3E50A3-4804-7649-ACE3-21D160D16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3D-E440-9482-5C59D5D559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8D9C58-4626-3D4C-AFD7-E0E34A549B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3D-E440-9482-5C59D5D559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3BFEA9-96AB-384B-8D84-6561994AF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3D-E440-9482-5C59D5D559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A78070-0AE1-054C-AFC2-2C1491E161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3D-E440-9482-5C59D5D559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013D91-BD2E-7647-A27E-702E4E865A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3D-E440-9482-5C59D5D559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50D320-32F4-1549-89C6-154121DFB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Series'!$D$59:$D$85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843D-E440-9482-5C59D5D5591E}"/>
            </c:ext>
          </c:extLst>
        </c:ser>
        <c:ser>
          <c:idx val="1"/>
          <c:order val="1"/>
          <c:tx>
            <c:strRef>
              <c:f>'Infocom Series'!$A$46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ADB847-7211-B84B-8892-8491F7B55A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82F917-6F95-564F-BE0D-BCE36C5FC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F4E26F-F783-4746-AEFD-D6FC9F684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A3EA41-CFEA-394D-90EF-43555C95BD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5FA1F8-06B6-ED47-A97E-BD319A8741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FEE47A-59D9-5347-9E16-D0F1D4E5B7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010E91-6C4F-D942-A167-60031847CC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2D51BF-5FDE-9C46-82F8-85E21FD42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AF6C5E-67A9-3B46-A947-051B45F55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'Infocom Series'!$C$48:$C$56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Series'!$A$48:$A$56</c15:f>
                <c15:dlblRangeCache>
                  <c:ptCount val="9"/>
                  <c:pt idx="0">
                    <c:v>1980-1981</c:v>
                  </c:pt>
                  <c:pt idx="1">
                    <c:v>1982</c:v>
                  </c:pt>
                  <c:pt idx="2">
                    <c:v>1983</c:v>
                  </c:pt>
                  <c:pt idx="3">
                    <c:v>1984</c:v>
                  </c:pt>
                  <c:pt idx="4">
                    <c:v>1985</c:v>
                  </c:pt>
                  <c:pt idx="5">
                    <c:v>1986</c:v>
                  </c:pt>
                  <c:pt idx="6">
                    <c:v>1987</c:v>
                  </c:pt>
                  <c:pt idx="7">
                    <c:v>1988</c:v>
                  </c:pt>
                  <c:pt idx="8">
                    <c:v>1989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843D-E440-9482-5C59D5D5591E}"/>
            </c:ext>
          </c:extLst>
        </c:ser>
        <c:ser>
          <c:idx val="2"/>
          <c:order val="2"/>
          <c:tx>
            <c:strRef>
              <c:f>'Infocom Series'!$F$1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43B45E-ED8F-824C-A6F1-D80FD07BE8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3D-E440-9482-5C59D5D5591E}"/>
                </c:ext>
              </c:extLst>
            </c:dLbl>
            <c:dLbl>
              <c:idx val="1"/>
              <c:layout>
                <c:manualLayout>
                  <c:x val="-2.1216361229661057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08B37D12-640D-3845-BBC0-82C5BA76C9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843D-E440-9482-5C59D5D5591E}"/>
                </c:ext>
              </c:extLst>
            </c:dLbl>
            <c:dLbl>
              <c:idx val="2"/>
              <c:layout>
                <c:manualLayout>
                  <c:x val="-2.7487264532024464E-2"/>
                  <c:y val="0.13788577945812727"/>
                </c:manualLayout>
              </c:layout>
              <c:tx>
                <c:rich>
                  <a:bodyPr/>
                  <a:lstStyle/>
                  <a:p>
                    <a:fld id="{D4176DD9-8B06-634E-9585-B7C5506BB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'Infocom Series'!$K$3:$K$5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843D-E440-9482-5C59D5D5591E}"/>
            </c:ext>
          </c:extLst>
        </c:ser>
        <c:ser>
          <c:idx val="3"/>
          <c:order val="3"/>
          <c:tx>
            <c:strRef>
              <c:f>'Infocom Series'!$F$6:$I$6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7FA823-85D1-4945-B4D5-2B3D507AF6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40-5148-A2F6-DAD9E134559F}"/>
                </c:ext>
              </c:extLst>
            </c:dLbl>
            <c:dLbl>
              <c:idx val="1"/>
              <c:layout>
                <c:manualLayout>
                  <c:x val="-2.0727964606596615E-2"/>
                  <c:y val="0.10588578521740649"/>
                </c:manualLayout>
              </c:layout>
              <c:tx>
                <c:rich>
                  <a:bodyPr/>
                  <a:lstStyle/>
                  <a:p>
                    <a:fld id="{75F4E197-916B-0940-81A5-AA3438977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D740-5148-A2F6-DAD9E134559F}"/>
                </c:ext>
              </c:extLst>
            </c:dLbl>
            <c:dLbl>
              <c:idx val="2"/>
              <c:layout>
                <c:manualLayout>
                  <c:x val="-2.2269945198250062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F7FF09B0-1BA8-0D45-981A-B0663FE76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'Infocom Series'!$K$8:$K$10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740-5148-A2F6-DAD9E134559F}"/>
            </c:ext>
          </c:extLst>
        </c:ser>
        <c:ser>
          <c:idx val="4"/>
          <c:order val="4"/>
          <c:tx>
            <c:strRef>
              <c:f>'Infocom Series'!$F$11:$I$11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3574FD-0A6E-7E40-A5FE-3550224924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40-5148-A2F6-DAD9E134559F}"/>
                </c:ext>
              </c:extLst>
            </c:dLbl>
            <c:dLbl>
              <c:idx val="1"/>
              <c:layout>
                <c:manualLayout>
                  <c:x val="-4.17808277086354E-2"/>
                  <c:y val="7.8457218725359962E-2"/>
                </c:manualLayout>
              </c:layout>
              <c:tx>
                <c:rich>
                  <a:bodyPr/>
                  <a:lstStyle/>
                  <a:p>
                    <a:fld id="{63286B1B-E006-F94E-BC08-45AAD13F0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D740-5148-A2F6-DAD9E134559F}"/>
                </c:ext>
              </c:extLst>
            </c:dLbl>
            <c:dLbl>
              <c:idx val="2"/>
              <c:layout>
                <c:manualLayout>
                  <c:x val="-4.1334767692490282E-2"/>
                  <c:y val="0.14017149333246465"/>
                </c:manualLayout>
              </c:layout>
              <c:tx>
                <c:rich>
                  <a:bodyPr/>
                  <a:lstStyle/>
                  <a:p>
                    <a:fld id="{B8E5861F-C031-6848-A2D0-C7EB58F01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'Infocom Series'!$K$13:$K$15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D740-5148-A2F6-DAD9E134559F}"/>
            </c:ext>
          </c:extLst>
        </c:ser>
        <c:ser>
          <c:idx val="5"/>
          <c:order val="5"/>
          <c:tx>
            <c:strRef>
              <c:f>'Infocom Series'!$F$16:$I$16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998B68-A8C6-CC43-9C0D-3953DB6BC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40-5148-A2F6-DAD9E134559F}"/>
                </c:ext>
              </c:extLst>
            </c:dLbl>
            <c:dLbl>
              <c:idx val="1"/>
              <c:layout>
                <c:manualLayout>
                  <c:x val="-1.4212894776940491E-2"/>
                  <c:y val="8.9885788097046018E-2"/>
                </c:manualLayout>
              </c:layout>
              <c:tx>
                <c:rich>
                  <a:bodyPr/>
                  <a:lstStyle/>
                  <a:p>
                    <a:fld id="{CA1860B5-F022-6F4D-A026-BAAEC7FB70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D740-5148-A2F6-DAD9E134559F}"/>
                </c:ext>
              </c:extLst>
            </c:dLbl>
            <c:dLbl>
              <c:idx val="2"/>
              <c:layout>
                <c:manualLayout>
                  <c:x val="-2.6245962845368339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797517B9-0711-8C46-863A-5946DE493B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'Infocom Series'!$K$18:$K$20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D740-5148-A2F6-DAD9E134559F}"/>
            </c:ext>
          </c:extLst>
        </c:ser>
        <c:ser>
          <c:idx val="6"/>
          <c:order val="6"/>
          <c:tx>
            <c:strRef>
              <c:f>'Infocom Series'!$F$21:$I$21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071573-E485-6140-BEEE-8A5726EB3E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40-5148-A2F6-DAD9E134559F}"/>
                </c:ext>
              </c:extLst>
            </c:dLbl>
            <c:dLbl>
              <c:idx val="1"/>
              <c:layout>
                <c:manualLayout>
                  <c:x val="-3.7946059221539138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3694D4B8-2EAE-3A42-BDE0-6C2C702724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D740-5148-A2F6-DAD9E134559F}"/>
                </c:ext>
              </c:extLst>
            </c:dLbl>
            <c:dLbl>
              <c:idx val="2"/>
              <c:layout>
                <c:manualLayout>
                  <c:x val="-2.7027092313573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B7D3E925-67B2-784D-9157-E17395EC6B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'Infocom Series'!$K$23:$K$25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D740-5148-A2F6-DAD9E134559F}"/>
            </c:ext>
          </c:extLst>
        </c:ser>
        <c:ser>
          <c:idx val="7"/>
          <c:order val="7"/>
          <c:tx>
            <c:strRef>
              <c:f>'Infocom Series'!$F$26:$I$26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D4B6EF-6546-C043-91FE-0C12CBDDE0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40-5148-A2F6-DAD9E134559F}"/>
                </c:ext>
              </c:extLst>
            </c:dLbl>
            <c:dLbl>
              <c:idx val="1"/>
              <c:layout>
                <c:manualLayout>
                  <c:x val="-4.5246263333567904E-2"/>
                  <c:y val="8.3028646474034212E-2"/>
                </c:manualLayout>
              </c:layout>
              <c:tx>
                <c:rich>
                  <a:bodyPr/>
                  <a:lstStyle/>
                  <a:p>
                    <a:fld id="{35FB8AD5-EE2A-9448-9E7F-7813A48764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D740-5148-A2F6-DAD9E134559F}"/>
                </c:ext>
              </c:extLst>
            </c:dLbl>
            <c:dLbl>
              <c:idx val="2"/>
              <c:layout>
                <c:manualLayout>
                  <c:x val="-3.9050052993862515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683C3158-C137-8E4E-80A3-9E5921F264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'Infocom Series'!$K$28:$K$30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D740-5148-A2F6-DAD9E134559F}"/>
            </c:ext>
          </c:extLst>
        </c:ser>
        <c:ser>
          <c:idx val="8"/>
          <c:order val="8"/>
          <c:tx>
            <c:strRef>
              <c:f>'Infocom Series'!$F$31:$I$31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EFB7BA-9535-C24A-83A2-2A73AFEBB1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40-5148-A2F6-DAD9E134559F}"/>
                </c:ext>
              </c:extLst>
            </c:dLbl>
            <c:dLbl>
              <c:idx val="1"/>
              <c:layout>
                <c:manualLayout>
                  <c:x val="-3.4492765176068474E-2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C229DA0C-57CF-5044-829F-1A45F4BFA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D740-5148-A2F6-DAD9E134559F}"/>
                </c:ext>
              </c:extLst>
            </c:dLbl>
            <c:dLbl>
              <c:idx val="2"/>
              <c:layout>
                <c:manualLayout>
                  <c:x val="-2.1040785091055808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6BC55B40-4713-FE4F-92A9-ED168A73C7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'Infocom Series'!$K$33:$K$35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D740-5148-A2F6-DAD9E134559F}"/>
            </c:ext>
          </c:extLst>
        </c:ser>
        <c:ser>
          <c:idx val="9"/>
          <c:order val="9"/>
          <c:tx>
            <c:strRef>
              <c:f>'Infocom Series'!$F$36:$I$36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B335C23-BCBE-9043-9F6F-71E3303777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40-5148-A2F6-DAD9E134559F}"/>
                </c:ext>
              </c:extLst>
            </c:dLbl>
            <c:dLbl>
              <c:idx val="1"/>
              <c:layout>
                <c:manualLayout>
                  <c:x val="-1.0957362269196361E-2"/>
                  <c:y val="8.5314360348371587E-2"/>
                </c:manualLayout>
              </c:layout>
              <c:tx>
                <c:rich>
                  <a:bodyPr/>
                  <a:lstStyle/>
                  <a:p>
                    <a:fld id="{3564AAB4-3C99-1E49-9E15-298390FD84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D740-5148-A2F6-DAD9E134559F}"/>
                </c:ext>
              </c:extLst>
            </c:dLbl>
            <c:dLbl>
              <c:idx val="2"/>
              <c:layout>
                <c:manualLayout>
                  <c:x val="-4.1566919777279054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C63C55AF-E22E-8B4C-A04A-B44CE30C7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'Infocom Series'!$K$38:$K$40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D740-5148-A2F6-DAD9E134559F}"/>
            </c:ext>
          </c:extLst>
        </c:ser>
        <c:ser>
          <c:idx val="10"/>
          <c:order val="10"/>
          <c:tx>
            <c:strRef>
              <c:f>'Infocom Series'!$F$41:$I$41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7C747B-7B00-5242-AD3A-E3AD0F0C1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40-5148-A2F6-DAD9E134559F}"/>
                </c:ext>
              </c:extLst>
            </c:dLbl>
            <c:dLbl>
              <c:idx val="1"/>
              <c:layout>
                <c:manualLayout>
                  <c:x val="-3.0632378591993704E-3"/>
                  <c:y val="0.1447429210811389"/>
                </c:manualLayout>
              </c:layout>
              <c:tx>
                <c:rich>
                  <a:bodyPr/>
                  <a:lstStyle/>
                  <a:p>
                    <a:fld id="{F9659929-596D-7A41-A046-D959921B02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D740-5148-A2F6-DAD9E134559F}"/>
                </c:ext>
              </c:extLst>
            </c:dLbl>
            <c:dLbl>
              <c:idx val="2"/>
              <c:layout>
                <c:manualLayout>
                  <c:x val="0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E1B1BD87-D0C9-6748-8D8F-604DD7ECF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'Infocom Series'!$K$43:$K$45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D740-5148-A2F6-DAD9E134559F}"/>
            </c:ext>
          </c:extLst>
        </c:ser>
        <c:ser>
          <c:idx val="11"/>
          <c:order val="11"/>
          <c:tx>
            <c:strRef>
              <c:f>'Infocom Series'!$F$58</c:f>
              <c:strCache>
                <c:ptCount val="1"/>
                <c:pt idx="0">
                  <c:v>Visual Output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915F26-4A52-CF45-9156-426DC134E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0DBB9E-2442-A54B-AC22-93F888B01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B7279B-385A-DE4A-9482-BCA0BC0E7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3B12D4-0672-8342-80BD-07E0ECC8BC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640A3F-ACBE-124F-83AB-5ACC795477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88E888-B82E-1C45-84B9-9DA5ABC0D6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432A66-9447-294A-BCBF-CE158D7DB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4D795D-F76C-024E-A7CF-924DBD90FF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F826F2-815E-C04B-97F5-5525272948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183329-F1AE-1643-9D0F-512019E546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792191-5B2A-1445-B98E-51DF0AD44E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ED4FFC-5364-3544-AA61-6DD16B654D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0969F2-163E-E640-A9E1-B32BAD93C4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52E8CB-8FCE-D44A-A50D-FD80988D0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C915D8-EBE8-7747-9CBF-579FF8B8D5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E51885-139C-B84C-9C43-08A530BD5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578F01-2730-1C42-997C-89EEA4F72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82D575-C60A-824F-8FE6-6972D55DCE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50F2BB-1766-9E47-81EE-E76B655C03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F2D5D2-FA93-4141-89C8-0BC156357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4AD508-3F0C-5746-BBA8-905B75E89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2DC2CC-CEAD-2A41-87B2-F33C218C6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4F06DE-B151-714A-A24D-92CD73495D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2ADE95-DEA2-8740-911F-7D3BC01D9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26014A-2167-E949-9127-371C835ABF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997F91-47FB-D242-8325-D30884B60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A20F8C-76A3-1348-9C69-342642AFB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Series'!$F$59:$F$85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D740-5148-A2F6-DAD9E134559F}"/>
            </c:ext>
          </c:extLst>
        </c:ser>
        <c:ser>
          <c:idx val="12"/>
          <c:order val="12"/>
          <c:tx>
            <c:strRef>
              <c:f>'Infocom Series'!$H$58</c:f>
              <c:strCache>
                <c:ptCount val="1"/>
                <c:pt idx="0">
                  <c:v>Story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15A05F-8DF8-7B4C-9D5E-79AD62F54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779B58-1AF4-EC4E-86E1-A4808D3C6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AB5C4F-5045-5144-A75E-2C56C2DC84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AD093C-1FD7-184B-8B2C-4014DD829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532188-00F8-BB43-B96B-E9F7FB6C5C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2CD5AB-9B6D-E548-BAC3-85495C83CC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29BB52-7E26-4347-A6A8-2C3E47B512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9EC986-51BA-3147-9358-58E88DF10A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ED37E6-19DE-A34E-B63A-F29CEFB45B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6C97BC-6061-C04D-B8D3-050753A339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209987-9FA2-E340-A36F-E9C45E19D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8025E9-5061-084E-A694-95EAD123E8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06ABF6-B021-0B44-A3A6-C2BAB4126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070747-6DCA-AF49-8FE6-E1DA94AA73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68D246-A08A-CC48-B79E-66F8598696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F11CF4-32CC-644D-8AE1-CFBE6996F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A8ED5B-0879-9A4B-83FC-7F8F004947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A5ACD2-A020-DA4D-ACD1-FFCE43121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B28256-62E2-554C-86DD-56A2A7F8A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10FB94-0D88-5749-8921-C3383EFC87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F70C08-DDBF-944D-B86A-8C0C659B3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0CA759-7719-CC41-8407-F628F5FC12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24F9CA-453B-6249-81E0-2DA44BCC2C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66F096-15B4-F840-BC90-2D877DB8FC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5353EA-9898-1848-8301-59C4D8C6B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A5314D-8E5B-ED41-B8B7-9D505A7A7F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FB457B-CD52-4242-AA5E-7264D2A707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3</c:v>
                  </c:pt>
                  <c:pt idx="14">
                    <c:v>5</c:v>
                  </c:pt>
                  <c:pt idx="15">
                    <c:v>8</c:v>
                  </c:pt>
                  <c:pt idx="16">
                    <c:v>2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D740-5148-A2F6-DAD9E134559F}"/>
            </c:ext>
          </c:extLst>
        </c:ser>
        <c:ser>
          <c:idx val="13"/>
          <c:order val="13"/>
          <c:tx>
            <c:strRef>
              <c:f>'Infocom Series'!$K$58</c:f>
              <c:strCache>
                <c:ptCount val="1"/>
                <c:pt idx="0">
                  <c:v>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F21EAE-AE83-B143-AA50-C1FBD1020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5A9E6D-C390-4C42-9988-61B649609E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B4AFAB-EE9D-6842-9696-33A07C48A7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1F7715-8BED-D247-88AF-DDE4F3D0D1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8B1EB8-52DE-BB42-BBE9-D0ABFDB20A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3D93BC-4539-AB45-9689-25A745D062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5E5E00-B2D2-BF4C-A09A-2CB4A9BBCB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88F302-D91D-8F46-B013-6AD51073C1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3F3A76-65E3-2240-989A-487C2582BE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58CC14-A1C6-434B-9744-718D02BC8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4D186A-16C2-1D40-A6D5-6B4DA92FB5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3056EC-C50F-E245-9C61-034C4E753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DF6304-1A59-E04E-B497-BEDDDC4759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002755-D41A-554F-BFA6-1D1C45372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6BEF77-6A8C-3D42-9D22-3212F4D23F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078EB2-5669-7340-ADAD-455316F1FD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BA6FC5-B01D-174B-B06F-A550BF077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5A15B8-2709-9E47-A6E0-A6B18F57C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5B25B5-73A8-7246-BFB1-9D3EFD99B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0B6CF3-8F4A-3243-B34B-1BD89D3B61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462A96-F884-EB45-9630-162BBF140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E2D58E-2C2F-F844-A260-EB7A69F9A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389F2D-8256-4745-B7DE-3B8BF5AF92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A7010B-1971-B24B-B503-7A1D823EB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337C07-0B3E-F44E-9F10-02073D4D57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4023EC-7F12-1B4C-BB13-2739BA568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BA7FD6-B6EB-434E-A836-F8EEBC3B0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Series'!$K$59:$K$85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3</c:v>
                  </c:pt>
                  <c:pt idx="14">
                    <c:v>5</c:v>
                  </c:pt>
                  <c:pt idx="15">
                    <c:v>8</c:v>
                  </c:pt>
                  <c:pt idx="16">
                    <c:v>2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D740-5148-A2F6-DAD9E134559F}"/>
            </c:ext>
          </c:extLst>
        </c:ser>
        <c:ser>
          <c:idx val="14"/>
          <c:order val="14"/>
          <c:tx>
            <c:strRef>
              <c:f>'Infocom Series'!$M$58</c:f>
              <c:strCache>
                <c:ptCount val="1"/>
                <c:pt idx="0">
                  <c:v>Time to Respond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0030A5-D63A-E443-A7E0-3EFB33ECAA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68AC1E-9489-F044-8511-6EC5C37F2C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C56F40-0190-C042-BE99-FD03C4640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75AA1B-C3E8-074A-8F53-FCDC9D1C6D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504790-D5D5-0C49-AECE-10C59D549D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CD7E96-AA9D-974B-BE5C-E6A40ABC0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BA3A42-1396-B546-8724-726D117DAE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4DC5D9-241B-994F-BDE9-FF8E899EFA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E3D613-3F93-6243-9AF1-C5D852FDCD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7CFBFD-22FE-CF4A-8921-FEE657978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8C432A-99FF-174A-923C-93CDAF5771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08894C-8414-DD48-B059-7BA17DC5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884139-8129-9642-829D-DB3E216AE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A8E74D-8D2F-EA4F-8E4D-0FA37192E8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192FC3-B339-D545-A159-BD23136CD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36D1E8-F648-E14E-98D7-32C477893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F17FDE-10B6-A14B-BCCE-9CC44787E9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16502A-DF3D-AF41-A52B-A4E3D91413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D314DE-9306-504E-A79A-3260FA9B85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1E4EE7-A5FE-8C42-B505-B5AB85240F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B22C23-A383-BC43-A5A1-51ECF87D6C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68E030-78BB-6345-ADFE-7CD7F9CA1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E29C22-9D81-464C-A310-175566DA14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5780AF-DF53-B84D-8B61-0D004EF833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8EC3E7-3DD9-0349-910B-3C64D4407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7C69AC-4CAC-6B43-8985-20AC038AB4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C9C656-3F7D-1646-97AB-DA9671FA19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3</c:v>
                  </c:pt>
                  <c:pt idx="20">
                    <c:v>5</c:v>
                  </c:pt>
                  <c:pt idx="21">
                    <c:v>5</c:v>
                  </c:pt>
                  <c:pt idx="22">
                    <c:v>3</c:v>
                  </c:pt>
                  <c:pt idx="23">
                    <c:v>5</c:v>
                  </c:pt>
                  <c:pt idx="24">
                    <c:v>8</c:v>
                  </c:pt>
                  <c:pt idx="25">
                    <c:v>2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D740-5148-A2F6-DAD9E134559F}"/>
            </c:ext>
          </c:extLst>
        </c:ser>
        <c:ser>
          <c:idx val="15"/>
          <c:order val="15"/>
          <c:tx>
            <c:strRef>
              <c:f>'Infocom Series'!$O$58</c:f>
              <c:strCache>
                <c:ptCount val="1"/>
                <c:pt idx="0">
                  <c:v>Stats &amp; Resouce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ECEF80-9AEB-9742-AE58-60761F9BD8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71FA86-BF96-884F-8CDE-A2F9503935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AAE285-5B77-9F46-9F26-E3E9A7405A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D93A5A-28B3-594B-98EE-531A8C4DD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254FD4-65C5-4F49-B6BC-D2C6231A9F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70B06D-568B-EC4D-84DB-011067DCE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1D3FC3-E6C8-6B45-94AF-1E7A7FE2A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2E278C-5B0D-8E46-8DC7-BE958C1C7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9CBBC1-52DE-0348-AF53-5DAD03B13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3FB8CE-B4E8-E749-9A94-8C7B3DD90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580271-A234-AD44-99FC-E72BC8F649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DC7571-D073-2C4B-AE81-21D31E000A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08BA46-661B-CF47-80CB-5E9D4B5F7A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A3F809-CA90-4A46-832D-2DF108AFE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D7DA06-94F1-B149-B073-93FF2C5C8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5E8F03-DB1E-E442-9B26-CAC1936E0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6DAF34-B05F-C647-AC1F-D8A07B8D9A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FA3698-85A0-CC42-B59B-7FA5E59F84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BE3328-CB40-0543-9DDE-473B930C12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F15C8E-E380-2E45-B26D-E48A1A9F97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C1D77E-F4F2-C94C-8E7C-4D3EDD1552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40D762-15EF-5C4A-B525-1DA97A3E5A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0F281E-9426-A343-8155-6C76ADC47F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886323-72BC-004B-9656-879A9C054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199EC0-89B5-974D-8095-4BE4A93F25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D0B319-70AA-044F-91E7-0FF1102118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0F56BB-57DF-754C-9A0B-A6A9111722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Series'!$O$59:$O$85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1</c:v>
                  </c:pt>
                  <c:pt idx="12">
                    <c:v>3</c:v>
                  </c:pt>
                  <c:pt idx="13">
                    <c:v>2</c:v>
                  </c:pt>
                  <c:pt idx="14">
                    <c:v>2</c:v>
                  </c:pt>
                  <c:pt idx="15">
                    <c:v>2</c:v>
                  </c:pt>
                  <c:pt idx="16">
                    <c:v>1</c:v>
                  </c:pt>
                  <c:pt idx="17">
                    <c:v>0</c:v>
                  </c:pt>
                  <c:pt idx="18">
                    <c:v>2</c:v>
                  </c:pt>
                  <c:pt idx="19">
                    <c:v>2</c:v>
                  </c:pt>
                  <c:pt idx="20">
                    <c:v>4</c:v>
                  </c:pt>
                  <c:pt idx="21">
                    <c:v>2</c:v>
                  </c:pt>
                  <c:pt idx="22">
                    <c:v>1</c:v>
                  </c:pt>
                  <c:pt idx="23">
                    <c:v>3</c:v>
                  </c:pt>
                  <c:pt idx="24">
                    <c:v>6</c:v>
                  </c:pt>
                  <c:pt idx="25">
                    <c:v>1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D740-5148-A2F6-DAD9E134559F}"/>
            </c:ext>
          </c:extLst>
        </c:ser>
        <c:ser>
          <c:idx val="16"/>
          <c:order val="16"/>
          <c:tx>
            <c:strRef>
              <c:f>'Infocom Series'!$R$58</c:f>
              <c:strCache>
                <c:ptCount val="1"/>
                <c:pt idx="0">
                  <c:v>Number of Players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F9D89C-D275-CD49-BCE1-9E726F8C6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D917E2-F97C-1A46-A8F6-EF1D161F6A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EA36BB-B9D1-1245-B610-16A72D710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CC09AE-4EE8-BC44-91D2-48EA68FB6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6D4CC6-ECFB-3146-803E-06684DB0D3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F86F02-6648-D246-919A-592C77788C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7B2F40-ACC2-1A4A-AF71-E36DFF5FD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AEDD80-FED1-D04C-B9BF-63534B7EDB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D57099-8BC5-234D-9DCB-295A1662FB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836731-FF7A-1B4E-B561-1A8C87AA5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673E29-09BC-A542-B54D-8034F7731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2E5745-70AB-7C42-831A-B0B7D134A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64A2B1-FBBB-814D-927B-778641E62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1C18B6-DC0D-324A-A6BE-C6E7E65775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2D6482-7AB6-5F40-8A36-F814DDEA0D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DA775B-D8C9-9146-9665-87CF3F7F8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7292BB-A678-A24E-8ABE-1F16B88837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75D5F9-0919-624C-AA26-6448A75FD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3F1DAA-91CD-8044-A896-9E333D5B31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830E81-3DDB-4849-9FA2-AE8ECD48D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4D3084-D3C3-A24D-85F7-27EB7EE9B1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7F14D2-68EB-094B-A09C-A08A6311AE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8996D1-39C5-7343-9FF8-F3DB2110C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B79DA6-1986-1949-9D3F-583667DBF7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1C9421-CAB3-AF45-A0F7-F7C91D1FAD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9D6513-7CFC-F047-932B-A62E08B10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62D9A1-310C-A24A-A72C-7E0F2944BC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Series'!$R$59:$R$85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D740-5148-A2F6-DAD9E134559F}"/>
            </c:ext>
          </c:extLst>
        </c:ser>
        <c:ser>
          <c:idx val="17"/>
          <c:order val="17"/>
          <c:tx>
            <c:strRef>
              <c:f>'Infocom Series'!$T$58</c:f>
              <c:strCache>
                <c:ptCount val="1"/>
                <c:pt idx="0">
                  <c:v>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1EA16B-C9A1-A44C-9D62-6C8EE52286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54D402-1591-7D48-A2C2-FF20307451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3C126E-618B-4F48-A9AC-F9E7CECB5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53CAE8-FDAD-3044-B88E-42F98B84DD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8B76D2-0D66-A44C-BD90-55AC12AFF8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ABBA9A-5BBE-C143-A747-8A070F718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1E7B74-0CD0-8C44-B69B-9C35E9D24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443851-5CDC-A745-B92B-8C6798054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78EC69-16B4-A241-8935-A4977367A5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EBB458-6330-CE48-BC54-62F924CF2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CFF4DB-4621-8041-9854-726F278B4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FD37FD-A129-A24F-B952-1BC4E55421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E02C1C-A65B-4244-9B88-DFC5786528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DF782A-D7EB-FA42-8ABC-A50B32B0C9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B26904-704B-3242-A9F0-77FEB9C25D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D0D4F4-2CA0-F648-BEFA-E2C7F3398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27AB9A-6D42-AB4E-A4C0-56E1852100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C9FD31-17DC-6F46-A263-F8D68C957A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7D636D-8D24-BD4D-B76E-D6A6723A9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7C8204-795C-6948-8C6A-3B0048990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0C6B17-343C-8C41-900F-DB566EA3F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1A0E5C-241F-4044-85E9-A5FCE63A6D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75F704-69A5-6A4B-8A9B-A5B7B3B54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40493E-4136-104F-A148-88EB2A4D25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3EC1C7-C98A-B74A-8EC3-E6D5B64055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27EB13-DE0F-D840-B1C5-24D859186D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A71C37-E960-4F42-A65D-07A537B45A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Series'!$T$59:$T$85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3</c:v>
                  </c:pt>
                  <c:pt idx="20">
                    <c:v>5</c:v>
                  </c:pt>
                  <c:pt idx="21">
                    <c:v>5</c:v>
                  </c:pt>
                  <c:pt idx="22">
                    <c:v>3</c:v>
                  </c:pt>
                  <c:pt idx="23">
                    <c:v>5</c:v>
                  </c:pt>
                  <c:pt idx="24">
                    <c:v>8</c:v>
                  </c:pt>
                  <c:pt idx="25">
                    <c:v>2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D740-5148-A2F6-DAD9E134559F}"/>
            </c:ext>
          </c:extLst>
        </c:ser>
        <c:ser>
          <c:idx val="18"/>
          <c:order val="18"/>
          <c:tx>
            <c:strRef>
              <c:f>'Infocom Series'!$V$58</c:f>
              <c:strCache>
                <c:ptCount val="1"/>
                <c:pt idx="0">
                  <c:v>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2C888E-9FD1-1B48-A941-394694E03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0E9564-C4CE-1F41-B05F-EF728C790A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04453C-744A-EA4F-9B0A-EF90F59352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5AF137-B47A-B149-99D3-839147CD24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386F29-F310-8A42-BB29-0653BEA448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EFBEBC-8A68-464B-BC89-A451BDC450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B35B2C-8F05-6E43-B3E1-88BBBB606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DC5130-70E9-3E42-AFE4-0EE81152C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4802F2-188B-6048-8F99-957F11ED1A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F9D3DA-E31C-6845-8ACA-BA7A9CB34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195FA9-A78B-CB4B-928A-8ADD969D05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D7E337-5962-8A41-ABF9-B287440E74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525648-5A85-9945-8A98-F3DF20D8A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B1B6B9-856B-6644-AFC4-D6549F6341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CB93E5-243F-E941-9F5E-ED33B4E46A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545A30-E1D4-BE43-A13E-DC42F81AE5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1719D0-78E4-A447-A90C-230AEE4559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64963D-9F23-EA44-B4EE-8CD093703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C98B21-8EFD-B84D-8ED4-80F220A69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DDA263-56AE-2E45-8D2B-E1BDB36B3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A3BD12-1F21-5540-B3D3-C5A22427D5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BC21BF-342C-5141-8D52-04381021A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91E0C2-5077-B640-B0E1-764289674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143C17-7E96-0F43-97A7-04B04840B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201B07-E5CE-9742-8E00-1D7E36787F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1474EB-7CA2-5A49-9FA5-90214A8BF6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BCEC22-3563-204A-89EC-7825D99153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Series'!$V$59:$V$85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D740-5148-A2F6-DAD9E134559F}"/>
            </c:ext>
          </c:extLst>
        </c:ser>
        <c:ser>
          <c:idx val="19"/>
          <c:order val="19"/>
          <c:tx>
            <c:strRef>
              <c:f>'Infocom Series'!$P$1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5E8111-67FB-F448-9D17-B8237E524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78-2E42-A75B-C30A9EC0EE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DBF3D7-2E20-F549-B14C-3078200B6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78-2E42-A75B-C30A9EC0EE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A188DE-A1AC-244F-BE87-0F80BD6C5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78-2E42-A75B-C30A9EC0EE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61E725-F986-0A45-BE14-2FB92931B2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78-2E42-A75B-C30A9EC0EE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6C0F06-B641-744B-B360-EECCB8746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78-2E42-A75B-C30A9EC0EE21}"/>
                </c:ext>
              </c:extLst>
            </c:dLbl>
            <c:dLbl>
              <c:idx val="5"/>
              <c:layout>
                <c:manualLayout>
                  <c:x val="-6.0209901845818849E-2"/>
                  <c:y val="-4.571337759939220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72652A5-C76C-464B-AA69-77879FEDDA25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3928719520424"/>
                      <c:h val="8.148569962012154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1F78-2E42-A75B-C30A9EC0EE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CC0B65-1CF0-684F-92FC-DD189C5D4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78-2E42-A75B-C30A9EC0EE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2459E6-9D64-9948-AE3C-5B51BD31F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78-2E42-A75B-C30A9EC0EE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20BC7D-213C-1E4F-A659-83C481C4C9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78-2E42-A75B-C30A9EC0EE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'Infocom Series'!$O$2:$O$10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1F78-2E42-A75B-C30A9EC0E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Nancy Drew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0444509202704"/>
          <c:y val="9.4806352630971341E-2"/>
          <c:w val="0.8671428606345768"/>
          <c:h val="0.75478149855891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NancyDrew!$D$58</c:f>
              <c:strCache>
                <c:ptCount val="1"/>
                <c:pt idx="0">
                  <c:v>User Input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7C-CB4E-BC9E-65C616442CA4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F7C-CB4E-BC9E-65C616442CA4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BF7C-CB4E-BC9E-65C616442CA4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BF7C-CB4E-BC9E-65C616442CA4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F7C-CB4E-BC9E-65C616442CA4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BF7C-CB4E-BC9E-65C616442CA4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BF7C-CB4E-BC9E-65C616442CA4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BF7C-CB4E-BC9E-65C616442CA4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BF7C-CB4E-BC9E-65C616442CA4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BF7C-CB4E-BC9E-65C616442CA4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BF7C-CB4E-BC9E-65C616442CA4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BF7C-CB4E-BC9E-65C616442CA4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F7C-CB4E-BC9E-65C616442CA4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BF7C-CB4E-BC9E-65C616442CA4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BF7C-CB4E-BC9E-65C616442CA4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BF7C-CB4E-BC9E-65C616442CA4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BF7C-CB4E-BC9E-65C616442CA4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BF7C-CB4E-BC9E-65C616442CA4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BF7C-CB4E-BC9E-65C616442CA4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BF7C-CB4E-BC9E-65C616442CA4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BF7C-CB4E-BC9E-65C616442CA4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BF7C-CB4E-BC9E-65C616442CA4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BF7C-CB4E-BC9E-65C616442CA4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BF7C-CB4E-BC9E-65C616442CA4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BF7C-CB4E-BC9E-65C616442CA4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BF7C-CB4E-BC9E-65C616442CA4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BF7C-CB4E-BC9E-65C616442CA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7BB7D64-00D3-9C4B-BE40-7984B94A4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BBD1A9-2E13-B344-8022-F6A250C0D5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7E5A14-5CC4-0A4A-B947-14DF0EE68F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777736-9596-F641-8AB4-E3FB10EBB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49A074-8174-2442-BD2A-CD1BF7696C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E753D5-E958-2F4F-8F46-18CEE520EA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6C17AD-5F3D-4540-A016-3CB306078D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4D654B-92B7-1642-A85C-13E509D07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90A122-95CF-6342-82F2-E9CF85142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D0A9D2-7202-D64B-93DE-0DB943A15A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56A42D-B87C-9A49-B2DB-3D8A5A86CF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AF8B59-A791-AE45-9647-F5460DF0D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E3D8C6-8FB8-8141-9B5C-909839221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F98782-311F-EE40-B754-2D656AF2F2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A51723-8B7C-4A48-B000-07FBFB120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DA445E-54C9-5B44-9509-DCC56F039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459723-82DA-D34E-A515-4F7B20993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F5B46C-76B5-424E-82CC-359B4D9F03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307C4A-B487-9246-ACBB-C455BCCB49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55B2D94-A7CD-B948-9496-313AA7164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570131-4CF2-7940-9F60-D25D7CD72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BED198-4F7C-AD46-823E-41322F4EB6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5B3299-A041-F14D-9618-70280B49D6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DC7E58-755C-4D41-8C2C-1E99A24F5A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12C45E-09B3-0248-9699-0C526FCD33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0A8011-1679-A74C-A299-1492498C27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39A072-FE65-5941-95FE-8F02BD3F2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NancyDrew!$D$59:$D$85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BF7C-CB4E-BC9E-65C616442CA4}"/>
            </c:ext>
          </c:extLst>
        </c:ser>
        <c:ser>
          <c:idx val="1"/>
          <c:order val="1"/>
          <c:tx>
            <c:strRef>
              <c:f>NancyDrew!$A$46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19A1AB-7FFE-574E-8928-C7E4559514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5C5F3-E977-F340-97C1-5E37D5B443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DCFEC9-7FCE-C446-A077-53CD90A9A1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D16478-6093-C04F-828B-7C612E1A81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067337-9D9A-724E-B330-7A7D8D6AB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ED39F-84A3-EE49-9346-F4BC36ADD8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CFEAE7-1084-6948-AAF7-83509C61E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CA607A-8DF4-5D4F-ACE8-4C64B3F928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C0A905-043C-E34A-8B54-84744F330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NancyDrew!$C$48:$C$56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NancyDrew!$A$48:$A$56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BF7C-CB4E-BC9E-65C616442CA4}"/>
            </c:ext>
          </c:extLst>
        </c:ser>
        <c:ser>
          <c:idx val="2"/>
          <c:order val="2"/>
          <c:tx>
            <c:strRef>
              <c:f>NancyDrew!$F$1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74696E-6AF3-844C-A486-BA37F31C5B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7C-CB4E-BC9E-65C616442CA4}"/>
                </c:ext>
              </c:extLst>
            </c:dLbl>
            <c:dLbl>
              <c:idx val="1"/>
              <c:layout>
                <c:manualLayout>
                  <c:x val="-2.0409041548167077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F8C73148-83B5-E14D-8BCA-CBDB67D78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BF7C-CB4E-BC9E-65C616442CA4}"/>
                </c:ext>
              </c:extLst>
            </c:dLbl>
            <c:dLbl>
              <c:idx val="2"/>
              <c:layout>
                <c:manualLayout>
                  <c:x val="-2.9909223576506286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E69A713B-CF59-1743-8813-C6E883400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NancyDrew!$K$3:$K$5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BF7C-CB4E-BC9E-65C616442CA4}"/>
            </c:ext>
          </c:extLst>
        </c:ser>
        <c:ser>
          <c:idx val="3"/>
          <c:order val="3"/>
          <c:tx>
            <c:strRef>
              <c:f>NancyDrew!$F$6:$I$6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FC3CAD-6768-1A45-AD09-814CDA273C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7C-CB4E-BC9E-65C616442CA4}"/>
                </c:ext>
              </c:extLst>
            </c:dLbl>
            <c:dLbl>
              <c:idx val="1"/>
              <c:layout>
                <c:manualLayout>
                  <c:x val="-2.0727964606596646E-2"/>
                  <c:y val="9.4435384748214279E-2"/>
                </c:manualLayout>
              </c:layout>
              <c:tx>
                <c:rich>
                  <a:bodyPr/>
                  <a:lstStyle/>
                  <a:p>
                    <a:fld id="{279F67DA-DE20-3744-9A5A-B8F34C9F7A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BF7C-CB4E-BC9E-65C616442CA4}"/>
                </c:ext>
              </c:extLst>
            </c:dLbl>
            <c:dLbl>
              <c:idx val="2"/>
              <c:layout>
                <c:manualLayout>
                  <c:x val="-1.419674838331055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20282DED-63CD-3A4D-9C91-BD78B880C2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NancyDrew!$K$8:$K$10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BF7C-CB4E-BC9E-65C616442CA4}"/>
            </c:ext>
          </c:extLst>
        </c:ser>
        <c:ser>
          <c:idx val="4"/>
          <c:order val="4"/>
          <c:tx>
            <c:strRef>
              <c:f>NancyDrew!$F$11:$I$11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8E667F-BA1A-C440-94D3-4CBDDF2FA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7C-CB4E-BC9E-65C616442CA4}"/>
                </c:ext>
              </c:extLst>
            </c:dLbl>
            <c:dLbl>
              <c:idx val="1"/>
              <c:layout>
                <c:manualLayout>
                  <c:x val="-4.2588147390129352E-2"/>
                  <c:y val="7.2258800543646445E-2"/>
                </c:manualLayout>
              </c:layout>
              <c:tx>
                <c:rich>
                  <a:bodyPr/>
                  <a:lstStyle/>
                  <a:p>
                    <a:fld id="{98BEEA20-D6A8-694A-A7C1-71289E2567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BF7C-CB4E-BC9E-65C616442CA4}"/>
                </c:ext>
              </c:extLst>
            </c:dLbl>
            <c:dLbl>
              <c:idx val="2"/>
              <c:layout>
                <c:manualLayout>
                  <c:x val="-3.8912808648008425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29B99081-C1ED-FA42-9D54-46C6DAE05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NancyDrew!$K$13:$K$15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BF7C-CB4E-BC9E-65C616442CA4}"/>
            </c:ext>
          </c:extLst>
        </c:ser>
        <c:ser>
          <c:idx val="5"/>
          <c:order val="5"/>
          <c:tx>
            <c:strRef>
              <c:f>NancyDrew!$F$16:$I$16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F303CD-7F4D-1C40-B281-DE3E3E491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7C-CB4E-BC9E-65C616442CA4}"/>
                </c:ext>
              </c:extLst>
            </c:dLbl>
            <c:dLbl>
              <c:idx val="1"/>
              <c:layout>
                <c:manualLayout>
                  <c:x val="-1.4212894776940491E-2"/>
                  <c:y val="9.9363514571451581E-2"/>
                </c:manualLayout>
              </c:layout>
              <c:tx>
                <c:rich>
                  <a:bodyPr/>
                  <a:lstStyle/>
                  <a:p>
                    <a:fld id="{8657E005-1507-134A-98CC-41D1EF3194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F7C-CB4E-BC9E-65C616442CA4}"/>
                </c:ext>
              </c:extLst>
            </c:dLbl>
            <c:dLbl>
              <c:idx val="2"/>
              <c:layout>
                <c:manualLayout>
                  <c:x val="-2.463132348238049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91AC99B3-FE89-2E42-B16A-7F405B301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NancyDrew!$K$18:$K$20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5-BF7C-CB4E-BC9E-65C616442CA4}"/>
            </c:ext>
          </c:extLst>
        </c:ser>
        <c:ser>
          <c:idx val="6"/>
          <c:order val="6"/>
          <c:tx>
            <c:strRef>
              <c:f>NancyDrew!$F$21:$I$21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F51AE8-A92E-7D42-BC3D-2DC0046336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7C-CB4E-BC9E-65C616442CA4}"/>
                </c:ext>
              </c:extLst>
            </c:dLbl>
            <c:dLbl>
              <c:idx val="1"/>
              <c:layout>
                <c:manualLayout>
                  <c:x val="-3.9560698584526981E-2"/>
                  <c:y val="7.4722865455265089E-2"/>
                </c:manualLayout>
              </c:layout>
              <c:tx>
                <c:rich>
                  <a:bodyPr/>
                  <a:lstStyle/>
                  <a:p>
                    <a:fld id="{8CB32734-BE81-AA41-8AF0-42BBA1BF4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BF7C-CB4E-BC9E-65C616442CA4}"/>
                </c:ext>
              </c:extLst>
            </c:dLbl>
            <c:dLbl>
              <c:idx val="2"/>
              <c:layout>
                <c:manualLayout>
                  <c:x val="-2.7834411995066831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4696782B-358A-3D48-8C66-CB0B6C478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NancyDrew!$K$23:$K$25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9-BF7C-CB4E-BC9E-65C616442CA4}"/>
            </c:ext>
          </c:extLst>
        </c:ser>
        <c:ser>
          <c:idx val="7"/>
          <c:order val="7"/>
          <c:tx>
            <c:strRef>
              <c:f>NancyDrew!$F$26:$I$26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C0A0DF-DE46-E743-8DC3-91D9699EDB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7C-CB4E-BC9E-65C616442CA4}"/>
                </c:ext>
              </c:extLst>
            </c:dLbl>
            <c:dLbl>
              <c:idx val="1"/>
              <c:layout>
                <c:manualLayout>
                  <c:x val="-4.4438943652073952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A057AF55-CD87-9543-8064-54A5F8E96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BF7C-CB4E-BC9E-65C616442CA4}"/>
                </c:ext>
              </c:extLst>
            </c:dLbl>
            <c:dLbl>
              <c:idx val="2"/>
              <c:layout>
                <c:manualLayout>
                  <c:x val="-3.339881522340474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8C71B8A1-1C73-7C46-B83C-B1D36938B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NancyDrew!$K$28:$K$30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BF7C-CB4E-BC9E-65C616442CA4}"/>
            </c:ext>
          </c:extLst>
        </c:ser>
        <c:ser>
          <c:idx val="8"/>
          <c:order val="8"/>
          <c:tx>
            <c:strRef>
              <c:f>NancyDrew!$F$31:$I$31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81EAA5-0F3A-D946-89B1-E313D039A7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7C-CB4E-BC9E-65C616442CA4}"/>
                </c:ext>
              </c:extLst>
            </c:dLbl>
            <c:dLbl>
              <c:idx val="1"/>
              <c:layout>
                <c:manualLayout>
                  <c:x val="-3.5300084857562426E-2"/>
                  <c:y val="8.7043190013358335E-2"/>
                </c:manualLayout>
              </c:layout>
              <c:tx>
                <c:rich>
                  <a:bodyPr/>
                  <a:lstStyle/>
                  <a:p>
                    <a:fld id="{923FE3EF-8903-6947-88D0-3BC3C72D9A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BF7C-CB4E-BC9E-65C616442CA4}"/>
                </c:ext>
              </c:extLst>
            </c:dLbl>
            <c:dLbl>
              <c:idx val="2"/>
              <c:layout>
                <c:manualLayout>
                  <c:x val="-1.942614572806790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8A3C4989-9786-DA49-A8F2-28ED16179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NancyDrew!$K$33:$K$35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BF7C-CB4E-BC9E-65C616442CA4}"/>
            </c:ext>
          </c:extLst>
        </c:ser>
        <c:ser>
          <c:idx val="9"/>
          <c:order val="9"/>
          <c:tx>
            <c:strRef>
              <c:f>NancyDrew!$F$36:$I$36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CAFD2C-1349-E24B-B4F8-09447B9F4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7C-CB4E-BC9E-65C616442CA4}"/>
                </c:ext>
              </c:extLst>
            </c:dLbl>
            <c:dLbl>
              <c:idx val="1"/>
              <c:layout>
                <c:manualLayout>
                  <c:x val="-1.4993960676666234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6C7E7FFB-1D4B-EC40-8AF3-89A27F28B2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BF7C-CB4E-BC9E-65C616442CA4}"/>
                </c:ext>
              </c:extLst>
            </c:dLbl>
            <c:dLbl>
              <c:idx val="2"/>
              <c:layout>
                <c:manualLayout>
                  <c:x val="-3.5108362325327332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1AECF3D2-019E-234B-9BE1-A2B2E53060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NancyDrew!$K$38:$K$40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BF7C-CB4E-BC9E-65C616442CA4}"/>
            </c:ext>
          </c:extLst>
        </c:ser>
        <c:ser>
          <c:idx val="10"/>
          <c:order val="10"/>
          <c:tx>
            <c:strRef>
              <c:f>NancyDrew!$F$41:$I$41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292F63-D08E-4C43-B30E-86161AD807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7C-CB4E-BC9E-65C616442CA4}"/>
                </c:ext>
              </c:extLst>
            </c:dLbl>
            <c:dLbl>
              <c:idx val="1"/>
              <c:layout>
                <c:manualLayout>
                  <c:x val="-1.1610782663376783E-3"/>
                  <c:y val="8.4579125101739691E-2"/>
                </c:manualLayout>
              </c:layout>
              <c:tx>
                <c:rich>
                  <a:bodyPr/>
                  <a:lstStyle/>
                  <a:p>
                    <a:fld id="{10D248F8-901A-734D-933D-828C75234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BF7C-CB4E-BC9E-65C616442CA4}"/>
                </c:ext>
              </c:extLst>
            </c:dLbl>
            <c:dLbl>
              <c:idx val="2"/>
              <c:layout>
                <c:manualLayout>
                  <c:x val="0"/>
                  <c:y val="0.12646822859925672"/>
                </c:manualLayout>
              </c:layout>
              <c:tx>
                <c:rich>
                  <a:bodyPr/>
                  <a:lstStyle/>
                  <a:p>
                    <a:fld id="{B0A670AA-259D-4142-BDF2-612F3B58F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NancyDrew!$K$43:$K$45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BF7C-CB4E-BC9E-65C616442CA4}"/>
            </c:ext>
          </c:extLst>
        </c:ser>
        <c:ser>
          <c:idx val="11"/>
          <c:order val="11"/>
          <c:tx>
            <c:strRef>
              <c:f>NancyDrew!$F$58</c:f>
              <c:strCache>
                <c:ptCount val="1"/>
                <c:pt idx="0">
                  <c:v>Visual Output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22A5FE-2B3A-BC48-A61D-1956B4146E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516286-1634-EB48-B7E6-D25CE2710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ECEFCD-B3DD-BA44-BECC-F095DC7D47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82468D-5B72-0249-BCE6-EC6D3C6D98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751691-E1BE-4F47-AD8A-011CA62E7B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E53312-E5D8-0B4A-B6D1-AF6AEAEC47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51A49D-19EB-5949-B475-9224F0AF7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13454D-2B03-4E4F-AA59-F883DCE096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B39F2F-C022-FE4A-8737-22811D06F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AE4FB2-EF16-1D49-9C1D-ECC0C50AD6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4C24F4-AAB5-2745-9E04-DAC7F90F7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487B06-5A04-014F-B8EB-18B1B002C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882494-025F-1345-878D-C94FFDB3D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776AB7-F160-D64B-B944-2A5C3C1634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E6E6AC-D042-E043-95AF-0ED8F18EF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3E5E12-1508-7247-8EEB-7A134339E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C75955-FFF3-5B4B-BEDC-DD8054ADB3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3D7283-A77B-9548-AF70-FA0713AF7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7BAD7C-99CD-BE48-ADD8-0173FBB499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10C17A-51BA-F843-927B-21EF57B85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045CE3-39F2-3447-AE1E-B84BF404B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4E8FDC-ABD6-114C-9083-1E842FC4EA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FEAA80-CB5A-BE43-B4D1-3C0A31A75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5D1384-128B-C045-A55B-359472F407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FB8C64-DBBD-2840-8B42-E7C2F9BCFA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86D61A-23AF-5F40-BCEC-4A12C18C5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F87F86-7B40-5645-8A9C-D4F9164350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NancyDrew!$F$59:$F$85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1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1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BF7C-CB4E-BC9E-65C616442CA4}"/>
            </c:ext>
          </c:extLst>
        </c:ser>
        <c:ser>
          <c:idx val="12"/>
          <c:order val="12"/>
          <c:tx>
            <c:strRef>
              <c:f>NancyDrew!$H$58</c:f>
              <c:strCache>
                <c:ptCount val="1"/>
                <c:pt idx="0">
                  <c:v>Story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737835-08EE-7742-B284-4D24AA42AE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292E5C-3F4F-7B43-BC78-F1BB095741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571283-E1CE-254C-9F42-E2206A41F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26FD35-5407-2641-8EEC-930F024526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415FB4-FC53-EA40-A7FB-551CA8392F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E88D29-7147-A847-8458-B092069DC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07A47D-155D-684E-AB13-9A52B05EF5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6C0EE0-76BA-5F49-85A9-824A8A559D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1B68CA-7EDE-B945-90C0-5CC2D0031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D516DB-130A-DC48-873E-CB5FB3F72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7BA4F3-6982-6F43-A541-BD2320C554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C18C08-53F9-F44E-8243-F8A052575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21785F-936D-B141-BF16-89AB1CF45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D315D0-9292-6F43-A172-EB5BCEB65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84150A-58AB-F242-BCBB-F3315D9344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7BDAA6-9873-5C4B-905F-0621B5CE54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5866C1-D7E9-5D48-A498-29CC2B25EC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4C463D-5415-EB4C-9B67-807D7EB34E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3CFDE5-75B3-6845-919B-6579EB9A67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29D8B7-4505-0D46-BC3B-7861578B26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3CE61A-8DA7-CD45-94DE-A8B8FA0F2B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964D8A-0050-1E48-A04F-AEB16DFA9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382C0A-004A-9541-8607-1F21158CED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6A57AC-0F5B-D749-A9CB-7864F91E4C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553BDC-3F89-4343-AE4F-4022098128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DAEDDA-EE49-F04A-90AC-2CCEA1B9EB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7D7E1A-F2B7-8740-85D4-2974E455A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BF7C-CB4E-BC9E-65C616442CA4}"/>
            </c:ext>
          </c:extLst>
        </c:ser>
        <c:ser>
          <c:idx val="13"/>
          <c:order val="13"/>
          <c:tx>
            <c:strRef>
              <c:f>NancyDrew!$K$58</c:f>
              <c:strCache>
                <c:ptCount val="1"/>
                <c:pt idx="0">
                  <c:v>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8B65D8-FECA-2441-9106-D703B6AADF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72F8B2-99F9-9741-854D-B326C9B609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E79A74-C8A4-0A4E-B9AE-1F756144C9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E41422-E083-0442-BB0A-4D191F999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2256E-20A4-CB49-8FF0-40AC0EEEC1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71B045-35A5-5A41-946E-E58F76FB49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5D05E8-AA8F-A948-8701-3A5362F133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819BC2-4331-7A49-A52B-6E851BBF76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5F0773-1F55-A140-9520-19ACC60F8E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56F7CA-CFB2-0649-9553-2BA4F32BB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A1DD59-D395-4043-A990-3C21E565D1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BA0FF5-3482-DE4D-94C6-571CD8425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70FA5C-E62D-DD4C-94E3-48EE6A00B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1342FE-17B4-EB4A-990B-A01654B61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69A742-29C4-BE46-9847-E07378D514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94BA73-1B13-B94F-BF75-CE2294EBA2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B89F61-262F-F54D-B5F9-CC342896E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1E5761-00B9-244A-A2BC-A0A50F7D37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BC4AC4-8247-B94F-9975-E7C709C10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7CE5CA-14A9-B545-B87A-2BD326163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798AAA-6BE1-0C41-94A4-C76EBB194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3E4D62-ED83-3E4F-86C6-D88214BF8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086D43-01E5-0D45-8A78-5480A50F79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DB6AAA-D9F6-7A4A-9DD5-DEECA75BD2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D6283E-59A8-9A45-B427-0D69C340CD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B1B2CB-4DBC-B045-9FAD-E1E1F497BE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582A2A-BFD1-3B41-9075-02E787D048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NancyDrew!$K$59:$K$85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BF7C-CB4E-BC9E-65C616442CA4}"/>
            </c:ext>
          </c:extLst>
        </c:ser>
        <c:ser>
          <c:idx val="14"/>
          <c:order val="14"/>
          <c:tx>
            <c:strRef>
              <c:f>NancyDrew!$M$58</c:f>
              <c:strCache>
                <c:ptCount val="1"/>
                <c:pt idx="0">
                  <c:v>Time to Respond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01955C-42D9-5E40-AFE4-B5EECDE2A6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191323-DCAE-6E4B-A5E4-AF60A10DC9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57E980-CDBB-0D40-A657-7A5A4C92CF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2B8A79-7D74-4C4B-8FA2-360F5634E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F03131-9EEB-194F-B85E-7923DC4447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70167E-F9CE-C44D-B021-AF4474DCE3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02889E-C0B1-0543-B617-96152A45FC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8EE7C4-FBA5-564C-9287-89691691D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5642D3-E2F6-4B49-ADEC-A87770550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8D43E1-7E76-E74D-BDBA-77E2270E97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169C35-497A-E04E-8211-1E8EC61C42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543027-0169-4048-BA8D-53EB030D4A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06F883-2DBF-3A41-9281-ECDB7A62EC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FE10BF-C368-0E44-AB28-8185146499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2C80D9-1C3C-CA48-A3DC-C1E232A056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18F9CF-1179-FE4D-BD89-4E71238C3C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E6D71C-75C6-E84B-A1F4-9BF6B5CCC2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4B514E-A399-A94D-B209-EE725D82DC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45F193-A3DB-2645-9278-A87C64595B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745E27-2E38-0A49-A205-429C58AFD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635B79-55EC-AA43-82F1-45D51C296E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C0ED88-EB04-8B47-8D17-1A2571354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7B5E57-6366-6941-8015-822F19C837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232A2A-A96C-944B-B038-2406013855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4479F2-A322-2D49-8B6A-A7A820BCA0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163843-F10E-324F-BA8B-D9202314A5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82D04A-15BE-7542-A992-85BDC6A7E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1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5</c:v>
                  </c:pt>
                  <c:pt idx="21">
                    <c:v>6</c:v>
                  </c:pt>
                  <c:pt idx="22">
                    <c:v>6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BF7C-CB4E-BC9E-65C616442CA4}"/>
            </c:ext>
          </c:extLst>
        </c:ser>
        <c:ser>
          <c:idx val="15"/>
          <c:order val="15"/>
          <c:tx>
            <c:strRef>
              <c:f>NancyDrew!$O$58</c:f>
              <c:strCache>
                <c:ptCount val="1"/>
                <c:pt idx="0">
                  <c:v>Stats &amp; Resouce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88735F-90C5-9A40-A863-FFBC0AA9E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32EF44-CEDD-E34E-8EE2-3097D24B9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6E8241-E777-6D4C-A0E6-F455F81329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439CCD-8278-AD4C-97A0-32B488DC8C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24630-3D6E-214B-96B5-551705471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1C8602-4B46-7345-BBAF-A7C5BCE851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7F3C0F-B01D-A54F-8E57-14090C6D2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2B348B-FF0D-C247-AB97-6E47E9A34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1DA97B-6927-B44E-AD31-A687C6D66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2C7CE8-E04B-4741-B4B5-F791A507DA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99D1B2-AECF-7E48-9FA5-B93DB17E12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A75F15-913B-5B49-9749-CEFE145FF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1C8A84-84F8-F34F-8328-4DC992F88C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75CF0D-3D1F-F84D-88CC-62F66214E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1C56EA-6730-974C-A711-666920CC4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C4DC1B-8EC8-204C-98D1-AF46AC78F4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7ABE26-4644-8D43-BE67-B12A57E6AF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9C9467-85D7-B545-9662-3FB855F5F6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397FE2-BE5B-FB47-9539-10D2CA23D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A1AE8A-03E6-CB48-B0C3-48685D384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98CF07-A618-854A-BAFC-D917FC4878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E5CC38-7825-9F44-B8E9-2DB7ADF1AB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BF320C-74E9-5245-8ECF-36F8B2FCD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B6923C-70B2-4743-9CB2-A1C5C7315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F9FB26-DE9B-1D4F-B583-61105E8745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8CA8BE-BF5F-D248-9100-7D8F80179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0C9869-DB97-924C-9615-681F990E4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NancyDrew!$O$59:$O$85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BF7C-CB4E-BC9E-65C616442CA4}"/>
            </c:ext>
          </c:extLst>
        </c:ser>
        <c:ser>
          <c:idx val="16"/>
          <c:order val="16"/>
          <c:tx>
            <c:strRef>
              <c:f>NancyDrew!$R$58</c:f>
              <c:strCache>
                <c:ptCount val="1"/>
                <c:pt idx="0">
                  <c:v>Number of Players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2F0619-9950-664C-A69C-A71D3D05E9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77AAD6-4C78-C542-8D14-7C678526D5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3E3787-DA9C-5440-A6AC-64F8D41E7C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78B5AC-FEAA-E94D-8912-016471BA1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B54778-4CB5-4942-B99E-FE4C9BF2E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C75BF7-2DCD-344E-A994-126B6ECCB5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0536A0-DBB9-8E43-8095-EC31329B3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88B7A5-9EF4-6841-9872-56DA04B870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AF0B1E-A1C4-4541-B6F8-8C28E23007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2DD579-5708-CA47-AA90-B76E2B94F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83D620-14FC-954C-8CAB-180B6E20C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B3540C-8881-9A4D-AB64-C38240208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423EA9-03CF-6A4B-865B-D2BE1982A8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FB07B9-6B51-314F-B8B9-F9D3B700F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F1EEE1-6E32-FA42-9DE1-342EB7C7E6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323B3D-2578-724E-B7C3-BE5997E37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6798AF-13F5-384E-A67D-539DE8CC9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9C8B07-7BD5-7843-AD59-729A4963C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2C7720-ADA9-9A4B-998C-0ED73B50CB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F7A944-0931-AF47-A8B5-5A8B59F475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C419A4-52C2-2C4D-B0BF-EF89BDEB39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697071-78CA-8148-9B71-819F18E3F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792990-E080-734A-9ABE-2BE7ADC25E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C805F0-65E6-904B-953C-28B785C4EF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B122E1-A4E9-1749-AD88-199BDA28EC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14FCD6-4137-984C-8C18-959EEFE1F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37DD60-5FF1-884F-B783-A1F2D8492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NancyDrew!$R$59:$R$85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BF7C-CB4E-BC9E-65C616442CA4}"/>
            </c:ext>
          </c:extLst>
        </c:ser>
        <c:ser>
          <c:idx val="17"/>
          <c:order val="17"/>
          <c:tx>
            <c:strRef>
              <c:f>NancyDrew!$T$58</c:f>
              <c:strCache>
                <c:ptCount val="1"/>
                <c:pt idx="0">
                  <c:v>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88E6EB-8C9A-1642-A8ED-C9B0B65C0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6895C3-C83C-DA4A-A1CB-B5826A1EF8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96BAF5-7D6C-A44C-B765-03A3F2D821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6398AB-0CE5-464C-BBE4-C0C24C89E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F0ABE-866C-8247-B988-0DC12746D3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2CFD88-E475-1643-9F21-231C1BDE3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7D5291-ACEC-E746-9517-663C5CCE2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9FB280-7290-7D46-9736-29552F0C3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33D3CA-83CC-0742-988A-585C22BCB6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810482-672A-0944-BCF8-436607873E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6908DD-4781-E24E-A332-A0C6102325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88506F-C5B8-0B49-85A8-4AD48C32F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056767-1FCF-0244-B3F7-FAC812BB2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F0E825-7B7C-4D4C-8141-75D98FDDE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CC6BD0-EB7F-BF43-B59D-5ADFCB761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669C11-6294-3B48-A477-3C32E0EA95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AFE8EF-9A58-4344-8F6A-4F5206D327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A5040E-E774-6F42-B0F3-AD5399B32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18C698-B09E-804E-92AD-270B8BB32D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A3D956-A8D2-8144-87D7-B2C8C5B60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928AB7-D9AE-F042-B894-6C00A987A2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AE3B41-2DE0-A54B-A46D-D96E885AB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63E0B0-FF61-E543-8CEA-EC9CDBAD7C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837591-12BA-B048-B2B8-89FDB1723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5DB5A1-1BD1-514F-97BF-957471CD0D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13910C-09C3-AE4E-B70E-B631EE0D29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DE8C00-66DC-954D-89A0-6F2DF5223F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NancyDrew!$T$59:$T$85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2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5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BF7C-CB4E-BC9E-65C616442CA4}"/>
            </c:ext>
          </c:extLst>
        </c:ser>
        <c:ser>
          <c:idx val="18"/>
          <c:order val="18"/>
          <c:tx>
            <c:strRef>
              <c:f>NancyDrew!$V$58</c:f>
              <c:strCache>
                <c:ptCount val="1"/>
                <c:pt idx="0">
                  <c:v>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029D37-736C-F84F-8BF2-4F687F1A6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F7E616-084F-CA4F-BC26-24800A292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92A3C6-90CF-C644-959F-E87024D605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42B3BA-CE0C-5246-A166-857B3D196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15931A-E242-4147-BE90-27EF5C1477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922CC5-8B77-8946-B336-06389583C3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E2450D-81CD-5545-A583-5DBCB2D4A9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AB1D6A-11AA-7B44-9C20-AAFC0BD441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32D9ED-BE9E-3E4D-86A3-EFA79294D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6B2076-C11F-AC43-8882-855C3BBB7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FC205D-D614-9242-A4AB-E4B6BFD466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990B98-3D12-9D42-B975-2F51F645E3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43451E-6691-BA44-903D-6EF9EEAD6F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A0F1D2-AA4D-9447-9EBA-9122CAFA56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0E03FC-1BF2-EC49-AE32-F85CFDE5E8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1C6212-2110-FD44-BB4A-C63C49D0CA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3CC033-A36E-144D-A87C-78464A6B8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144116-EF23-F942-9A04-523C97311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87ADFA-1EF5-4B45-A772-B6CE9A9492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0984C2-5241-7D4C-9288-4D0B2791D1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6A9ECE-9F87-E14B-8967-382A02E27C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82C841-C636-9044-B63D-EC9F860F8F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9AC9F3-F6E8-914A-BD36-E3F25277B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7E4F18-3F31-6945-8CF9-BBBCAD0E27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050BA8-DF9A-5941-B1F2-3626806C3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9E9337-32E6-934D-B166-0A9D2AFA5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84E195-C2B9-6544-960C-02FC4AC23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NancyDrew!$V$59:$V$85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BF7C-CB4E-BC9E-65C616442CA4}"/>
            </c:ext>
          </c:extLst>
        </c:ser>
        <c:ser>
          <c:idx val="19"/>
          <c:order val="19"/>
          <c:tx>
            <c:strRef>
              <c:f>NancyDrew!$O$1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F270FE-7145-AE4B-A2F3-C7D972949C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32-B74A-A8E0-A229196B24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556D8D-83FB-9D44-B8C6-9B0F81D15C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32-B74A-A8E0-A229196B24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0A2C95-EE10-3F4A-8AAE-49D8082B84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32-B74A-A8E0-A229196B24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2EF6DB-B47E-F043-A998-36D7A036FC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32-B74A-A8E0-A229196B24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68C84F-5CB2-1143-AB06-0DAC3B3E65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32-B74A-A8E0-A229196B24C3}"/>
                </c:ext>
              </c:extLst>
            </c:dLbl>
            <c:dLbl>
              <c:idx val="5"/>
              <c:layout>
                <c:manualLayout>
                  <c:x val="-5.4962323916108287E-2"/>
                  <c:y val="1.97125192929491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514151-DA2D-974B-82BE-563BBF64AC30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11732815072239"/>
                      <c:h val="0.107556433392154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D132-B74A-A8E0-A229196B24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B46053-4812-AE4C-9041-BFCBEF4D91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32-B74A-A8E0-A229196B24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383A9D-2BB0-3249-A870-4617AEBB1B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32-B74A-A8E0-A229196B24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C2F575-8D41-F342-8BAA-43B4EDEEA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32-B74A-A8E0-A229196B24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NancyDrew!$M$2:$M$10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NancyDrew!$N$2:$N$10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NancyDrew!$O$2:$O$10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132-B74A-A8E0-A229196B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C7FF8-D5ED-8D40-A2D9-B39C62FD5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9AF295-E8BC-804D-B1BC-3C6EC43F9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ifdb.org/viewgame?id=p976o7x5ies9ltdh" TargetMode="External"/><Relationship Id="rId18" Type="http://schemas.openxmlformats.org/officeDocument/2006/relationships/hyperlink" Target="https://ifdb.org/viewgame?id=56wb8hflec2isvzm" TargetMode="External"/><Relationship Id="rId26" Type="http://schemas.openxmlformats.org/officeDocument/2006/relationships/hyperlink" Target="https://ifdb.org/viewgame?id=3p9fdt4fxr2goctw" TargetMode="External"/><Relationship Id="rId21" Type="http://schemas.openxmlformats.org/officeDocument/2006/relationships/hyperlink" Target="https://ifdb.org/viewgame?id=tdbss1ekrp4ua7h4" TargetMode="External"/><Relationship Id="rId34" Type="http://schemas.openxmlformats.org/officeDocument/2006/relationships/hyperlink" Target="https://ifdb.org/viewgame?id=j8lmspy4iz73mx26" TargetMode="External"/><Relationship Id="rId7" Type="http://schemas.openxmlformats.org/officeDocument/2006/relationships/hyperlink" Target="https://www.ifiction.org/games/playz.php?cat=2&amp;game=146&amp;mode=html" TargetMode="External"/><Relationship Id="rId12" Type="http://schemas.openxmlformats.org/officeDocument/2006/relationships/hyperlink" Target="https://ifdb.org/viewgame?id=9nlbhqnlyb169uge" TargetMode="External"/><Relationship Id="rId17" Type="http://schemas.openxmlformats.org/officeDocument/2006/relationships/hyperlink" Target="https://ifdb.org/viewgame?id=anu79a4n1jedg5mm" TargetMode="External"/><Relationship Id="rId25" Type="http://schemas.openxmlformats.org/officeDocument/2006/relationships/hyperlink" Target="https://ifdb.org/viewgame?id=jnfkbgdgopwfqist" TargetMode="External"/><Relationship Id="rId33" Type="http://schemas.openxmlformats.org/officeDocument/2006/relationships/hyperlink" Target="https://ifdb.org/viewgame?id=ddagftras22bnz8h" TargetMode="External"/><Relationship Id="rId38" Type="http://schemas.openxmlformats.org/officeDocument/2006/relationships/drawing" Target="../drawings/drawing1.xml"/><Relationship Id="rId2" Type="http://schemas.openxmlformats.org/officeDocument/2006/relationships/hyperlink" Target="https://ifdb.org/viewgame?id=lidg5nx9ig0bwk55" TargetMode="External"/><Relationship Id="rId16" Type="http://schemas.openxmlformats.org/officeDocument/2006/relationships/hyperlink" Target="https://ifdb.org/viewgame?id=6963a47vqgms8wi0" TargetMode="External"/><Relationship Id="rId20" Type="http://schemas.openxmlformats.org/officeDocument/2006/relationships/hyperlink" Target="https://ifdb.org/viewgame?id=ouv80gvsl32xlion" TargetMode="External"/><Relationship Id="rId29" Type="http://schemas.openxmlformats.org/officeDocument/2006/relationships/hyperlink" Target="https://ifdb.org/viewgame?id=7epwz167lgruvm0u" TargetMode="External"/><Relationship Id="rId1" Type="http://schemas.openxmlformats.org/officeDocument/2006/relationships/hyperlink" Target="https://ifdb.org/viewgame?id=vu4xhul3abknifcr" TargetMode="External"/><Relationship Id="rId6" Type="http://schemas.openxmlformats.org/officeDocument/2006/relationships/hyperlink" Target="https://ifdb.org/viewgame?id=vrsot1zgy1wfcdru" TargetMode="External"/><Relationship Id="rId11" Type="http://schemas.openxmlformats.org/officeDocument/2006/relationships/hyperlink" Target="https://ifdb.org/viewgame?id=xe6kb3cuqwie2q38" TargetMode="External"/><Relationship Id="rId24" Type="http://schemas.openxmlformats.org/officeDocument/2006/relationships/hyperlink" Target="https://ifdb.org/viewgame?id=b0i6bx7g4rkrekgg" TargetMode="External"/><Relationship Id="rId32" Type="http://schemas.openxmlformats.org/officeDocument/2006/relationships/hyperlink" Target="https://ifdb.org/viewgame?id=zxb8pq3qrkvdob4i" TargetMode="External"/><Relationship Id="rId37" Type="http://schemas.openxmlformats.org/officeDocument/2006/relationships/hyperlink" Target="https://ifdb.org/viewgame?id=2752o3sh6y05ob1p" TargetMode="External"/><Relationship Id="rId5" Type="http://schemas.openxmlformats.org/officeDocument/2006/relationships/hyperlink" Target="https://ifdb.org/viewgame?id=yzzm4puxyjakk8c4" TargetMode="External"/><Relationship Id="rId15" Type="http://schemas.openxmlformats.org/officeDocument/2006/relationships/hyperlink" Target="https://ifdb.org/viewgame?id=t47hei9uq10xoar8" TargetMode="External"/><Relationship Id="rId23" Type="http://schemas.openxmlformats.org/officeDocument/2006/relationships/hyperlink" Target="https://ifdb.org/viewgame?id=z02joykzh66wfhcl" TargetMode="External"/><Relationship Id="rId28" Type="http://schemas.openxmlformats.org/officeDocument/2006/relationships/hyperlink" Target="https://ifdb.org/viewgame?id=j18kjz80hxjtyayw" TargetMode="External"/><Relationship Id="rId36" Type="http://schemas.openxmlformats.org/officeDocument/2006/relationships/hyperlink" Target="https://ifdb.org/viewgame?id=w3pz3v8wckaw1wgb" TargetMode="External"/><Relationship Id="rId10" Type="http://schemas.openxmlformats.org/officeDocument/2006/relationships/hyperlink" Target="https://ifdb.org/viewgame?id=40hswtkhap88gzvn" TargetMode="External"/><Relationship Id="rId19" Type="http://schemas.openxmlformats.org/officeDocument/2006/relationships/hyperlink" Target="https://ifdb.org/viewgame?id=4ao65o1u0xuvj8jf" TargetMode="External"/><Relationship Id="rId31" Type="http://schemas.openxmlformats.org/officeDocument/2006/relationships/hyperlink" Target="https://ifdb.org/viewgame?id=jhbd0kja1t57uop" TargetMode="External"/><Relationship Id="rId4" Type="http://schemas.openxmlformats.org/officeDocument/2006/relationships/hyperlink" Target="https://ifdb.org/viewgame?id=0dbnusxunq7fw5ro" TargetMode="External"/><Relationship Id="rId9" Type="http://schemas.openxmlformats.org/officeDocument/2006/relationships/hyperlink" Target="https://ifdb.org/viewgame?id=17coplfu323xif76" TargetMode="External"/><Relationship Id="rId14" Type="http://schemas.openxmlformats.org/officeDocument/2006/relationships/hyperlink" Target="https://ifdb.org/viewgame?id=y42oje3ryqi6lohn" TargetMode="External"/><Relationship Id="rId22" Type="http://schemas.openxmlformats.org/officeDocument/2006/relationships/hyperlink" Target="https://ifdb.org/viewgame?id=4h62dvooeg9ajtfa" TargetMode="External"/><Relationship Id="rId27" Type="http://schemas.openxmlformats.org/officeDocument/2006/relationships/hyperlink" Target="https://ifdb.org/viewgame?id=c66u816v8kx2jzm2" TargetMode="External"/><Relationship Id="rId30" Type="http://schemas.openxmlformats.org/officeDocument/2006/relationships/hyperlink" Target="https://ifdb.org/viewgame?id=zjyxds3s57pgis3x" TargetMode="External"/><Relationship Id="rId35" Type="http://schemas.openxmlformats.org/officeDocument/2006/relationships/hyperlink" Target="https://ifdb.org/viewgame?id=zoohwv5nqye7up2t" TargetMode="External"/><Relationship Id="rId8" Type="http://schemas.openxmlformats.org/officeDocument/2006/relationships/hyperlink" Target="https://ifdb.org/viewgame?id=9h6o1charof548ii" TargetMode="External"/><Relationship Id="rId3" Type="http://schemas.openxmlformats.org/officeDocument/2006/relationships/hyperlink" Target="https://ifdb.org/viewgame?id=wqsmrahzozosu3r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erinteractive.com/shop-games/nancy-drew-secret-of-the-old-clock/" TargetMode="External"/><Relationship Id="rId18" Type="http://schemas.openxmlformats.org/officeDocument/2006/relationships/hyperlink" Target="https://www.herinteractive.com/shop-games/nancy-drew-legend-of-the-crystal-skull/" TargetMode="External"/><Relationship Id="rId26" Type="http://schemas.openxmlformats.org/officeDocument/2006/relationships/hyperlink" Target="https://www.herinteractive.com/shop-games/nancy-drew-alibi-in-ashes/" TargetMode="External"/><Relationship Id="rId3" Type="http://schemas.openxmlformats.org/officeDocument/2006/relationships/hyperlink" Target="https://www.herinteractive.com/shop-games/nancy-drew-stay-tuned-for-danger/" TargetMode="External"/><Relationship Id="rId21" Type="http://schemas.openxmlformats.org/officeDocument/2006/relationships/hyperlink" Target="https://www.herinteractive.com/shop-games/nancy-drew-ransom-of-the-seven-ships/" TargetMode="External"/><Relationship Id="rId34" Type="http://schemas.openxmlformats.org/officeDocument/2006/relationships/hyperlink" Target="https://www.herinteractive.com/shop-games/33-nancy-drew-midnight-in-salem/" TargetMode="External"/><Relationship Id="rId7" Type="http://schemas.openxmlformats.org/officeDocument/2006/relationships/hyperlink" Target="https://www.herinteractive.com/shop-games/nancy-drew-secret-of-the-scarlet-hand/" TargetMode="External"/><Relationship Id="rId12" Type="http://schemas.openxmlformats.org/officeDocument/2006/relationships/hyperlink" Target="https://www.herinteractive.com/shop-games/nancy-drew-curse-of-blackmoor-manor/" TargetMode="External"/><Relationship Id="rId17" Type="http://schemas.openxmlformats.org/officeDocument/2006/relationships/hyperlink" Target="https://www.herinteractive.com/shop-games/nancy-drew-the-white-wolf-of-icicle-creek/" TargetMode="External"/><Relationship Id="rId25" Type="http://schemas.openxmlformats.org/officeDocument/2006/relationships/hyperlink" Target="https://www.herinteractive.com/shop-games/nancy-drew-the-captive-curse/" TargetMode="External"/><Relationship Id="rId33" Type="http://schemas.openxmlformats.org/officeDocument/2006/relationships/hyperlink" Target="https://www.herinteractive.com/shop-games/nancy-drew-sea-of-darkness/" TargetMode="External"/><Relationship Id="rId2" Type="http://schemas.openxmlformats.org/officeDocument/2006/relationships/hyperlink" Target="https://www.herinteractive.com/shop-games/nancy-drew-secrets-can-kill-remastered/" TargetMode="External"/><Relationship Id="rId16" Type="http://schemas.openxmlformats.org/officeDocument/2006/relationships/hyperlink" Target="https://www.herinteractive.com/shop-games/nancy-drew-the-creature-of-kapu-cave/" TargetMode="External"/><Relationship Id="rId20" Type="http://schemas.openxmlformats.org/officeDocument/2006/relationships/hyperlink" Target="https://www.herinteractive.com/shop-games/nancy-drew-the-haunting-of-castle-malloy/" TargetMode="External"/><Relationship Id="rId29" Type="http://schemas.openxmlformats.org/officeDocument/2006/relationships/hyperlink" Target="https://www.herinteractive.com/shop-games/nancy-drew-ghost-of-thornton-hall/" TargetMode="External"/><Relationship Id="rId1" Type="http://schemas.openxmlformats.org/officeDocument/2006/relationships/hyperlink" Target="https://www.herinteractive.com/shop-games/nancy-drew-secrets-can-kill/" TargetMode="External"/><Relationship Id="rId6" Type="http://schemas.openxmlformats.org/officeDocument/2006/relationships/hyperlink" Target="https://www.herinteractive.com/shop-games/nancy-drew-the-final-scene/" TargetMode="External"/><Relationship Id="rId11" Type="http://schemas.openxmlformats.org/officeDocument/2006/relationships/hyperlink" Target="https://www.herinteractive.com/shop-games/nancy-drew-the-secret-of-shadow-ranch/" TargetMode="External"/><Relationship Id="rId24" Type="http://schemas.openxmlformats.org/officeDocument/2006/relationships/hyperlink" Target="https://www.herinteractive.com/shop-games/nancy-drew-shadow-at-the-waters-edge/" TargetMode="External"/><Relationship Id="rId32" Type="http://schemas.openxmlformats.org/officeDocument/2006/relationships/hyperlink" Target="https://www.herinteractive.com/shop-games/nancy-drew-labyrinth-of-lies/" TargetMode="External"/><Relationship Id="rId5" Type="http://schemas.openxmlformats.org/officeDocument/2006/relationships/hyperlink" Target="https://www.herinteractive.com/shop-games/nancy-drew-treasure-in-the-royal-tower/" TargetMode="External"/><Relationship Id="rId15" Type="http://schemas.openxmlformats.org/officeDocument/2006/relationships/hyperlink" Target="https://www.herinteractive.com/shop-games/nancy-drew-danger-by-design/" TargetMode="External"/><Relationship Id="rId23" Type="http://schemas.openxmlformats.org/officeDocument/2006/relationships/hyperlink" Target="https://www.herinteractive.com/shop-games/nancy-drew-trail-of-the-twister/" TargetMode="External"/><Relationship Id="rId28" Type="http://schemas.openxmlformats.org/officeDocument/2006/relationships/hyperlink" Target="https://www.herinteractive.com/shop-games/nancy-drew-the-deadly-device/" TargetMode="External"/><Relationship Id="rId36" Type="http://schemas.openxmlformats.org/officeDocument/2006/relationships/drawing" Target="../drawings/drawing2.xml"/><Relationship Id="rId10" Type="http://schemas.openxmlformats.org/officeDocument/2006/relationships/hyperlink" Target="https://www.herinteractive.com/shop-games/nancy-drew-danger-on-deception-island/" TargetMode="External"/><Relationship Id="rId19" Type="http://schemas.openxmlformats.org/officeDocument/2006/relationships/hyperlink" Target="https://www.herinteractive.com/shop-games/nancy-drew-the-phantom-of-venice/" TargetMode="External"/><Relationship Id="rId31" Type="http://schemas.openxmlformats.org/officeDocument/2006/relationships/hyperlink" Target="https://www.herinteractive.com/shop-games/nancy-drew-the-shattered-medallion/" TargetMode="External"/><Relationship Id="rId4" Type="http://schemas.openxmlformats.org/officeDocument/2006/relationships/hyperlink" Target="https://www.herinteractive.com/shop-games/nancy-drew-message-in-a-haunted-mansion/" TargetMode="External"/><Relationship Id="rId9" Type="http://schemas.openxmlformats.org/officeDocument/2006/relationships/hyperlink" Target="https://www.herinteractive.com/shop-games/nancy-drew-the-haunted-carousel/" TargetMode="External"/><Relationship Id="rId14" Type="http://schemas.openxmlformats.org/officeDocument/2006/relationships/hyperlink" Target="https://www.herinteractive.com/shop-games/nancy-drew-last-train-to-blue-moon-canyon/" TargetMode="External"/><Relationship Id="rId22" Type="http://schemas.openxmlformats.org/officeDocument/2006/relationships/hyperlink" Target="https://www.herinteractive.com/shop-games/nancy-drew-warnings-at-waverly-academy/" TargetMode="External"/><Relationship Id="rId27" Type="http://schemas.openxmlformats.org/officeDocument/2006/relationships/hyperlink" Target="https://www.herinteractive.com/shop-games/nancy-drew-tomb-of-the-lost-queen/" TargetMode="External"/><Relationship Id="rId30" Type="http://schemas.openxmlformats.org/officeDocument/2006/relationships/hyperlink" Target="https://www.herinteractive.com/shop-games/nancy-drew-the-silent-spy/" TargetMode="External"/><Relationship Id="rId35" Type="http://schemas.openxmlformats.org/officeDocument/2006/relationships/hyperlink" Target="https://www.herinteractive.com/shop-games/34-nancy-drew-mystery-of-the-seven-keys/" TargetMode="External"/><Relationship Id="rId8" Type="http://schemas.openxmlformats.org/officeDocument/2006/relationships/hyperlink" Target="https://www.herinteractive.com/shop-games/nancy-drew-ghost-dogs-of-moon-l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06A4-7DBD-FD4D-BCC4-A3173EEA5411}">
  <sheetPr codeName="Sheet5"/>
  <dimension ref="A1:V193"/>
  <sheetViews>
    <sheetView topLeftCell="A66" zoomScale="120" zoomScaleNormal="120" workbookViewId="0">
      <pane xSplit="1" topLeftCell="N1" activePane="topRight" state="frozen"/>
      <selection activeCell="A88" sqref="A88"/>
      <selection pane="topRight" activeCell="V68" sqref="V68:V76"/>
    </sheetView>
  </sheetViews>
  <sheetFormatPr baseColWidth="10" defaultRowHeight="19" x14ac:dyDescent="0.2"/>
  <cols>
    <col min="1" max="3" width="30.83203125" style="1" customWidth="1"/>
    <col min="4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5" width="10.83203125" style="1" customWidth="1"/>
    <col min="16" max="16" width="30.83203125" style="1" customWidth="1"/>
    <col min="17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6" ht="20" customHeight="1" x14ac:dyDescent="0.2">
      <c r="F1" s="42" t="s">
        <v>110</v>
      </c>
      <c r="G1" s="43"/>
      <c r="H1" s="43"/>
      <c r="I1" s="43"/>
      <c r="J1" s="43"/>
      <c r="K1" s="44"/>
      <c r="L1" s="22"/>
      <c r="N1" s="40" t="s">
        <v>163</v>
      </c>
      <c r="O1" s="39" t="s">
        <v>164</v>
      </c>
      <c r="P1" s="39" t="s">
        <v>165</v>
      </c>
    </row>
    <row r="2" spans="6:16" ht="20" x14ac:dyDescent="0.2">
      <c r="F2" s="4" t="s">
        <v>3</v>
      </c>
      <c r="G2" s="4"/>
      <c r="H2" s="4" t="s">
        <v>109</v>
      </c>
      <c r="I2" s="4" t="s">
        <v>1</v>
      </c>
      <c r="J2" s="4"/>
      <c r="K2" s="4" t="s">
        <v>2</v>
      </c>
      <c r="L2" s="23"/>
      <c r="N2" s="33">
        <v>1</v>
      </c>
      <c r="O2" s="34">
        <v>9</v>
      </c>
      <c r="P2" s="34" t="s">
        <v>169</v>
      </c>
    </row>
    <row r="3" spans="6:16" ht="20" x14ac:dyDescent="0.2">
      <c r="F3" s="4" t="s">
        <v>4</v>
      </c>
      <c r="G3" s="4"/>
      <c r="H3" s="33" t="s">
        <v>136</v>
      </c>
      <c r="I3" s="4">
        <v>0</v>
      </c>
      <c r="J3" s="4"/>
      <c r="K3" s="4">
        <v>0</v>
      </c>
      <c r="L3" s="23"/>
      <c r="N3" s="33">
        <v>5</v>
      </c>
      <c r="O3" s="34">
        <v>9</v>
      </c>
      <c r="P3" s="34" t="s">
        <v>170</v>
      </c>
    </row>
    <row r="4" spans="6:16" ht="20" x14ac:dyDescent="0.2">
      <c r="F4" s="4" t="s">
        <v>6</v>
      </c>
      <c r="G4" s="4"/>
      <c r="H4" s="33" t="s">
        <v>137</v>
      </c>
      <c r="I4" s="4">
        <v>1</v>
      </c>
      <c r="J4" s="4"/>
      <c r="K4" s="4">
        <v>0</v>
      </c>
      <c r="L4" s="23"/>
      <c r="N4" s="33">
        <v>9</v>
      </c>
      <c r="O4" s="34">
        <v>9</v>
      </c>
      <c r="P4" s="34" t="s">
        <v>171</v>
      </c>
    </row>
    <row r="5" spans="6:16" ht="20" x14ac:dyDescent="0.2">
      <c r="F5" s="4" t="s">
        <v>5</v>
      </c>
      <c r="G5" s="4"/>
      <c r="H5" s="33" t="s">
        <v>138</v>
      </c>
      <c r="I5" s="4">
        <v>2</v>
      </c>
      <c r="J5" s="4"/>
      <c r="K5" s="4">
        <v>0</v>
      </c>
      <c r="L5" s="23"/>
      <c r="N5" s="35">
        <v>13</v>
      </c>
      <c r="O5" s="36">
        <v>9</v>
      </c>
      <c r="P5" s="36" t="s">
        <v>166</v>
      </c>
    </row>
    <row r="6" spans="6:16" ht="19" customHeight="1" x14ac:dyDescent="0.2">
      <c r="F6" s="45" t="s">
        <v>111</v>
      </c>
      <c r="G6" s="46"/>
      <c r="H6" s="46"/>
      <c r="I6" s="47"/>
      <c r="J6" s="6"/>
      <c r="K6" s="5"/>
      <c r="L6" s="24"/>
      <c r="N6" s="35">
        <v>17</v>
      </c>
      <c r="O6" s="36">
        <v>9</v>
      </c>
      <c r="P6" s="36" t="s">
        <v>172</v>
      </c>
    </row>
    <row r="7" spans="6:16" ht="20" x14ac:dyDescent="0.2">
      <c r="F7" s="5" t="s">
        <v>3</v>
      </c>
      <c r="G7" s="5"/>
      <c r="H7" s="5" t="s">
        <v>109</v>
      </c>
      <c r="I7" s="5" t="s">
        <v>1</v>
      </c>
      <c r="J7" s="5"/>
      <c r="K7" s="5" t="s">
        <v>2</v>
      </c>
      <c r="L7" s="24"/>
      <c r="N7" s="35">
        <v>21</v>
      </c>
      <c r="O7" s="36">
        <v>9</v>
      </c>
      <c r="P7" s="36" t="s">
        <v>175</v>
      </c>
    </row>
    <row r="8" spans="6:16" ht="20" x14ac:dyDescent="0.2">
      <c r="F8" s="5" t="s">
        <v>19</v>
      </c>
      <c r="G8" s="5"/>
      <c r="H8" s="35" t="s">
        <v>139</v>
      </c>
      <c r="I8" s="5">
        <v>4</v>
      </c>
      <c r="J8" s="5"/>
      <c r="K8" s="5">
        <v>0</v>
      </c>
      <c r="L8" s="24"/>
      <c r="N8" s="37">
        <v>25</v>
      </c>
      <c r="O8" s="38">
        <v>9</v>
      </c>
      <c r="P8" s="38" t="s">
        <v>174</v>
      </c>
    </row>
    <row r="9" spans="6:16" ht="20" x14ac:dyDescent="0.2">
      <c r="F9" s="5" t="s">
        <v>15</v>
      </c>
      <c r="G9" s="5"/>
      <c r="H9" s="35" t="s">
        <v>140</v>
      </c>
      <c r="I9" s="5">
        <v>5</v>
      </c>
      <c r="J9" s="5"/>
      <c r="K9" s="5">
        <v>0</v>
      </c>
      <c r="L9" s="24"/>
      <c r="N9" s="37">
        <v>29</v>
      </c>
      <c r="O9" s="38">
        <v>9</v>
      </c>
      <c r="P9" s="38" t="s">
        <v>176</v>
      </c>
    </row>
    <row r="10" spans="6:16" ht="19" customHeight="1" x14ac:dyDescent="0.2">
      <c r="F10" s="5" t="s">
        <v>16</v>
      </c>
      <c r="G10" s="5"/>
      <c r="H10" s="35" t="s">
        <v>141</v>
      </c>
      <c r="I10" s="5">
        <v>6</v>
      </c>
      <c r="J10" s="5"/>
      <c r="K10" s="5">
        <v>0</v>
      </c>
      <c r="L10" s="24"/>
      <c r="N10" s="37">
        <v>33</v>
      </c>
      <c r="O10" s="38">
        <v>9</v>
      </c>
      <c r="P10" s="38" t="s">
        <v>167</v>
      </c>
    </row>
    <row r="11" spans="6:16" ht="19" customHeight="1" x14ac:dyDescent="0.2">
      <c r="F11" s="48" t="s">
        <v>112</v>
      </c>
      <c r="G11" s="49"/>
      <c r="H11" s="49"/>
      <c r="I11" s="50"/>
      <c r="J11" s="2"/>
      <c r="K11" s="3"/>
      <c r="L11" s="20"/>
    </row>
    <row r="12" spans="6:16" ht="20" x14ac:dyDescent="0.2">
      <c r="F12" s="3" t="s">
        <v>3</v>
      </c>
      <c r="G12" s="3"/>
      <c r="H12" s="3" t="s">
        <v>109</v>
      </c>
      <c r="I12" s="3" t="s">
        <v>1</v>
      </c>
      <c r="J12" s="3"/>
      <c r="K12" s="3" t="s">
        <v>2</v>
      </c>
      <c r="L12" s="20"/>
    </row>
    <row r="13" spans="6:16" ht="20" x14ac:dyDescent="0.2">
      <c r="F13" s="3" t="s">
        <v>9</v>
      </c>
      <c r="G13" s="3"/>
      <c r="H13" s="37" t="s">
        <v>142</v>
      </c>
      <c r="I13" s="3">
        <v>8</v>
      </c>
      <c r="J13" s="3"/>
      <c r="K13" s="3">
        <v>0</v>
      </c>
      <c r="L13" s="20"/>
    </row>
    <row r="14" spans="6:16" ht="19" customHeight="1" x14ac:dyDescent="0.2">
      <c r="F14" s="3" t="s">
        <v>10</v>
      </c>
      <c r="G14" s="3"/>
      <c r="H14" s="37" t="s">
        <v>143</v>
      </c>
      <c r="I14" s="3">
        <v>9</v>
      </c>
      <c r="J14" s="3"/>
      <c r="K14" s="3">
        <v>0</v>
      </c>
      <c r="L14" s="20"/>
    </row>
    <row r="15" spans="6:16" ht="20" x14ac:dyDescent="0.2">
      <c r="F15" s="3" t="s">
        <v>11</v>
      </c>
      <c r="G15" s="3"/>
      <c r="H15" s="37" t="s">
        <v>144</v>
      </c>
      <c r="I15" s="3">
        <v>10</v>
      </c>
      <c r="J15" s="3"/>
      <c r="K15" s="3">
        <v>0</v>
      </c>
      <c r="L15" s="20"/>
    </row>
    <row r="16" spans="6:16" ht="19" customHeight="1" x14ac:dyDescent="0.2">
      <c r="F16" s="42" t="s">
        <v>113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109</v>
      </c>
      <c r="I17" s="4" t="s">
        <v>1</v>
      </c>
      <c r="J17" s="4"/>
      <c r="K17" s="4" t="s">
        <v>2</v>
      </c>
      <c r="L17" s="23"/>
    </row>
    <row r="18" spans="6:12" ht="19" customHeight="1" x14ac:dyDescent="0.2">
      <c r="F18" s="4" t="s">
        <v>20</v>
      </c>
      <c r="G18" s="4"/>
      <c r="H18" s="33" t="s">
        <v>145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146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147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114</v>
      </c>
      <c r="G21" s="46"/>
      <c r="H21" s="46"/>
      <c r="I21" s="47"/>
      <c r="J21" s="6"/>
      <c r="K21" s="5"/>
      <c r="L21" s="24"/>
    </row>
    <row r="22" spans="6:12" ht="19" customHeight="1" x14ac:dyDescent="0.2">
      <c r="F22" s="5" t="s">
        <v>3</v>
      </c>
      <c r="G22" s="5"/>
      <c r="H22" s="5" t="s">
        <v>109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148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149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150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115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109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97</v>
      </c>
      <c r="G28" s="3"/>
      <c r="H28" s="37" t="s">
        <v>151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152</v>
      </c>
      <c r="I29" s="3">
        <v>21</v>
      </c>
      <c r="J29" s="3"/>
      <c r="K29" s="3">
        <v>0</v>
      </c>
      <c r="L29" s="20"/>
    </row>
    <row r="30" spans="6:12" ht="19" customHeight="1" x14ac:dyDescent="0.2">
      <c r="F30" s="3" t="s">
        <v>25</v>
      </c>
      <c r="G30" s="3"/>
      <c r="H30" s="37" t="s">
        <v>153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116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109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98</v>
      </c>
      <c r="G33" s="4"/>
      <c r="H33" s="33" t="s">
        <v>154</v>
      </c>
      <c r="I33" s="4">
        <v>24</v>
      </c>
      <c r="J33" s="4"/>
      <c r="K33" s="4">
        <v>0</v>
      </c>
      <c r="L33" s="23"/>
    </row>
    <row r="34" spans="1:12" ht="19" customHeight="1" x14ac:dyDescent="0.2">
      <c r="F34" s="4" t="s">
        <v>99</v>
      </c>
      <c r="G34" s="4"/>
      <c r="H34" s="33" t="s">
        <v>155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100</v>
      </c>
      <c r="G35" s="4"/>
      <c r="H35" s="33" t="s">
        <v>156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117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109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101</v>
      </c>
      <c r="G38" s="5"/>
      <c r="H38" s="35" t="s">
        <v>157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102</v>
      </c>
      <c r="G39" s="5"/>
      <c r="H39" s="35" t="s">
        <v>158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103</v>
      </c>
      <c r="G40" s="5"/>
      <c r="H40" s="35" t="s">
        <v>159</v>
      </c>
      <c r="I40" s="5">
        <v>30</v>
      </c>
      <c r="J40" s="5"/>
      <c r="K40" s="5">
        <v>0</v>
      </c>
      <c r="L40" s="24"/>
    </row>
    <row r="41" spans="1:12" x14ac:dyDescent="0.2">
      <c r="F41" s="55" t="s">
        <v>118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109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104</v>
      </c>
      <c r="G43" s="3"/>
      <c r="H43" s="37" t="s">
        <v>160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105</v>
      </c>
      <c r="G44" s="3"/>
      <c r="H44" s="37" t="s">
        <v>161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106</v>
      </c>
      <c r="G45" s="3"/>
      <c r="H45" s="37" t="s">
        <v>162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168</v>
      </c>
      <c r="B48" s="4">
        <v>0</v>
      </c>
      <c r="C48" s="4">
        <v>0</v>
      </c>
    </row>
    <row r="49" spans="1:22" x14ac:dyDescent="0.2">
      <c r="A49" s="4">
        <v>1982</v>
      </c>
      <c r="B49" s="4">
        <v>0</v>
      </c>
      <c r="C49" s="4">
        <v>1</v>
      </c>
    </row>
    <row r="50" spans="1:22" x14ac:dyDescent="0.2">
      <c r="A50" s="4">
        <v>1983</v>
      </c>
      <c r="B50" s="4">
        <v>0</v>
      </c>
      <c r="C50" s="4">
        <v>2</v>
      </c>
    </row>
    <row r="51" spans="1:22" x14ac:dyDescent="0.2">
      <c r="A51" s="4">
        <v>1984</v>
      </c>
      <c r="B51" s="4">
        <v>0</v>
      </c>
      <c r="C51" s="4">
        <v>3</v>
      </c>
    </row>
    <row r="52" spans="1:22" x14ac:dyDescent="0.2">
      <c r="A52" s="4">
        <v>1985</v>
      </c>
      <c r="B52" s="4">
        <v>0</v>
      </c>
      <c r="C52" s="4">
        <v>4</v>
      </c>
    </row>
    <row r="53" spans="1:22" x14ac:dyDescent="0.2">
      <c r="A53" s="4">
        <v>1986</v>
      </c>
      <c r="B53" s="4">
        <v>0</v>
      </c>
      <c r="C53" s="4">
        <v>5</v>
      </c>
    </row>
    <row r="54" spans="1:22" x14ac:dyDescent="0.2">
      <c r="A54" s="4">
        <v>1987</v>
      </c>
      <c r="B54" s="4">
        <v>0</v>
      </c>
      <c r="C54" s="4">
        <v>6</v>
      </c>
    </row>
    <row r="55" spans="1:22" ht="104" customHeight="1" x14ac:dyDescent="0.2">
      <c r="A55" s="4">
        <v>1988</v>
      </c>
      <c r="B55" s="4">
        <v>0</v>
      </c>
      <c r="C55" s="4">
        <v>7</v>
      </c>
    </row>
    <row r="56" spans="1:22" ht="78" customHeight="1" x14ac:dyDescent="0.2">
      <c r="A56" s="4">
        <v>1989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119</v>
      </c>
      <c r="D58" s="6" t="s">
        <v>169</v>
      </c>
      <c r="E58" s="25" t="s">
        <v>120</v>
      </c>
      <c r="F58" s="6" t="s">
        <v>170</v>
      </c>
      <c r="G58" s="2" t="s">
        <v>121</v>
      </c>
      <c r="H58" s="6" t="s">
        <v>171</v>
      </c>
      <c r="I58" s="12"/>
      <c r="J58" s="2" t="s">
        <v>122</v>
      </c>
      <c r="K58" s="6" t="s">
        <v>23</v>
      </c>
      <c r="L58" s="29" t="s">
        <v>123</v>
      </c>
      <c r="M58" s="6" t="s">
        <v>172</v>
      </c>
      <c r="N58" s="29" t="s">
        <v>124</v>
      </c>
      <c r="O58" s="6" t="s">
        <v>173</v>
      </c>
      <c r="Q58" s="2" t="s">
        <v>125</v>
      </c>
      <c r="R58" s="6" t="s">
        <v>174</v>
      </c>
      <c r="S58" s="2" t="s">
        <v>127</v>
      </c>
      <c r="T58" s="6" t="s">
        <v>107</v>
      </c>
      <c r="U58" s="29" t="s">
        <v>126</v>
      </c>
      <c r="V58" s="6" t="s">
        <v>108</v>
      </c>
    </row>
    <row r="59" spans="1:22" x14ac:dyDescent="0.2">
      <c r="A59" s="4">
        <v>0</v>
      </c>
      <c r="C59" s="4">
        <v>0</v>
      </c>
      <c r="D59" s="4">
        <f>COUNTIFS(D90:D193, "=0",$B$90:$B$193, "&gt;=1980",$B$90:$B$193, "&lt;=1981")</f>
        <v>2</v>
      </c>
      <c r="E59" s="26">
        <v>4</v>
      </c>
      <c r="F59" s="4">
        <f>COUNTIFS(F90:F193, "=0",$B$90:$B$193, "&gt;=1980",$B$90:$B$193, "&lt;=1981")</f>
        <v>2</v>
      </c>
      <c r="G59" s="4">
        <v>8</v>
      </c>
      <c r="H59" s="4">
        <f>COUNTIFS(H90:H193, "=0",$B$90:$B$193, "&gt;=1980",$B$90:$B$193, "&lt;=1981")</f>
        <v>0</v>
      </c>
      <c r="I59" s="16"/>
      <c r="J59" s="4">
        <v>12</v>
      </c>
      <c r="K59" s="4">
        <f>COUNTIFS(K90:K193, "=0",$B$90:$B$193, "&gt;=1980",$B$90:$B$193, "&lt;=1981")</f>
        <v>0</v>
      </c>
      <c r="L59" s="30">
        <v>16</v>
      </c>
      <c r="M59" s="4">
        <f>COUNTIFS(M90:M193, "=0",$B$90:$B$193, "&gt;=1980",$B$90:$B$193, "&lt;=1981")</f>
        <v>0</v>
      </c>
      <c r="N59" s="30">
        <v>20</v>
      </c>
      <c r="O59" s="4">
        <f>COUNTIFS(O90:O193, "=0",$B$90:$B$193, "&gt;=1980",$B$90:$B$193, "&lt;=1981")</f>
        <v>0</v>
      </c>
      <c r="Q59" s="4">
        <v>24</v>
      </c>
      <c r="R59" s="4">
        <f>COUNTIFS(R90:R193, "=0",$B$90:$B$193, "&gt;=1980",$B$90:$B$193, "&lt;=1981")</f>
        <v>2</v>
      </c>
      <c r="S59" s="30">
        <v>28</v>
      </c>
      <c r="T59" s="4">
        <f>COUNTIFS(T90:T193, "=0",$B$90:$B$193, "&gt;=1980",$B$90:$B$193, "&lt;=1981")</f>
        <v>0</v>
      </c>
      <c r="U59" s="30">
        <v>32</v>
      </c>
      <c r="V59" s="4">
        <f>COUNTIFS(V90:V193, "=0",$B$90:$B$193, "&gt;=1980",$B$90:$B$193, "&lt;=1981")</f>
        <v>2</v>
      </c>
    </row>
    <row r="60" spans="1:22" x14ac:dyDescent="0.2">
      <c r="A60" s="4">
        <v>1</v>
      </c>
      <c r="C60" s="4">
        <v>0</v>
      </c>
      <c r="D60" s="4">
        <f>COUNTIFS(D90:D193, "=0",$B$90:$B$193, "1982")</f>
        <v>3</v>
      </c>
      <c r="E60" s="26">
        <v>4</v>
      </c>
      <c r="F60" s="4">
        <f>COUNTIFS(F90:F193, "=0",$B$90:$B$193, "1982")</f>
        <v>3</v>
      </c>
      <c r="G60" s="4">
        <v>8</v>
      </c>
      <c r="H60" s="4">
        <f>COUNTIFS(H90:H193, "=0",$B$90:$B$193, "1982")</f>
        <v>0</v>
      </c>
      <c r="I60" s="16"/>
      <c r="J60" s="4">
        <v>12</v>
      </c>
      <c r="K60" s="4">
        <f>COUNTIFS(K90:K193, "=0",$B$90:$B$193, "1982")</f>
        <v>0</v>
      </c>
      <c r="L60" s="30">
        <v>16</v>
      </c>
      <c r="M60" s="4">
        <f>COUNTIFS(M90:M193, "=0",$B$90:$B$193, "1982")</f>
        <v>0</v>
      </c>
      <c r="N60" s="30">
        <v>20</v>
      </c>
      <c r="O60" s="4">
        <f>COUNTIFS(O90:O193, "=0",$B$90:$B$193, "1982")</f>
        <v>0</v>
      </c>
      <c r="Q60" s="4">
        <v>24</v>
      </c>
      <c r="R60" s="4">
        <f>COUNTIFS(R90:R193, "=0",$B$90:$B$193, "1982")</f>
        <v>3</v>
      </c>
      <c r="S60" s="30">
        <v>28</v>
      </c>
      <c r="T60" s="4">
        <f>COUNTIFS(T90:T193, "=0",$B$90:$B$193, "1982")</f>
        <v>0</v>
      </c>
      <c r="U60" s="30">
        <v>32</v>
      </c>
      <c r="V60" s="4">
        <f>COUNTIFS(V90:V193, "=0",$B$90:$B$193, "1982")</f>
        <v>3</v>
      </c>
    </row>
    <row r="61" spans="1:22" x14ac:dyDescent="0.2">
      <c r="A61" s="4">
        <v>2</v>
      </c>
      <c r="C61" s="4">
        <v>0</v>
      </c>
      <c r="D61" s="4">
        <f>COUNTIFS(D90:D193, "=0",$B$90:$B$193, "1983")</f>
        <v>5</v>
      </c>
      <c r="E61" s="26">
        <v>4</v>
      </c>
      <c r="F61" s="4">
        <f>COUNTIFS(F90:F193, "=0",$B$90:$B$193, "1983")</f>
        <v>5</v>
      </c>
      <c r="G61" s="4">
        <v>8</v>
      </c>
      <c r="H61" s="4">
        <f>COUNTIFS(H90:H193, "=0",$B$90:$B$193, "1983")</f>
        <v>0</v>
      </c>
      <c r="I61" s="16"/>
      <c r="J61" s="4">
        <v>12</v>
      </c>
      <c r="K61" s="4">
        <f>COUNTIFS(K90:K193, "=0",$B$90:$B$193, "1983")</f>
        <v>0</v>
      </c>
      <c r="L61" s="30">
        <v>16</v>
      </c>
      <c r="M61" s="4">
        <f>COUNTIFS(M90:M193, "=0",$B$90:$B$193, "1983")</f>
        <v>0</v>
      </c>
      <c r="N61" s="30">
        <v>20</v>
      </c>
      <c r="O61" s="4">
        <f>COUNTIFS(O90:O193, "=0",$B$90:$B$193, "1983")</f>
        <v>0</v>
      </c>
      <c r="Q61" s="4">
        <v>24</v>
      </c>
      <c r="R61" s="4">
        <f>COUNTIFS(R90:R193, "=0",$B$90:$B$193, "1983")</f>
        <v>5</v>
      </c>
      <c r="S61" s="30">
        <v>28</v>
      </c>
      <c r="T61" s="4">
        <f>COUNTIFS(T90:T193, "=0",$B$90:$B$193, "1983")</f>
        <v>0</v>
      </c>
      <c r="U61" s="30">
        <v>32</v>
      </c>
      <c r="V61" s="4">
        <f>COUNTIFS(V90:V193, "=0",$B$90:$B$193, "1983")</f>
        <v>5</v>
      </c>
    </row>
    <row r="62" spans="1:22" x14ac:dyDescent="0.2">
      <c r="A62" s="4">
        <v>3</v>
      </c>
      <c r="C62" s="4">
        <v>0</v>
      </c>
      <c r="D62" s="4">
        <f>COUNTIFS(D90:D193, "=0",$B$90:$B$193, "1984")</f>
        <v>5</v>
      </c>
      <c r="E62" s="26">
        <v>4</v>
      </c>
      <c r="F62" s="4">
        <f>COUNTIFS(F90:F193, "=0",$B$90:$B$193, "1984")</f>
        <v>5</v>
      </c>
      <c r="G62" s="4">
        <v>8</v>
      </c>
      <c r="H62" s="4">
        <f>COUNTIFS(H90:H193, "=0",$B$90:$B$193, "1984")</f>
        <v>0</v>
      </c>
      <c r="I62" s="16"/>
      <c r="J62" s="4">
        <v>12</v>
      </c>
      <c r="K62" s="4">
        <f>COUNTIFS(K90:K193, "=0",$B$90:$B$193, "1984")</f>
        <v>0</v>
      </c>
      <c r="L62" s="30">
        <v>16</v>
      </c>
      <c r="M62" s="4">
        <f>COUNTIFS(M90:M193, "=0",$B$90:$B$193, "1984")</f>
        <v>0</v>
      </c>
      <c r="N62" s="30">
        <v>20</v>
      </c>
      <c r="O62" s="4">
        <f>COUNTIFS(O90:O193, "=0",$B$90:$B$193, "1984")</f>
        <v>0</v>
      </c>
      <c r="Q62" s="4">
        <v>24</v>
      </c>
      <c r="R62" s="4">
        <f>COUNTIFS(R90:R193, "=0",$B$90:$B$193, "1984")</f>
        <v>5</v>
      </c>
      <c r="S62" s="30">
        <v>28</v>
      </c>
      <c r="T62" s="4">
        <f>COUNTIFS(T90:T193, "=0",$B$90:$B$193, "1984")</f>
        <v>0</v>
      </c>
      <c r="U62" s="30">
        <v>32</v>
      </c>
      <c r="V62" s="4">
        <f>COUNTIFS(V90:V193, "=0",$B$90:$B$193, "1984")</f>
        <v>5</v>
      </c>
    </row>
    <row r="63" spans="1:22" x14ac:dyDescent="0.2">
      <c r="A63" s="4">
        <v>4</v>
      </c>
      <c r="C63" s="4">
        <v>0</v>
      </c>
      <c r="D63" s="4">
        <f>COUNTIFS(D90:D193, "=0",$B$90:$B$193, "1985")</f>
        <v>3</v>
      </c>
      <c r="E63" s="26">
        <v>4</v>
      </c>
      <c r="F63" s="4">
        <f>COUNTIFS(F90:F193, "=0",$B$90:$B$193, "1985")</f>
        <v>3</v>
      </c>
      <c r="G63" s="4">
        <v>8</v>
      </c>
      <c r="H63" s="4">
        <f>COUNTIFS(H90:H193, "=0",$B$90:$B$193, "1985")</f>
        <v>0</v>
      </c>
      <c r="I63" s="16"/>
      <c r="J63" s="4">
        <v>12</v>
      </c>
      <c r="K63" s="4">
        <f>COUNTIFS(K90:K193, "=0",$B$90:$B$193, "1985")</f>
        <v>0</v>
      </c>
      <c r="L63" s="30">
        <v>16</v>
      </c>
      <c r="M63" s="4">
        <f>COUNTIFS(M90:M193, "=0",$B$90:$B$193, "1985")</f>
        <v>0</v>
      </c>
      <c r="N63" s="30">
        <v>20</v>
      </c>
      <c r="O63" s="4">
        <f>COUNTIFS(O90:O193, "=0",$B$90:$B$193, "1985")</f>
        <v>0</v>
      </c>
      <c r="Q63" s="4">
        <v>24</v>
      </c>
      <c r="R63" s="4">
        <f>COUNTIFS(R90:R193, "=0",$B$90:$B$193, "1985")</f>
        <v>3</v>
      </c>
      <c r="S63" s="30">
        <v>28</v>
      </c>
      <c r="T63" s="4">
        <f>COUNTIFS(T90:T193, "=0",$B$90:$B$193, "1985")</f>
        <v>0</v>
      </c>
      <c r="U63" s="30">
        <v>32</v>
      </c>
      <c r="V63" s="4">
        <f>COUNTIFS(V90:V193, "=0",$B$90:$B$193, "1985")</f>
        <v>3</v>
      </c>
    </row>
    <row r="64" spans="1:22" x14ac:dyDescent="0.2">
      <c r="A64" s="4">
        <v>5</v>
      </c>
      <c r="C64" s="4">
        <v>0</v>
      </c>
      <c r="D64" s="4">
        <f>COUNTIFS(D90:D193, "=0",$B$90:$B$193, "1986")</f>
        <v>5</v>
      </c>
      <c r="E64" s="26">
        <v>4</v>
      </c>
      <c r="F64" s="4">
        <f>COUNTIFS(F90:F193, "=0",$B$90:$B$193, "1986")</f>
        <v>5</v>
      </c>
      <c r="G64" s="4">
        <v>8</v>
      </c>
      <c r="H64" s="4">
        <f>COUNTIFS(H90:H193, "=0",$B$90:$B$193, "1986")</f>
        <v>0</v>
      </c>
      <c r="I64" s="16"/>
      <c r="J64" s="4">
        <v>12</v>
      </c>
      <c r="K64" s="4">
        <f>COUNTIFS(K90:K193, "=0",$B$90:$B$193, "1986")</f>
        <v>0</v>
      </c>
      <c r="L64" s="30">
        <v>16</v>
      </c>
      <c r="M64" s="4">
        <f>COUNTIFS(M90:M193, "=0",$B$90:$B$193, "1986")</f>
        <v>0</v>
      </c>
      <c r="N64" s="30">
        <v>20</v>
      </c>
      <c r="O64" s="4">
        <f>COUNTIFS(O90:O193, "=0",$B$90:$B$193, "1986")</f>
        <v>0</v>
      </c>
      <c r="Q64" s="4">
        <v>24</v>
      </c>
      <c r="R64" s="4">
        <f>COUNTIFS(R90:R193, "=0",$B$90:$B$193, "1986")</f>
        <v>5</v>
      </c>
      <c r="S64" s="30">
        <v>28</v>
      </c>
      <c r="T64" s="4">
        <f>COUNTIFS(T90:T193, "=0",$B$90:$B$193, "1986")</f>
        <v>0</v>
      </c>
      <c r="U64" s="30">
        <v>32</v>
      </c>
      <c r="V64" s="4">
        <f>COUNTIFS(V90:V193, "=0",$B$90:$B$193, "1986")</f>
        <v>5</v>
      </c>
    </row>
    <row r="65" spans="1:22" x14ac:dyDescent="0.2">
      <c r="A65" s="4">
        <v>6</v>
      </c>
      <c r="C65" s="4">
        <v>0</v>
      </c>
      <c r="D65" s="4">
        <f>COUNTIFS(D90:D193, "=0",$B$90:$B$193, "1987")</f>
        <v>8</v>
      </c>
      <c r="E65" s="26">
        <v>4</v>
      </c>
      <c r="F65" s="4">
        <f>COUNTIFS(F90:F193, "=0",$B$90:$B$193, "1987")</f>
        <v>8</v>
      </c>
      <c r="G65" s="4">
        <v>8</v>
      </c>
      <c r="H65" s="4">
        <f>COUNTIFS(H90:H193, "=0",$B$90:$B$193, "1987")</f>
        <v>0</v>
      </c>
      <c r="I65" s="16"/>
      <c r="J65" s="4">
        <v>12</v>
      </c>
      <c r="K65" s="4">
        <f>COUNTIFS(K90:K193, "=0",$B$90:$B$193, "1987")</f>
        <v>0</v>
      </c>
      <c r="L65" s="30">
        <v>16</v>
      </c>
      <c r="M65" s="4">
        <f>COUNTIFS(M90:M193, "=0",$B$90:$B$193, "1987")</f>
        <v>0</v>
      </c>
      <c r="N65" s="30">
        <v>20</v>
      </c>
      <c r="O65" s="4">
        <f>COUNTIFS(O90:O193, "=0",$B$90:$B$193, "1987")</f>
        <v>0</v>
      </c>
      <c r="Q65" s="4">
        <v>24</v>
      </c>
      <c r="R65" s="4">
        <f>COUNTIFS(R90:R193, "=0",$B$90:$B$193, "1987")</f>
        <v>8</v>
      </c>
      <c r="S65" s="30">
        <v>28</v>
      </c>
      <c r="T65" s="4">
        <f>COUNTIFS(T90:T193, "=0",$B$90:$B$193, "1987")</f>
        <v>0</v>
      </c>
      <c r="U65" s="30">
        <v>32</v>
      </c>
      <c r="V65" s="4">
        <f>COUNTIFS(V90:V193, "=0",$B$90:$B$193, "1987")</f>
        <v>8</v>
      </c>
    </row>
    <row r="66" spans="1:22" x14ac:dyDescent="0.2">
      <c r="A66" s="4">
        <v>7</v>
      </c>
      <c r="C66" s="4">
        <v>0</v>
      </c>
      <c r="D66" s="4">
        <f>COUNTIFS(D90:D193, "=0",$B$90:$B$193, "1988")</f>
        <v>2</v>
      </c>
      <c r="E66" s="26">
        <v>4</v>
      </c>
      <c r="F66" s="4">
        <f>COUNTIFS(F90:F193, "=0",$B$90:$B$193, "1988")</f>
        <v>1</v>
      </c>
      <c r="G66" s="4">
        <v>8</v>
      </c>
      <c r="H66" s="4">
        <f>COUNTIFS(H90:H193, "=0",$B$90:$B$193, "1988")</f>
        <v>0</v>
      </c>
      <c r="I66" s="16"/>
      <c r="J66" s="4">
        <v>12</v>
      </c>
      <c r="K66" s="4">
        <f>COUNTIFS(K90:K193, "=0",$B$90:$B$193, "1988")</f>
        <v>0</v>
      </c>
      <c r="L66" s="30">
        <v>16</v>
      </c>
      <c r="M66" s="4">
        <f>COUNTIFS(M90:M193, "=0",$B$90:$B$193, "1988")</f>
        <v>0</v>
      </c>
      <c r="N66" s="30">
        <v>20</v>
      </c>
      <c r="O66" s="4">
        <f>COUNTIFS(O90:O193, "=0",$B$90:$B$193, "1988")</f>
        <v>0</v>
      </c>
      <c r="Q66" s="4">
        <v>24</v>
      </c>
      <c r="R66" s="4">
        <f>COUNTIFS(R90:R193, "=0",$B$90:$B$193, "1988")</f>
        <v>2</v>
      </c>
      <c r="S66" s="30">
        <v>28</v>
      </c>
      <c r="T66" s="4">
        <f>COUNTIFS(T90:T193, "=0",$B$90:$B$193, "1988")</f>
        <v>0</v>
      </c>
      <c r="U66" s="30">
        <v>32</v>
      </c>
      <c r="V66" s="4">
        <f>COUNTIFS(V90:V193, "=0",$B$90:$B$193, "1988")</f>
        <v>2</v>
      </c>
    </row>
    <row r="67" spans="1:22" x14ac:dyDescent="0.2">
      <c r="A67" s="4">
        <v>8</v>
      </c>
      <c r="C67" s="4">
        <v>0</v>
      </c>
      <c r="D67" s="4">
        <f>COUNTIFS(D90:D193, "=0",$B$90:$B$193, "1989")</f>
        <v>1</v>
      </c>
      <c r="E67" s="26">
        <v>4</v>
      </c>
      <c r="F67" s="4">
        <f>COUNTIFS(F90:F193, "=0",$B$90:$B$193, "1989")</f>
        <v>0</v>
      </c>
      <c r="G67" s="4">
        <v>8</v>
      </c>
      <c r="H67" s="4">
        <f>COUNTIFS(H90:H193, "=0",$B$90:$B$193, "1989")</f>
        <v>0</v>
      </c>
      <c r="I67" s="16"/>
      <c r="J67" s="4">
        <v>12</v>
      </c>
      <c r="K67" s="4">
        <f>COUNTIFS(K90:K193, "=0",$B$90:$B$193, "1989")</f>
        <v>0</v>
      </c>
      <c r="L67" s="30">
        <v>16</v>
      </c>
      <c r="M67" s="4">
        <f>COUNTIFS(M90:M193, "=0",$B$90:$B$193, "1989")</f>
        <v>0</v>
      </c>
      <c r="N67" s="30">
        <v>20</v>
      </c>
      <c r="O67" s="4">
        <f>COUNTIFS(O90:O193, "=0",$B$90:$B$193, "1989")</f>
        <v>0</v>
      </c>
      <c r="Q67" s="4">
        <v>24</v>
      </c>
      <c r="R67" s="4">
        <f>COUNTIFS(R90:R193, "=0",$B$90:$B$193, "1989")</f>
        <v>3</v>
      </c>
      <c r="S67" s="30">
        <v>28</v>
      </c>
      <c r="T67" s="4">
        <f>COUNTIFS(T90:T193, "=0",$B$90:$B$193, "1989")</f>
        <v>0</v>
      </c>
      <c r="U67" s="30">
        <v>32</v>
      </c>
      <c r="V67" s="4">
        <f>COUNTIFS(V90:V193, "=0",$B$90:$B$193, "1989")</f>
        <v>3</v>
      </c>
    </row>
    <row r="68" spans="1:22" x14ac:dyDescent="0.2">
      <c r="A68" s="5">
        <v>0</v>
      </c>
      <c r="C68" s="5">
        <v>1</v>
      </c>
      <c r="D68" s="5">
        <f>COUNTIFS(D90:D193, "=1",$B$90:$B$193, "&gt;=1980",$B$90:$B$193, "&lt;=1981")</f>
        <v>0</v>
      </c>
      <c r="E68" s="27">
        <v>5</v>
      </c>
      <c r="F68" s="5">
        <f>COUNTIFS(F90:F193, "=1",$B$90:$B$193, "&gt;=1980",$B$90:$B$193, "&lt;=1981")</f>
        <v>0</v>
      </c>
      <c r="G68" s="5">
        <v>9</v>
      </c>
      <c r="H68" s="5">
        <f>COUNTIFS(H90:H193, "=1",$B$90:$B$193, "&gt;=1980",$B$90:$B$193, "&lt;=1981")</f>
        <v>2</v>
      </c>
      <c r="I68" s="16"/>
      <c r="J68" s="5">
        <v>13</v>
      </c>
      <c r="K68" s="5">
        <f>COUNTIFS(K90:K193, "=1",$B$90:$B$193, "&gt;=1980",$B$90:$B$193, "&lt;=1981")</f>
        <v>2</v>
      </c>
      <c r="L68" s="31">
        <v>17</v>
      </c>
      <c r="M68" s="5">
        <f>COUNTIFS(M90:M193, "=1",$B$90:$B$193, "&gt;=1980",$B$90:$B$193, "&lt;=1981")</f>
        <v>0</v>
      </c>
      <c r="N68" s="31">
        <v>21</v>
      </c>
      <c r="O68" s="5">
        <f>COUNTIFS(O90:O193, "=1",$B$90:$B$193, "&gt;=1980",$B$90:$B$193, "&lt;=1981")</f>
        <v>0</v>
      </c>
      <c r="Q68" s="5">
        <v>25</v>
      </c>
      <c r="R68" s="5">
        <f>COUNTIFS(R90:R193, "=1",$B$90:$B$193, "&gt;=1980",$B$90:$B$193, "&lt;=1981")</f>
        <v>0</v>
      </c>
      <c r="S68" s="31">
        <v>29</v>
      </c>
      <c r="T68" s="5">
        <f>COUNTIFS(T90:T193, "=1",$B$90:$B$193, "&gt;=1980",$B$90:$B$193, "&lt;=1981")</f>
        <v>0</v>
      </c>
      <c r="U68" s="31">
        <v>33</v>
      </c>
      <c r="V68" s="5">
        <f>COUNTIFS(V90:V193, "=1",$B$90:$B$193, "&gt;=1980",$B$90:$B$193, "&lt;=1981")</f>
        <v>0</v>
      </c>
    </row>
    <row r="69" spans="1:22" x14ac:dyDescent="0.2">
      <c r="A69" s="5">
        <v>1</v>
      </c>
      <c r="C69" s="5">
        <v>1</v>
      </c>
      <c r="D69" s="5">
        <f>COUNTIFS(D90:D193, "=1",$B$90:$B$193, "=1982")</f>
        <v>0</v>
      </c>
      <c r="E69" s="27">
        <v>5</v>
      </c>
      <c r="F69" s="5">
        <f>COUNTIFS(F90:F193, "=1",$B$90:$B$193, "=1982")</f>
        <v>0</v>
      </c>
      <c r="G69" s="5">
        <v>9</v>
      </c>
      <c r="H69" s="5">
        <f>COUNTIFS(H90:H193, "=1",$B$90:$B$193, "=1982")</f>
        <v>3</v>
      </c>
      <c r="I69" s="16"/>
      <c r="J69" s="5">
        <v>13</v>
      </c>
      <c r="K69" s="5">
        <f>COUNTIFS(K90:K193, "=1",$B$90:$B$193, "=1982")</f>
        <v>3</v>
      </c>
      <c r="L69" s="31">
        <v>17</v>
      </c>
      <c r="M69" s="5">
        <f>COUNTIFS(M90:M193, "=1",$B$90:$B$193, "=1982")</f>
        <v>0</v>
      </c>
      <c r="N69" s="31">
        <v>21</v>
      </c>
      <c r="O69" s="5">
        <f>COUNTIFS(O90:O193, "=1",$B$90:$B$193, "=1982")</f>
        <v>1</v>
      </c>
      <c r="Q69" s="5">
        <v>25</v>
      </c>
      <c r="R69" s="5">
        <f>COUNTIFS(R90:R193, "=1",$B$90:$B$193, "=1982")</f>
        <v>0</v>
      </c>
      <c r="S69" s="31">
        <v>29</v>
      </c>
      <c r="T69" s="5">
        <f>COUNTIFS(T90:T193, "=1",$B$90:$B$193, "=1982")</f>
        <v>0</v>
      </c>
      <c r="U69" s="31">
        <v>33</v>
      </c>
      <c r="V69" s="5">
        <f>COUNTIFS(V90:V193, "=1",$B$90:$B$193, "=1982")</f>
        <v>0</v>
      </c>
    </row>
    <row r="70" spans="1:22" x14ac:dyDescent="0.2">
      <c r="A70" s="5">
        <v>2</v>
      </c>
      <c r="C70" s="5">
        <v>1</v>
      </c>
      <c r="D70" s="5">
        <f>COUNTIFS(D90:D193, "=1",$B$90:$B$193, "=1983")</f>
        <v>0</v>
      </c>
      <c r="E70" s="27">
        <v>5</v>
      </c>
      <c r="F70" s="5">
        <f>COUNTIFS(F90:F193, "=1",$B$90:$B$193, "=1983")</f>
        <v>0</v>
      </c>
      <c r="G70" s="5">
        <v>9</v>
      </c>
      <c r="H70" s="5">
        <f>COUNTIFS(H90:H193, "=1",$B$90:$B$193, "=1983")</f>
        <v>5</v>
      </c>
      <c r="I70" s="16"/>
      <c r="J70" s="5">
        <v>13</v>
      </c>
      <c r="K70" s="5">
        <f>COUNTIFS(K90:K193, "=1",$B$90:$B$193, "=1983")</f>
        <v>5</v>
      </c>
      <c r="L70" s="31">
        <v>17</v>
      </c>
      <c r="M70" s="5">
        <f>COUNTIFS(M90:M193, "=1",$B$90:$B$193, "=1983")</f>
        <v>0</v>
      </c>
      <c r="N70" s="31">
        <v>21</v>
      </c>
      <c r="O70" s="5">
        <f>COUNTIFS(O90:O193, "=1",$B$90:$B$193, "=1983")</f>
        <v>1</v>
      </c>
      <c r="Q70" s="5">
        <v>25</v>
      </c>
      <c r="R70" s="5">
        <f>COUNTIFS(R90:R193, "=1",$B$90:$B$193, "=1983")</f>
        <v>0</v>
      </c>
      <c r="S70" s="31">
        <v>29</v>
      </c>
      <c r="T70" s="5">
        <f>COUNTIFS(T90:T193, "=1",$B$90:$B$193, "=1983")</f>
        <v>0</v>
      </c>
      <c r="U70" s="31">
        <v>33</v>
      </c>
      <c r="V70" s="5">
        <f>COUNTIFS(V90:V193, "=1",$B$90:$B$193, "=1983")</f>
        <v>0</v>
      </c>
    </row>
    <row r="71" spans="1:22" x14ac:dyDescent="0.2">
      <c r="A71" s="5">
        <v>3</v>
      </c>
      <c r="C71" s="5">
        <v>1</v>
      </c>
      <c r="D71" s="5">
        <f>COUNTIFS(D90:D193, "=1",$B$90:$B$193, "=1984")</f>
        <v>0</v>
      </c>
      <c r="E71" s="27">
        <v>5</v>
      </c>
      <c r="F71" s="5">
        <f>COUNTIFS(F90:F193, "=1",$B$90:$B$193, "=1984")</f>
        <v>0</v>
      </c>
      <c r="G71" s="5">
        <v>9</v>
      </c>
      <c r="H71" s="5">
        <f>COUNTIFS(H90:H193, "=1",$B$90:$B$193, "=1984")</f>
        <v>5</v>
      </c>
      <c r="I71" s="16"/>
      <c r="J71" s="5">
        <v>13</v>
      </c>
      <c r="K71" s="5">
        <f>COUNTIFS(K90:K193, "=1",$B$90:$B$193, "=1984")</f>
        <v>5</v>
      </c>
      <c r="L71" s="31">
        <v>17</v>
      </c>
      <c r="M71" s="5">
        <f>COUNTIFS(M90:M193, "=1",$B$90:$B$193, "=1984")</f>
        <v>0</v>
      </c>
      <c r="N71" s="31">
        <v>21</v>
      </c>
      <c r="O71" s="5">
        <f>COUNTIFS(O90:O193, "=1",$B$90:$B$193, "=1984")</f>
        <v>3</v>
      </c>
      <c r="Q71" s="5">
        <v>25</v>
      </c>
      <c r="R71" s="5">
        <f>COUNTIFS(R90:R193, "=1",$B$90:$B$193, "=1984")</f>
        <v>0</v>
      </c>
      <c r="S71" s="31">
        <v>29</v>
      </c>
      <c r="T71" s="5">
        <f>COUNTIFS(T90:T193, "=1",$B$90:$B$193, "=1984")</f>
        <v>0</v>
      </c>
      <c r="U71" s="31">
        <v>33</v>
      </c>
      <c r="V71" s="5">
        <f>COUNTIFS(V90:V193, "=1",$B$90:$B$193, "=1984")</f>
        <v>0</v>
      </c>
    </row>
    <row r="72" spans="1:22" x14ac:dyDescent="0.2">
      <c r="A72" s="5">
        <v>4</v>
      </c>
      <c r="C72" s="5">
        <v>1</v>
      </c>
      <c r="D72" s="5">
        <f>COUNTIFS(D90:D193, "=1",$B$90:$B$193, "=1985")</f>
        <v>0</v>
      </c>
      <c r="E72" s="27">
        <v>5</v>
      </c>
      <c r="F72" s="5">
        <f>COUNTIFS(F90:F193, "=1",$B$90:$B$193, "=1985")</f>
        <v>0</v>
      </c>
      <c r="G72" s="5">
        <v>9</v>
      </c>
      <c r="H72" s="5">
        <f>COUNTIFS(H90:H193, "=1",$B$90:$B$193, "=1985")</f>
        <v>3</v>
      </c>
      <c r="I72" s="16"/>
      <c r="J72" s="5">
        <v>13</v>
      </c>
      <c r="K72" s="5">
        <f>COUNTIFS(K90:K193, "=1",$B$90:$B$193, "=1985")</f>
        <v>3</v>
      </c>
      <c r="L72" s="31">
        <v>17</v>
      </c>
      <c r="M72" s="5">
        <f>COUNTIFS(M90:M193, "=1",$B$90:$B$193, "=1985")</f>
        <v>0</v>
      </c>
      <c r="N72" s="31">
        <v>21</v>
      </c>
      <c r="O72" s="5">
        <f>COUNTIFS(O90:O193, "=1",$B$90:$B$193, "=1985")</f>
        <v>2</v>
      </c>
      <c r="Q72" s="5">
        <v>25</v>
      </c>
      <c r="R72" s="5">
        <f>COUNTIFS(R90:R193, "=1",$B$90:$B$193, "=1985")</f>
        <v>0</v>
      </c>
      <c r="S72" s="31">
        <v>29</v>
      </c>
      <c r="T72" s="5">
        <f>COUNTIFS(T90:T193, "=1",$B$90:$B$193, "=1985")</f>
        <v>0</v>
      </c>
      <c r="U72" s="31">
        <v>33</v>
      </c>
      <c r="V72" s="5">
        <f>COUNTIFS(V90:V193, "=1",$B$90:$B$193, "=1985")</f>
        <v>0</v>
      </c>
    </row>
    <row r="73" spans="1:22" x14ac:dyDescent="0.2">
      <c r="A73" s="5">
        <v>5</v>
      </c>
      <c r="C73" s="5">
        <v>1</v>
      </c>
      <c r="D73" s="5">
        <f>COUNTIFS(D90:D193, "=1",$B$90:$B$193, "=1986")</f>
        <v>0</v>
      </c>
      <c r="E73" s="27">
        <v>5</v>
      </c>
      <c r="F73" s="5">
        <f>COUNTIFS(F90:F193, "=1",$B$90:$B$193, "=1986")</f>
        <v>0</v>
      </c>
      <c r="G73" s="5">
        <v>9</v>
      </c>
      <c r="H73" s="5">
        <f>COUNTIFS(H90:H193, "=1",$B$90:$B$193, "=1986")</f>
        <v>5</v>
      </c>
      <c r="I73" s="16"/>
      <c r="J73" s="5">
        <v>13</v>
      </c>
      <c r="K73" s="5">
        <f>COUNTIFS(K90:K193, "=1",$B$90:$B$193, "=1986")</f>
        <v>5</v>
      </c>
      <c r="L73" s="31">
        <v>17</v>
      </c>
      <c r="M73" s="5">
        <f>COUNTIFS(M90:M193, "=1",$B$90:$B$193, "=1986")</f>
        <v>0</v>
      </c>
      <c r="N73" s="31">
        <v>21</v>
      </c>
      <c r="O73" s="5">
        <f>COUNTIFS(O90:O193, "=1",$B$90:$B$193, "=1986")</f>
        <v>2</v>
      </c>
      <c r="Q73" s="5">
        <v>25</v>
      </c>
      <c r="R73" s="5">
        <f>COUNTIFS(R90:R193, "=1",$B$90:$B$193, "=1986")</f>
        <v>0</v>
      </c>
      <c r="S73" s="31">
        <v>29</v>
      </c>
      <c r="T73" s="5">
        <f>COUNTIFS(T90:T193, "=1",$B$90:$B$193, "=1986")</f>
        <v>0</v>
      </c>
      <c r="U73" s="31">
        <v>33</v>
      </c>
      <c r="V73" s="5">
        <f>COUNTIFS(V90:V193, "=1",$B$90:$B$193, "=1986")</f>
        <v>0</v>
      </c>
    </row>
    <row r="74" spans="1:22" x14ac:dyDescent="0.2">
      <c r="A74" s="5">
        <v>6</v>
      </c>
      <c r="C74" s="5">
        <v>1</v>
      </c>
      <c r="D74" s="5">
        <f>COUNTIFS(D90:D193, "=1",$B$90:$B$193, "=1987")</f>
        <v>0</v>
      </c>
      <c r="E74" s="27">
        <v>5</v>
      </c>
      <c r="F74" s="5">
        <f>COUNTIFS(F90:F193, "=1",$B$90:$B$193, "=1987")</f>
        <v>0</v>
      </c>
      <c r="G74" s="5">
        <v>9</v>
      </c>
      <c r="H74" s="5">
        <f>COUNTIFS(H90:H193, "=1",$B$90:$B$193, "=1987")</f>
        <v>8</v>
      </c>
      <c r="I74" s="16"/>
      <c r="J74" s="5">
        <v>13</v>
      </c>
      <c r="K74" s="5">
        <f>COUNTIFS(K90:K193, "=1",$B$90:$B$193, "=1987")</f>
        <v>8</v>
      </c>
      <c r="L74" s="31">
        <v>17</v>
      </c>
      <c r="M74" s="5">
        <f>COUNTIFS(M90:M193, "=1",$B$90:$B$193, "=1987")</f>
        <v>0</v>
      </c>
      <c r="N74" s="31">
        <v>21</v>
      </c>
      <c r="O74" s="5">
        <f>COUNTIFS(O90:O193, "=1",$B$90:$B$193, "=1987")</f>
        <v>2</v>
      </c>
      <c r="Q74" s="5">
        <v>25</v>
      </c>
      <c r="R74" s="5">
        <f>COUNTIFS(R90:R193, "=1",$B$90:$B$193, "=1987")</f>
        <v>0</v>
      </c>
      <c r="S74" s="31">
        <v>29</v>
      </c>
      <c r="T74" s="5">
        <f>COUNTIFS(T90:T193, "=1",$B$90:$B$193, "=1987")</f>
        <v>0</v>
      </c>
      <c r="U74" s="31">
        <v>33</v>
      </c>
      <c r="V74" s="5">
        <f>COUNTIFS(V90:V193, "=1",$B$90:$B$193, "=1987")</f>
        <v>0</v>
      </c>
    </row>
    <row r="75" spans="1:22" x14ac:dyDescent="0.2">
      <c r="A75" s="5">
        <v>7</v>
      </c>
      <c r="C75" s="5">
        <v>1</v>
      </c>
      <c r="D75" s="5">
        <f>COUNTIFS(D90:D193, "=1",$B$90:$B$193, "=1988")</f>
        <v>0</v>
      </c>
      <c r="E75" s="27">
        <v>5</v>
      </c>
      <c r="F75" s="5">
        <f>COUNTIFS(F90:F193, "=1",$B$90:$B$193, "=1988")</f>
        <v>1</v>
      </c>
      <c r="G75" s="5">
        <v>9</v>
      </c>
      <c r="H75" s="5">
        <f>COUNTIFS(H90:H193, "=1",$B$90:$B$193, "=1988")</f>
        <v>2</v>
      </c>
      <c r="I75" s="16"/>
      <c r="J75" s="5">
        <v>13</v>
      </c>
      <c r="K75" s="5">
        <f>COUNTIFS(K90:K193, "=1",$B$90:$B$193, "=1988")</f>
        <v>2</v>
      </c>
      <c r="L75" s="31">
        <v>17</v>
      </c>
      <c r="M75" s="5">
        <f>COUNTIFS(M90:M193, "=1",$B$90:$B$193, "=1988")</f>
        <v>0</v>
      </c>
      <c r="N75" s="31">
        <v>21</v>
      </c>
      <c r="O75" s="5">
        <f>COUNTIFS(O90:O193, "=1",$B$90:$B$193, "=1988")</f>
        <v>1</v>
      </c>
      <c r="Q75" s="5">
        <v>25</v>
      </c>
      <c r="R75" s="5">
        <f>COUNTIFS(R90:R193, "=1",$B$90:$B$193, "=1988")</f>
        <v>0</v>
      </c>
      <c r="S75" s="31">
        <v>29</v>
      </c>
      <c r="T75" s="5">
        <f>COUNTIFS(T90:T193, "=1",$B$90:$B$193, "=1988")</f>
        <v>0</v>
      </c>
      <c r="U75" s="31">
        <v>33</v>
      </c>
      <c r="V75" s="5">
        <f>COUNTIFS(V90:V193, "=1",$B$90:$B$193, "=1988")</f>
        <v>0</v>
      </c>
    </row>
    <row r="76" spans="1:22" x14ac:dyDescent="0.2">
      <c r="A76" s="5">
        <v>8</v>
      </c>
      <c r="C76" s="5">
        <v>1</v>
      </c>
      <c r="D76" s="5">
        <f>COUNTIFS(D90:D193, "=1",$B$90:$B$193, "=1989")</f>
        <v>1</v>
      </c>
      <c r="E76" s="27">
        <v>5</v>
      </c>
      <c r="F76" s="5">
        <f>COUNTIFS(F90:F193, "=1",$B$90:$B$193, "=1989")</f>
        <v>3</v>
      </c>
      <c r="G76" s="5">
        <v>9</v>
      </c>
      <c r="H76" s="5">
        <f>COUNTIFS(H90:H193, "=1",$B$90:$B$193, "=1989")</f>
        <v>3</v>
      </c>
      <c r="I76" s="16"/>
      <c r="J76" s="5">
        <v>13</v>
      </c>
      <c r="K76" s="5">
        <f>COUNTIFS(K90:K193, "=1",$B$90:$B$193, "=1989")</f>
        <v>3</v>
      </c>
      <c r="L76" s="31">
        <v>17</v>
      </c>
      <c r="M76" s="5">
        <f>COUNTIFS(M90:M193, "=1",$B$90:$B$193, "=1989")</f>
        <v>0</v>
      </c>
      <c r="N76" s="31">
        <v>21</v>
      </c>
      <c r="O76" s="5">
        <f>COUNTIFS(O90:O193, "=1",$B$90:$B$193, "=1989")</f>
        <v>0</v>
      </c>
      <c r="Q76" s="5">
        <v>25</v>
      </c>
      <c r="R76" s="5">
        <f>COUNTIFS(R90:R193, "=1",$B$90:$B$193, "=1989")</f>
        <v>0</v>
      </c>
      <c r="S76" s="31">
        <v>29</v>
      </c>
      <c r="T76" s="5">
        <f>COUNTIFS(T90:T193, "=1",$B$90:$B$193, "=1989")</f>
        <v>0</v>
      </c>
      <c r="U76" s="31">
        <v>33</v>
      </c>
      <c r="V76" s="5">
        <f>COUNTIFS(V90:V193, "=1",$B$90:$B$193, "=1989")</f>
        <v>0</v>
      </c>
    </row>
    <row r="77" spans="1:22" x14ac:dyDescent="0.2">
      <c r="A77" s="3">
        <v>0</v>
      </c>
      <c r="C77" s="3">
        <v>2</v>
      </c>
      <c r="D77" s="3">
        <f>COUNTIFS(D90:D193, "=2",$B$90:$B$193, "&gt;=1980",$B$90:$B$193, "&lt;=1981")</f>
        <v>0</v>
      </c>
      <c r="E77" s="28">
        <v>6</v>
      </c>
      <c r="F77" s="3">
        <f>COUNTIFS(F90:F193, "=2",$B$90:$B$193, "&gt;=1980",$B$90:$B$193, "&lt;=1981")</f>
        <v>0</v>
      </c>
      <c r="G77" s="3">
        <v>10</v>
      </c>
      <c r="H77" s="3">
        <f>COUNTIFS(H90:H193, "=2",$B$90:$B$193, "&gt;=1980",$B$90:$B$193, "&lt;=1981")</f>
        <v>0</v>
      </c>
      <c r="I77" s="16"/>
      <c r="J77" s="3">
        <v>14</v>
      </c>
      <c r="K77" s="3">
        <f>COUNTIFS(K90:K193, "=2",$B$90:$B$193, "&gt;=1980",$B$90:$B$193, "&lt;=1981")</f>
        <v>0</v>
      </c>
      <c r="L77" s="32">
        <v>18</v>
      </c>
      <c r="M77" s="3">
        <f>COUNTIFS(M90:M193, "=2",$B$90:$B$193, "&gt;=1980",$B$90:$B$193, "&lt;=1981")</f>
        <v>2</v>
      </c>
      <c r="N77" s="32">
        <v>22</v>
      </c>
      <c r="O77" s="3">
        <f>COUNTIFS(O90:O193, "=2",$B$90:$B$193, "&gt;=1980",$B$90:$B$193, "&lt;=1981")</f>
        <v>2</v>
      </c>
      <c r="Q77" s="3">
        <v>26</v>
      </c>
      <c r="R77" s="3">
        <f>COUNTIFS(R90:R193, "=2",$B$90:$B$193, "&gt;=1980",$B$90:$B$193, "&lt;=1981")</f>
        <v>0</v>
      </c>
      <c r="S77" s="32">
        <v>30</v>
      </c>
      <c r="T77" s="3">
        <f>COUNTIFS(T90:T193, "=2",$B$90:$B$193, "&gt;=1980",$B$90:$B$193, "&lt;=1981")</f>
        <v>2</v>
      </c>
      <c r="U77" s="32">
        <v>34</v>
      </c>
      <c r="V77" s="3">
        <f>COUNTIFS(V90:V193, "=2",$B$90:$B$193, "&gt;=1980",$B$90:$B$193, "&lt;=1981")</f>
        <v>0</v>
      </c>
    </row>
    <row r="78" spans="1:22" x14ac:dyDescent="0.2">
      <c r="A78" s="3">
        <v>1</v>
      </c>
      <c r="C78" s="3">
        <v>2</v>
      </c>
      <c r="D78" s="3">
        <f>COUNTIFS(D90:D193, "=2",$B$90:$B$193, "=1982")</f>
        <v>0</v>
      </c>
      <c r="E78" s="28">
        <v>6</v>
      </c>
      <c r="F78" s="3">
        <f>COUNTIFS(F90:F193, "=2",$B$90:$B$193, "=1982")</f>
        <v>0</v>
      </c>
      <c r="G78" s="3">
        <v>10</v>
      </c>
      <c r="H78" s="3">
        <f>COUNTIFS(H90:H193, "=2",$B$90:$B$193, "=1982")</f>
        <v>0</v>
      </c>
      <c r="I78" s="16"/>
      <c r="J78" s="3">
        <v>14</v>
      </c>
      <c r="K78" s="3">
        <f>COUNTIFS(K90:K193, "=2",$B$90:$B$193, "=1982")</f>
        <v>0</v>
      </c>
      <c r="L78" s="32">
        <v>18</v>
      </c>
      <c r="M78" s="3">
        <f>COUNTIFS(M90:M193, "=2",$B$90:$B$193, "=1982")</f>
        <v>3</v>
      </c>
      <c r="N78" s="32">
        <v>22</v>
      </c>
      <c r="O78" s="3">
        <f>COUNTIFS(O90:O193, "=2",$B$90:$B$193, "=1982")</f>
        <v>2</v>
      </c>
      <c r="Q78" s="3">
        <v>26</v>
      </c>
      <c r="R78" s="3">
        <f>COUNTIFS(R90:R193, "=2",$B$90:$B$193, "=1982")</f>
        <v>0</v>
      </c>
      <c r="S78" s="32">
        <v>30</v>
      </c>
      <c r="T78" s="3">
        <f>COUNTIFS(T90:T193, "=2",$B$90:$B$193, "=1982")</f>
        <v>3</v>
      </c>
      <c r="U78" s="32">
        <v>34</v>
      </c>
      <c r="V78" s="3">
        <f>COUNTIFS(V90:V193, "=2",$B$90:$B$193, "=1982")</f>
        <v>0</v>
      </c>
    </row>
    <row r="79" spans="1:22" x14ac:dyDescent="0.2">
      <c r="A79" s="3">
        <v>2</v>
      </c>
      <c r="C79" s="3">
        <v>2</v>
      </c>
      <c r="D79" s="3">
        <f>COUNTIFS(D90:D193, "=2",$B$90:$B$193, "=1983")</f>
        <v>0</v>
      </c>
      <c r="E79" s="28">
        <v>6</v>
      </c>
      <c r="F79" s="3">
        <f>COUNTIFS(F90:F193, "=2",$B$90:$B$193, "=1983")</f>
        <v>0</v>
      </c>
      <c r="G79" s="3">
        <v>10</v>
      </c>
      <c r="H79" s="3">
        <f>COUNTIFS(H90:H193, "=2",$B$90:$B$193, "=1983")</f>
        <v>0</v>
      </c>
      <c r="I79" s="16"/>
      <c r="J79" s="3">
        <v>14</v>
      </c>
      <c r="K79" s="3">
        <f>COUNTIFS(K90:K193, "=2",$B$90:$B$193, "=1983")</f>
        <v>0</v>
      </c>
      <c r="L79" s="32">
        <v>18</v>
      </c>
      <c r="M79" s="3">
        <f>COUNTIFS(M90:M193, "=2",$B$90:$B$193, "=1983")</f>
        <v>5</v>
      </c>
      <c r="N79" s="32">
        <v>22</v>
      </c>
      <c r="O79" s="3">
        <f>COUNTIFS(O90:O193, "=2",$B$90:$B$193, "=1983")</f>
        <v>4</v>
      </c>
      <c r="Q79" s="3">
        <v>26</v>
      </c>
      <c r="R79" s="3">
        <f>COUNTIFS(R90:R193, "=2",$B$90:$B$193, "=1983")</f>
        <v>0</v>
      </c>
      <c r="S79" s="32">
        <v>30</v>
      </c>
      <c r="T79" s="3">
        <f>COUNTIFS(T90:T193, "=2",$B$90:$B$193, "=1983")</f>
        <v>5</v>
      </c>
      <c r="U79" s="32">
        <v>34</v>
      </c>
      <c r="V79" s="3">
        <f>COUNTIFS(V90:V193, "=2",$B$90:$B$193, "=1983")</f>
        <v>0</v>
      </c>
    </row>
    <row r="80" spans="1:22" x14ac:dyDescent="0.2">
      <c r="A80" s="14">
        <v>3</v>
      </c>
      <c r="C80" s="14">
        <v>2</v>
      </c>
      <c r="D80" s="14">
        <f>COUNTIFS(D90:D193, "=2",$B$90:$B$193, "=1984")</f>
        <v>0</v>
      </c>
      <c r="E80" s="28">
        <v>6</v>
      </c>
      <c r="F80" s="14">
        <f>COUNTIFS(F90:F193, "=2",$B$90:$B$193, "=1984")</f>
        <v>0</v>
      </c>
      <c r="G80" s="3">
        <v>10</v>
      </c>
      <c r="H80" s="14">
        <f>COUNTIFS(H90:H193, "=2",$B$90:$B$193, "=1984")</f>
        <v>0</v>
      </c>
      <c r="I80" s="17"/>
      <c r="J80" s="3">
        <v>14</v>
      </c>
      <c r="K80" s="14">
        <f>COUNTIFS(K90:K193, "=2",$B$90:$B$193, "=1984")</f>
        <v>0</v>
      </c>
      <c r="L80" s="32">
        <v>18</v>
      </c>
      <c r="M80" s="14">
        <f>COUNTIFS(M90:M193, "=2",$B$90:$B$193, "=1984")</f>
        <v>5</v>
      </c>
      <c r="N80" s="32">
        <v>22</v>
      </c>
      <c r="O80" s="14">
        <f>COUNTIFS(O90:O193, "=2",$B$90:$B$193, "=1984")</f>
        <v>2</v>
      </c>
      <c r="Q80" s="3">
        <v>26</v>
      </c>
      <c r="R80" s="14">
        <f>COUNTIFS(R90:R193, "=2",$B$90:$B$193, "=1984")</f>
        <v>0</v>
      </c>
      <c r="S80" s="32">
        <v>30</v>
      </c>
      <c r="T80" s="14">
        <f>COUNTIFS(T90:T193, "=2",$B$90:$B$193, "=1984")</f>
        <v>5</v>
      </c>
      <c r="U80" s="32">
        <v>34</v>
      </c>
      <c r="V80" s="14">
        <f>COUNTIFS(V90:V193, "=2",$B$90:$B$193, "=1984")</f>
        <v>0</v>
      </c>
    </row>
    <row r="81" spans="1:22" x14ac:dyDescent="0.2">
      <c r="A81" s="3">
        <v>4</v>
      </c>
      <c r="C81" s="3">
        <v>2</v>
      </c>
      <c r="D81" s="3">
        <f>COUNTIFS(D90:D193, "=2",$B$90:$B$193, "=1985")</f>
        <v>0</v>
      </c>
      <c r="E81" s="28">
        <v>6</v>
      </c>
      <c r="F81" s="3">
        <f>COUNTIFS(F90:F193, "=2",$B$90:$B$193, "=1985")</f>
        <v>0</v>
      </c>
      <c r="G81" s="3">
        <v>10</v>
      </c>
      <c r="H81" s="3">
        <f>COUNTIFS(H90:H193, "=2",$B$90:$B$193, "=1985")</f>
        <v>0</v>
      </c>
      <c r="I81" s="16"/>
      <c r="J81" s="3">
        <v>14</v>
      </c>
      <c r="K81" s="3">
        <f>COUNTIFS(K90:K193, "=2",$B$90:$B$193, "=1985")</f>
        <v>0</v>
      </c>
      <c r="L81" s="32">
        <v>18</v>
      </c>
      <c r="M81" s="3">
        <f>COUNTIFS(M90:M193, "=2",$B$90:$B$193, "=1985")</f>
        <v>3</v>
      </c>
      <c r="N81" s="32">
        <v>22</v>
      </c>
      <c r="O81" s="3">
        <f>COUNTIFS(O90:O193, "=2",$B$90:$B$193, "=1985")</f>
        <v>1</v>
      </c>
      <c r="Q81" s="3">
        <v>26</v>
      </c>
      <c r="R81" s="3">
        <f>COUNTIFS(R90:R193, "=2",$B$90:$B$193, "=1985")</f>
        <v>0</v>
      </c>
      <c r="S81" s="32">
        <v>30</v>
      </c>
      <c r="T81" s="3">
        <f>COUNTIFS(T90:T193, "=2",$B$90:$B$193, "=1985")</f>
        <v>3</v>
      </c>
      <c r="U81" s="32">
        <v>34</v>
      </c>
      <c r="V81" s="3">
        <f>COUNTIFS(V90:V193, "=2",$B$90:$B$193, "=1985")</f>
        <v>0</v>
      </c>
    </row>
    <row r="82" spans="1:22" x14ac:dyDescent="0.2">
      <c r="A82" s="3">
        <v>5</v>
      </c>
      <c r="C82" s="3">
        <v>2</v>
      </c>
      <c r="D82" s="3">
        <f>COUNTIFS(D90:D193, "=2",$B$90:$B$193, "=1986")</f>
        <v>0</v>
      </c>
      <c r="E82" s="28">
        <v>6</v>
      </c>
      <c r="F82" s="3">
        <f>COUNTIFS(F90:F193, "=2",$B$90:$B$193, "=1986")</f>
        <v>0</v>
      </c>
      <c r="G82" s="3">
        <v>10</v>
      </c>
      <c r="H82" s="3">
        <f>COUNTIFS(H90:H193, "=2",$B$90:$B$193, "=1986")</f>
        <v>0</v>
      </c>
      <c r="I82" s="16"/>
      <c r="J82" s="3">
        <v>14</v>
      </c>
      <c r="K82" s="3">
        <f>COUNTIFS(K90:K193, "=2",$B$90:$B$193, "=1986")</f>
        <v>0</v>
      </c>
      <c r="L82" s="32">
        <v>18</v>
      </c>
      <c r="M82" s="3">
        <f>COUNTIFS(M90:M193, "=2",$B$90:$B$193, "=1986")</f>
        <v>5</v>
      </c>
      <c r="N82" s="32">
        <v>22</v>
      </c>
      <c r="O82" s="3">
        <f>COUNTIFS(O90:O193, "=2",$B$90:$B$193, "=1986")</f>
        <v>3</v>
      </c>
      <c r="Q82" s="3">
        <v>26</v>
      </c>
      <c r="R82" s="3">
        <f>COUNTIFS(R90:R193, "=2",$B$90:$B$193, "=1986")</f>
        <v>0</v>
      </c>
      <c r="S82" s="32">
        <v>30</v>
      </c>
      <c r="T82" s="3">
        <f>COUNTIFS(T90:T193, "=2",$B$90:$B$193, "=1986")</f>
        <v>5</v>
      </c>
      <c r="U82" s="32">
        <v>34</v>
      </c>
      <c r="V82" s="3">
        <f>COUNTIFS(V90:V193, "=2",$B$90:$B$193, "=1986")</f>
        <v>0</v>
      </c>
    </row>
    <row r="83" spans="1:22" x14ac:dyDescent="0.2">
      <c r="A83" s="3">
        <v>6</v>
      </c>
      <c r="C83" s="3">
        <v>2</v>
      </c>
      <c r="D83" s="3">
        <f>COUNTIFS(D90:D193, "=2",$B$90:$B$193, "=1987")</f>
        <v>0</v>
      </c>
      <c r="E83" s="28">
        <v>6</v>
      </c>
      <c r="F83" s="3">
        <f>COUNTIFS(F90:F193, "=2",$B$90:$B$193, "=1987")</f>
        <v>0</v>
      </c>
      <c r="G83" s="3">
        <v>10</v>
      </c>
      <c r="H83" s="3">
        <f>COUNTIFS(H90:H193, "=2",$B$90:$B$193, "=1987")</f>
        <v>0</v>
      </c>
      <c r="I83" s="16"/>
      <c r="J83" s="3">
        <v>14</v>
      </c>
      <c r="K83" s="3">
        <f>COUNTIFS(K90:K193, "=2",$B$90:$B$193, "=1987")</f>
        <v>0</v>
      </c>
      <c r="L83" s="32">
        <v>18</v>
      </c>
      <c r="M83" s="3">
        <f>COUNTIFS(M90:M193, "=2",$B$90:$B$193, "=1987")</f>
        <v>8</v>
      </c>
      <c r="N83" s="32">
        <v>22</v>
      </c>
      <c r="O83" s="3">
        <f>COUNTIFS(O90:O193, "=2",$B$90:$B$193, "=1987")</f>
        <v>6</v>
      </c>
      <c r="Q83" s="3">
        <v>26</v>
      </c>
      <c r="R83" s="3">
        <f>COUNTIFS(R90:R193, "=2",$B$90:$B$193, "=1987")</f>
        <v>0</v>
      </c>
      <c r="S83" s="32">
        <v>30</v>
      </c>
      <c r="T83" s="3">
        <f>COUNTIFS(T90:T193, "=2",$B$90:$B$193, "=1987")</f>
        <v>8</v>
      </c>
      <c r="U83" s="32">
        <v>34</v>
      </c>
      <c r="V83" s="3">
        <f>COUNTIFS(V90:V193, "=2",$B$90:$B$193, "=1987")</f>
        <v>0</v>
      </c>
    </row>
    <row r="84" spans="1:22" x14ac:dyDescent="0.2">
      <c r="A84" s="3">
        <v>7</v>
      </c>
      <c r="C84" s="3">
        <v>2</v>
      </c>
      <c r="D84" s="3">
        <f>COUNTIFS(D90:D193, "=2",$B$90:$B$193, "=1988")</f>
        <v>0</v>
      </c>
      <c r="E84" s="28">
        <v>6</v>
      </c>
      <c r="F84" s="3">
        <f>COUNTIFS(F90:F193, "=2",$B$90:$B$193, "=1988")</f>
        <v>0</v>
      </c>
      <c r="G84" s="3">
        <v>10</v>
      </c>
      <c r="H84" s="3">
        <f>COUNTIFS(H90:H193, "=2",$B$90:$B$193, "=1988")</f>
        <v>0</v>
      </c>
      <c r="I84" s="16"/>
      <c r="J84" s="3">
        <v>14</v>
      </c>
      <c r="K84" s="3">
        <f>COUNTIFS(K90:K193, "=2",$B$90:$B$193, "=1988")</f>
        <v>0</v>
      </c>
      <c r="L84" s="32">
        <v>18</v>
      </c>
      <c r="M84" s="3">
        <f>COUNTIFS(M90:M193, "=2",$B$90:$B$193, "=1988")</f>
        <v>2</v>
      </c>
      <c r="N84" s="32">
        <v>22</v>
      </c>
      <c r="O84" s="3">
        <f>COUNTIFS(O90:O193, "=2",$B$90:$B$193, "=1988")</f>
        <v>1</v>
      </c>
      <c r="Q84" s="3">
        <v>26</v>
      </c>
      <c r="R84" s="3">
        <f>COUNTIFS(R90:R193, "=2",$B$90:$B$193, "=1988")</f>
        <v>0</v>
      </c>
      <c r="S84" s="32">
        <v>30</v>
      </c>
      <c r="T84" s="3">
        <f>COUNTIFS(T90:T193, "=2",$B$90:$B$193, "=1988")</f>
        <v>2</v>
      </c>
      <c r="U84" s="32">
        <v>34</v>
      </c>
      <c r="V84" s="3">
        <f>COUNTIFS(V90:V193, "=2",$B$90:$B$193, "=1988")</f>
        <v>0</v>
      </c>
    </row>
    <row r="85" spans="1:22" x14ac:dyDescent="0.2">
      <c r="A85" s="3">
        <v>8</v>
      </c>
      <c r="C85" s="3">
        <v>2</v>
      </c>
      <c r="D85" s="3">
        <f>COUNTIFS(D90:D193, "=2",$B$90:$B$193, "=1989")</f>
        <v>1</v>
      </c>
      <c r="E85" s="28">
        <v>6</v>
      </c>
      <c r="F85" s="3">
        <f>COUNTIFS(F90:F193, "=2",$B$90:$B$193, "=1989")</f>
        <v>0</v>
      </c>
      <c r="G85" s="3">
        <v>10</v>
      </c>
      <c r="H85" s="3">
        <f>COUNTIFS(H90:H193, "=2",$B$90:$B$193, "=1989")</f>
        <v>0</v>
      </c>
      <c r="I85" s="16"/>
      <c r="J85" s="3">
        <v>14</v>
      </c>
      <c r="K85" s="3">
        <f>COUNTIFS(K90:K193, "=2",$B$90:$B$193, "=1989")</f>
        <v>0</v>
      </c>
      <c r="L85" s="32">
        <v>18</v>
      </c>
      <c r="M85" s="3">
        <f>COUNTIFS(M90:M193, "=2",$B$90:$B$193, "=1989")</f>
        <v>3</v>
      </c>
      <c r="N85" s="32">
        <v>22</v>
      </c>
      <c r="O85" s="3">
        <f>COUNTIFS(O90:O193, "=2",$B$90:$B$193, "=1989")</f>
        <v>3</v>
      </c>
      <c r="Q85" s="3">
        <v>26</v>
      </c>
      <c r="R85" s="3">
        <f>COUNTIFS(R90:R193, "=2",$B$90:$B$193, "=1989")</f>
        <v>0</v>
      </c>
      <c r="S85" s="32">
        <v>30</v>
      </c>
      <c r="T85" s="3">
        <f>COUNTIFS(T90:T193, "=2",$B$90:$B$193, "=1989")</f>
        <v>3</v>
      </c>
      <c r="U85" s="32">
        <v>34</v>
      </c>
      <c r="V85" s="3">
        <f>COUNTIFS(V90:V193, "=2",$B$90:$B$193, "=1989")</f>
        <v>0</v>
      </c>
    </row>
    <row r="86" spans="1:22" x14ac:dyDescent="0.2">
      <c r="A86" s="53" t="s">
        <v>24</v>
      </c>
      <c r="B86" s="54"/>
      <c r="D86" s="4">
        <f>SUM(D59:D85)</f>
        <v>36</v>
      </c>
      <c r="E86" s="4"/>
      <c r="F86" s="4">
        <f>SUM(F59:F85)</f>
        <v>36</v>
      </c>
      <c r="G86" s="4"/>
      <c r="H86" s="4">
        <f>SUM(H59:H85)</f>
        <v>36</v>
      </c>
      <c r="I86" s="16"/>
      <c r="J86" s="16"/>
      <c r="K86" s="4">
        <f>SUM(K59:K85)</f>
        <v>36</v>
      </c>
      <c r="L86" s="4"/>
      <c r="M86" s="4">
        <f>SUM(M59:M85)</f>
        <v>36</v>
      </c>
      <c r="N86" s="4"/>
      <c r="O86" s="4">
        <f>SUM(O59:O85)</f>
        <v>36</v>
      </c>
      <c r="R86" s="4">
        <f>SUM(R59:R85)</f>
        <v>36</v>
      </c>
      <c r="S86" s="4"/>
      <c r="T86" s="4">
        <f>SUM(T59:T85)</f>
        <v>36</v>
      </c>
      <c r="U86" s="4"/>
      <c r="V86" s="4">
        <f>SUM(V59:V85)</f>
        <v>36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213</v>
      </c>
      <c r="B89" s="10" t="s">
        <v>214</v>
      </c>
      <c r="D89" s="6" t="s">
        <v>169</v>
      </c>
      <c r="E89" s="6"/>
      <c r="F89" s="6" t="s">
        <v>170</v>
      </c>
      <c r="G89" s="6"/>
      <c r="H89" s="6" t="s">
        <v>171</v>
      </c>
      <c r="I89" s="12"/>
      <c r="J89" s="6"/>
      <c r="K89" s="6" t="s">
        <v>23</v>
      </c>
      <c r="L89" s="6"/>
      <c r="M89" s="6" t="s">
        <v>172</v>
      </c>
      <c r="N89" s="6"/>
      <c r="O89" s="6" t="s">
        <v>173</v>
      </c>
      <c r="Q89" s="6"/>
      <c r="R89" s="6" t="s">
        <v>174</v>
      </c>
      <c r="S89" s="6"/>
      <c r="T89" s="6" t="s">
        <v>107</v>
      </c>
      <c r="U89" s="6"/>
      <c r="V89" s="6" t="s">
        <v>108</v>
      </c>
    </row>
    <row r="90" spans="1:22" ht="40" x14ac:dyDescent="0.2">
      <c r="A90" s="3" t="s">
        <v>61</v>
      </c>
      <c r="B90" s="7">
        <v>1980</v>
      </c>
      <c r="C90" s="41" t="s">
        <v>219</v>
      </c>
      <c r="D90" s="7">
        <v>0</v>
      </c>
      <c r="E90" s="7"/>
      <c r="F90" s="7">
        <v>0</v>
      </c>
      <c r="G90" s="7"/>
      <c r="H90" s="7">
        <v>1</v>
      </c>
      <c r="I90" s="13"/>
      <c r="J90" s="7"/>
      <c r="K90" s="7">
        <v>1</v>
      </c>
      <c r="L90" s="7"/>
      <c r="M90" s="7">
        <v>2</v>
      </c>
      <c r="N90" s="7"/>
      <c r="O90" s="7">
        <v>2</v>
      </c>
      <c r="Q90" s="7"/>
      <c r="R90" s="7">
        <v>0</v>
      </c>
      <c r="S90" s="7"/>
      <c r="T90" s="7">
        <v>2</v>
      </c>
      <c r="U90" s="7"/>
      <c r="V90" s="7">
        <v>0</v>
      </c>
    </row>
    <row r="91" spans="1:22" ht="40" x14ac:dyDescent="0.2">
      <c r="A91" s="3" t="s">
        <v>62</v>
      </c>
      <c r="B91" s="7">
        <v>1981</v>
      </c>
      <c r="C91" s="41" t="s">
        <v>220</v>
      </c>
      <c r="D91" s="7">
        <v>0</v>
      </c>
      <c r="E91" s="7"/>
      <c r="F91" s="7">
        <v>0</v>
      </c>
      <c r="G91" s="7"/>
      <c r="H91" s="7">
        <v>1</v>
      </c>
      <c r="I91" s="13"/>
      <c r="J91" s="7"/>
      <c r="K91" s="7">
        <v>1</v>
      </c>
      <c r="L91" s="7"/>
      <c r="M91" s="7">
        <v>2</v>
      </c>
      <c r="N91" s="7"/>
      <c r="O91" s="7">
        <v>2</v>
      </c>
      <c r="Q91" s="7"/>
      <c r="R91" s="7">
        <v>0</v>
      </c>
      <c r="S91" s="7"/>
      <c r="T91" s="7">
        <v>2</v>
      </c>
      <c r="U91" s="7"/>
      <c r="V91" s="7">
        <v>0</v>
      </c>
    </row>
    <row r="92" spans="1:22" ht="40" x14ac:dyDescent="0.2">
      <c r="A92" s="3" t="s">
        <v>63</v>
      </c>
      <c r="B92" s="7">
        <v>1982</v>
      </c>
      <c r="C92" s="41" t="s">
        <v>221</v>
      </c>
      <c r="D92" s="7">
        <v>0</v>
      </c>
      <c r="E92" s="7"/>
      <c r="F92" s="7">
        <v>0</v>
      </c>
      <c r="G92" s="7"/>
      <c r="H92" s="7">
        <v>1</v>
      </c>
      <c r="I92" s="13"/>
      <c r="J92" s="7"/>
      <c r="K92" s="7">
        <v>1</v>
      </c>
      <c r="L92" s="7"/>
      <c r="M92" s="7">
        <v>2</v>
      </c>
      <c r="N92" s="7"/>
      <c r="O92" s="7">
        <v>2</v>
      </c>
      <c r="Q92" s="7"/>
      <c r="R92" s="7">
        <v>0</v>
      </c>
      <c r="S92" s="7"/>
      <c r="T92" s="7">
        <v>2</v>
      </c>
      <c r="U92" s="7"/>
      <c r="V92" s="7">
        <v>0</v>
      </c>
    </row>
    <row r="93" spans="1:22" ht="34" x14ac:dyDescent="0.2">
      <c r="A93" s="3" t="s">
        <v>64</v>
      </c>
      <c r="B93" s="7">
        <v>1983</v>
      </c>
      <c r="C93" s="41" t="s">
        <v>216</v>
      </c>
      <c r="D93" s="7">
        <v>0</v>
      </c>
      <c r="E93" s="7"/>
      <c r="F93" s="7">
        <v>0</v>
      </c>
      <c r="G93" s="7"/>
      <c r="H93" s="7">
        <v>1</v>
      </c>
      <c r="I93" s="13"/>
      <c r="J93" s="7"/>
      <c r="K93" s="7">
        <v>1</v>
      </c>
      <c r="L93" s="7"/>
      <c r="M93" s="7">
        <v>2</v>
      </c>
      <c r="N93" s="7"/>
      <c r="O93" s="7">
        <v>2</v>
      </c>
      <c r="Q93" s="7"/>
      <c r="R93" s="7">
        <v>0</v>
      </c>
      <c r="S93" s="7"/>
      <c r="T93" s="7">
        <v>2</v>
      </c>
      <c r="U93" s="7"/>
      <c r="V93" s="7">
        <v>0</v>
      </c>
    </row>
    <row r="94" spans="1:22" ht="34" x14ac:dyDescent="0.2">
      <c r="A94" s="3" t="s">
        <v>65</v>
      </c>
      <c r="B94" s="7">
        <v>1984</v>
      </c>
      <c r="C94" s="41" t="s">
        <v>217</v>
      </c>
      <c r="D94" s="7">
        <v>0</v>
      </c>
      <c r="E94" s="7"/>
      <c r="F94" s="7">
        <v>0</v>
      </c>
      <c r="G94" s="7"/>
      <c r="H94" s="7">
        <v>1</v>
      </c>
      <c r="I94" s="13"/>
      <c r="J94" s="7"/>
      <c r="K94" s="7">
        <v>1</v>
      </c>
      <c r="L94" s="7"/>
      <c r="M94" s="7">
        <v>2</v>
      </c>
      <c r="N94" s="7"/>
      <c r="O94" s="7">
        <v>2</v>
      </c>
      <c r="Q94" s="7"/>
      <c r="R94" s="7">
        <v>0</v>
      </c>
      <c r="S94" s="7"/>
      <c r="T94" s="7">
        <v>2</v>
      </c>
      <c r="U94" s="7"/>
      <c r="V94" s="7">
        <v>0</v>
      </c>
    </row>
    <row r="95" spans="1:22" ht="34" x14ac:dyDescent="0.2">
      <c r="A95" s="3" t="s">
        <v>66</v>
      </c>
      <c r="B95" s="7">
        <v>1985</v>
      </c>
      <c r="C95" s="41" t="s">
        <v>218</v>
      </c>
      <c r="D95" s="7">
        <v>0</v>
      </c>
      <c r="E95" s="7"/>
      <c r="F95" s="7">
        <v>0</v>
      </c>
      <c r="G95" s="7"/>
      <c r="H95" s="7">
        <v>1</v>
      </c>
      <c r="I95" s="13"/>
      <c r="J95" s="7"/>
      <c r="K95" s="7">
        <v>1</v>
      </c>
      <c r="L95" s="7"/>
      <c r="M95" s="7">
        <v>2</v>
      </c>
      <c r="N95" s="7"/>
      <c r="O95" s="7">
        <v>2</v>
      </c>
      <c r="Q95" s="7"/>
      <c r="R95" s="7">
        <v>0</v>
      </c>
      <c r="S95" s="7"/>
      <c r="T95" s="7">
        <v>2</v>
      </c>
      <c r="U95" s="7"/>
      <c r="V95" s="7">
        <v>0</v>
      </c>
    </row>
    <row r="96" spans="1:22" ht="51" x14ac:dyDescent="0.2">
      <c r="A96" s="3" t="s">
        <v>67</v>
      </c>
      <c r="B96" s="7">
        <v>1987</v>
      </c>
      <c r="C96" s="41" t="s">
        <v>222</v>
      </c>
      <c r="D96" s="7">
        <v>0</v>
      </c>
      <c r="E96" s="7"/>
      <c r="F96" s="7">
        <v>0</v>
      </c>
      <c r="G96" s="7"/>
      <c r="H96" s="7">
        <v>1</v>
      </c>
      <c r="I96" s="13"/>
      <c r="J96" s="7"/>
      <c r="K96" s="7">
        <v>1</v>
      </c>
      <c r="L96" s="7"/>
      <c r="M96" s="7">
        <v>2</v>
      </c>
      <c r="N96" s="7"/>
      <c r="O96" s="7">
        <v>2</v>
      </c>
      <c r="Q96" s="7"/>
      <c r="R96" s="7">
        <v>0</v>
      </c>
      <c r="S96" s="7"/>
      <c r="T96" s="7">
        <v>2</v>
      </c>
      <c r="U96" s="7"/>
      <c r="V96" s="7">
        <v>0</v>
      </c>
    </row>
    <row r="97" spans="1:22" ht="40" x14ac:dyDescent="0.2">
      <c r="A97" s="3" t="s">
        <v>68</v>
      </c>
      <c r="B97" s="7">
        <v>1987</v>
      </c>
      <c r="C97" s="41" t="s">
        <v>223</v>
      </c>
      <c r="D97" s="7">
        <v>0</v>
      </c>
      <c r="E97" s="7"/>
      <c r="F97" s="7">
        <v>0</v>
      </c>
      <c r="G97" s="7"/>
      <c r="H97" s="7">
        <v>1</v>
      </c>
      <c r="I97" s="13"/>
      <c r="J97" s="7"/>
      <c r="K97" s="7">
        <v>1</v>
      </c>
      <c r="L97" s="7"/>
      <c r="M97" s="7">
        <v>2</v>
      </c>
      <c r="N97" s="7"/>
      <c r="O97" s="7">
        <v>2</v>
      </c>
      <c r="Q97" s="7"/>
      <c r="R97" s="7">
        <v>0</v>
      </c>
      <c r="S97" s="7"/>
      <c r="T97" s="7">
        <v>2</v>
      </c>
      <c r="U97" s="7"/>
      <c r="V97" s="7">
        <v>0</v>
      </c>
    </row>
    <row r="98" spans="1:22" ht="40" x14ac:dyDescent="0.2">
      <c r="A98" s="3" t="s">
        <v>69</v>
      </c>
      <c r="B98" s="7">
        <v>1988</v>
      </c>
      <c r="C98" s="41" t="s">
        <v>224</v>
      </c>
      <c r="D98" s="7">
        <v>0</v>
      </c>
      <c r="E98" s="7"/>
      <c r="F98" s="7">
        <v>1</v>
      </c>
      <c r="G98" s="7"/>
      <c r="H98" s="7">
        <v>1</v>
      </c>
      <c r="I98" s="13"/>
      <c r="J98" s="7"/>
      <c r="K98" s="7">
        <v>1</v>
      </c>
      <c r="L98" s="7"/>
      <c r="M98" s="7">
        <v>2</v>
      </c>
      <c r="N98" s="7"/>
      <c r="O98" s="7">
        <v>2</v>
      </c>
      <c r="Q98" s="7"/>
      <c r="R98" s="7">
        <v>0</v>
      </c>
      <c r="S98" s="7"/>
      <c r="T98" s="7">
        <v>2</v>
      </c>
      <c r="U98" s="7"/>
      <c r="V98" s="7">
        <v>0</v>
      </c>
    </row>
    <row r="99" spans="1:22" ht="60" x14ac:dyDescent="0.2">
      <c r="A99" s="10" t="s">
        <v>213</v>
      </c>
      <c r="B99" s="10" t="s">
        <v>214</v>
      </c>
      <c r="D99" s="6" t="s">
        <v>169</v>
      </c>
      <c r="E99" s="6"/>
      <c r="F99" s="6" t="s">
        <v>170</v>
      </c>
      <c r="G99" s="6"/>
      <c r="H99" s="6" t="s">
        <v>171</v>
      </c>
      <c r="I99" s="12"/>
      <c r="J99" s="6"/>
      <c r="K99" s="6" t="s">
        <v>23</v>
      </c>
      <c r="L99" s="6"/>
      <c r="M99" s="6" t="s">
        <v>172</v>
      </c>
      <c r="N99" s="6"/>
      <c r="O99" s="6" t="s">
        <v>173</v>
      </c>
      <c r="Q99" s="6"/>
      <c r="R99" s="6" t="s">
        <v>174</v>
      </c>
      <c r="S99" s="6"/>
      <c r="T99" s="6" t="s">
        <v>107</v>
      </c>
      <c r="U99" s="6"/>
      <c r="V99" s="6" t="s">
        <v>108</v>
      </c>
    </row>
    <row r="100" spans="1:22" ht="40" x14ac:dyDescent="0.2">
      <c r="A100" s="4" t="s">
        <v>70</v>
      </c>
      <c r="B100" s="8">
        <v>1997</v>
      </c>
      <c r="C100" s="41" t="s">
        <v>225</v>
      </c>
      <c r="D100" s="8">
        <v>0</v>
      </c>
      <c r="E100" s="8"/>
      <c r="F100" s="8">
        <v>0</v>
      </c>
      <c r="G100" s="8"/>
      <c r="H100" s="8">
        <v>1</v>
      </c>
      <c r="I100" s="13"/>
      <c r="J100" s="8"/>
      <c r="K100" s="8">
        <v>1</v>
      </c>
      <c r="L100" s="8"/>
      <c r="M100" s="8">
        <v>2</v>
      </c>
      <c r="N100" s="8"/>
      <c r="O100" s="8">
        <v>2</v>
      </c>
      <c r="Q100" s="8"/>
      <c r="R100" s="8">
        <v>0</v>
      </c>
      <c r="S100" s="8"/>
      <c r="T100" s="8">
        <v>2</v>
      </c>
      <c r="U100" s="8"/>
      <c r="V100" s="8">
        <v>0</v>
      </c>
    </row>
    <row r="101" spans="1:22" ht="34" x14ac:dyDescent="0.2">
      <c r="A101" s="4" t="s">
        <v>71</v>
      </c>
      <c r="B101" s="8">
        <v>1983</v>
      </c>
      <c r="C101" s="41" t="s">
        <v>226</v>
      </c>
      <c r="D101" s="8">
        <v>0</v>
      </c>
      <c r="E101" s="8"/>
      <c r="F101" s="8">
        <v>0</v>
      </c>
      <c r="G101" s="8"/>
      <c r="H101" s="8">
        <v>1</v>
      </c>
      <c r="I101" s="13"/>
      <c r="J101" s="8"/>
      <c r="K101" s="8">
        <v>1</v>
      </c>
      <c r="L101" s="8"/>
      <c r="M101" s="8">
        <v>2</v>
      </c>
      <c r="N101" s="8"/>
      <c r="O101" s="8">
        <v>2</v>
      </c>
      <c r="Q101" s="8"/>
      <c r="R101" s="8">
        <v>0</v>
      </c>
      <c r="S101" s="8"/>
      <c r="T101" s="8">
        <v>2</v>
      </c>
      <c r="U101" s="8"/>
      <c r="V101" s="8">
        <v>0</v>
      </c>
    </row>
    <row r="102" spans="1:22" ht="34" x14ac:dyDescent="0.2">
      <c r="A102" s="4" t="s">
        <v>72</v>
      </c>
      <c r="B102" s="8">
        <v>1987</v>
      </c>
      <c r="C102" s="41" t="s">
        <v>227</v>
      </c>
      <c r="D102" s="8">
        <v>0</v>
      </c>
      <c r="E102" s="8"/>
      <c r="F102" s="8">
        <v>0</v>
      </c>
      <c r="G102" s="8"/>
      <c r="H102" s="8">
        <v>1</v>
      </c>
      <c r="I102" s="13"/>
      <c r="J102" s="8"/>
      <c r="K102" s="8">
        <v>1</v>
      </c>
      <c r="L102" s="8"/>
      <c r="M102" s="8">
        <v>2</v>
      </c>
      <c r="N102" s="8"/>
      <c r="O102" s="8">
        <v>2</v>
      </c>
      <c r="Q102" s="8"/>
      <c r="R102" s="8">
        <v>0</v>
      </c>
      <c r="S102" s="8"/>
      <c r="T102" s="8">
        <v>2</v>
      </c>
      <c r="U102" s="8"/>
      <c r="V102" s="8">
        <v>0</v>
      </c>
    </row>
    <row r="103" spans="1:22" ht="34" x14ac:dyDescent="0.2">
      <c r="A103" s="4" t="s">
        <v>27</v>
      </c>
      <c r="B103" s="8">
        <v>1982</v>
      </c>
      <c r="C103" s="41" t="s">
        <v>228</v>
      </c>
      <c r="D103" s="8">
        <v>0</v>
      </c>
      <c r="E103" s="8"/>
      <c r="F103" s="8">
        <v>0</v>
      </c>
      <c r="G103" s="8"/>
      <c r="H103" s="8">
        <v>1</v>
      </c>
      <c r="I103" s="13"/>
      <c r="J103" s="8"/>
      <c r="K103" s="8">
        <v>1</v>
      </c>
      <c r="L103" s="8"/>
      <c r="M103" s="8">
        <v>2</v>
      </c>
      <c r="N103" s="8"/>
      <c r="O103" s="8">
        <v>1</v>
      </c>
      <c r="Q103" s="8"/>
      <c r="R103" s="8">
        <v>0</v>
      </c>
      <c r="S103" s="8"/>
      <c r="T103" s="8">
        <v>2</v>
      </c>
      <c r="U103" s="8"/>
      <c r="V103" s="8">
        <v>0</v>
      </c>
    </row>
    <row r="104" spans="1:22" ht="34" x14ac:dyDescent="0.2">
      <c r="A104" s="4" t="s">
        <v>73</v>
      </c>
      <c r="B104" s="8">
        <v>1982</v>
      </c>
      <c r="C104" s="41" t="s">
        <v>229</v>
      </c>
      <c r="D104" s="8">
        <v>0</v>
      </c>
      <c r="E104" s="8"/>
      <c r="F104" s="8">
        <v>0</v>
      </c>
      <c r="G104" s="8"/>
      <c r="H104" s="8">
        <v>1</v>
      </c>
      <c r="I104" s="13"/>
      <c r="J104" s="8"/>
      <c r="K104" s="8">
        <v>1</v>
      </c>
      <c r="L104" s="8"/>
      <c r="M104" s="8">
        <v>2</v>
      </c>
      <c r="N104" s="8"/>
      <c r="O104" s="8">
        <v>2</v>
      </c>
      <c r="Q104" s="8"/>
      <c r="R104" s="8">
        <v>0</v>
      </c>
      <c r="S104" s="8"/>
      <c r="T104" s="8">
        <v>2</v>
      </c>
      <c r="U104" s="8"/>
      <c r="V104" s="8">
        <v>0</v>
      </c>
    </row>
    <row r="105" spans="1:22" ht="40" x14ac:dyDescent="0.2">
      <c r="A105" s="4" t="s">
        <v>74</v>
      </c>
      <c r="B105" s="8">
        <v>1983</v>
      </c>
      <c r="C105" s="41" t="s">
        <v>230</v>
      </c>
      <c r="D105" s="8">
        <v>0</v>
      </c>
      <c r="E105" s="8"/>
      <c r="F105" s="8">
        <v>0</v>
      </c>
      <c r="G105" s="8"/>
      <c r="H105" s="8">
        <v>1</v>
      </c>
      <c r="I105" s="13"/>
      <c r="J105" s="8"/>
      <c r="K105" s="8">
        <v>1</v>
      </c>
      <c r="L105" s="8"/>
      <c r="M105" s="8">
        <v>2</v>
      </c>
      <c r="N105" s="8"/>
      <c r="O105" s="8">
        <v>2</v>
      </c>
      <c r="Q105" s="8"/>
      <c r="R105" s="8">
        <v>0</v>
      </c>
      <c r="S105" s="8"/>
      <c r="T105" s="8">
        <v>2</v>
      </c>
      <c r="U105" s="8"/>
      <c r="V105" s="8">
        <v>0</v>
      </c>
    </row>
    <row r="106" spans="1:22" ht="34" x14ac:dyDescent="0.2">
      <c r="A106" s="4" t="s">
        <v>75</v>
      </c>
      <c r="B106" s="8">
        <v>1983</v>
      </c>
      <c r="C106" s="41" t="s">
        <v>231</v>
      </c>
      <c r="D106" s="8">
        <v>0</v>
      </c>
      <c r="E106" s="8"/>
      <c r="F106" s="8">
        <v>0</v>
      </c>
      <c r="G106" s="8"/>
      <c r="H106" s="8">
        <v>1</v>
      </c>
      <c r="I106" s="13"/>
      <c r="J106" s="8"/>
      <c r="K106" s="8">
        <v>1</v>
      </c>
      <c r="L106" s="8"/>
      <c r="M106" s="8">
        <v>2</v>
      </c>
      <c r="N106" s="8"/>
      <c r="O106" s="8">
        <v>1</v>
      </c>
      <c r="Q106" s="8"/>
      <c r="R106" s="8">
        <v>0</v>
      </c>
      <c r="S106" s="8"/>
      <c r="T106" s="8">
        <v>2</v>
      </c>
      <c r="U106" s="8"/>
      <c r="V106" s="8">
        <v>0</v>
      </c>
    </row>
    <row r="107" spans="1:22" ht="34" x14ac:dyDescent="0.2">
      <c r="A107" s="4" t="s">
        <v>76</v>
      </c>
      <c r="B107" s="8">
        <v>1983</v>
      </c>
      <c r="C107" s="41" t="s">
        <v>232</v>
      </c>
      <c r="D107" s="8">
        <v>0</v>
      </c>
      <c r="E107" s="8"/>
      <c r="F107" s="8">
        <v>0</v>
      </c>
      <c r="G107" s="8"/>
      <c r="H107" s="8">
        <v>1</v>
      </c>
      <c r="I107" s="13"/>
      <c r="J107" s="8"/>
      <c r="K107" s="8">
        <v>1</v>
      </c>
      <c r="L107" s="8"/>
      <c r="M107" s="8">
        <v>2</v>
      </c>
      <c r="N107" s="8"/>
      <c r="O107" s="8">
        <v>2</v>
      </c>
      <c r="Q107" s="8"/>
      <c r="R107" s="8">
        <v>0</v>
      </c>
      <c r="S107" s="8"/>
      <c r="T107" s="8">
        <v>2</v>
      </c>
      <c r="U107" s="8"/>
      <c r="V107" s="8">
        <v>0</v>
      </c>
    </row>
    <row r="108" spans="1:22" ht="34" x14ac:dyDescent="0.2">
      <c r="A108" s="4" t="s">
        <v>77</v>
      </c>
      <c r="B108" s="8">
        <v>1984</v>
      </c>
      <c r="C108" s="41" t="s">
        <v>233</v>
      </c>
      <c r="D108" s="8">
        <v>0</v>
      </c>
      <c r="E108" s="8"/>
      <c r="F108" s="8">
        <v>0</v>
      </c>
      <c r="G108" s="8"/>
      <c r="H108" s="8">
        <v>1</v>
      </c>
      <c r="I108" s="13"/>
      <c r="J108" s="8"/>
      <c r="K108" s="8">
        <v>1</v>
      </c>
      <c r="L108" s="8"/>
      <c r="M108" s="8">
        <v>2</v>
      </c>
      <c r="N108" s="8"/>
      <c r="O108" s="8">
        <v>2</v>
      </c>
      <c r="Q108" s="8"/>
      <c r="R108" s="8">
        <v>0</v>
      </c>
      <c r="S108" s="8"/>
      <c r="T108" s="8">
        <v>2</v>
      </c>
      <c r="U108" s="8"/>
      <c r="V108" s="8">
        <v>0</v>
      </c>
    </row>
    <row r="109" spans="1:22" ht="60" x14ac:dyDescent="0.2">
      <c r="A109" s="10" t="s">
        <v>213</v>
      </c>
      <c r="B109" s="10" t="s">
        <v>214</v>
      </c>
      <c r="D109" s="6" t="s">
        <v>169</v>
      </c>
      <c r="E109" s="6"/>
      <c r="F109" s="6" t="s">
        <v>170</v>
      </c>
      <c r="G109" s="6"/>
      <c r="H109" s="6" t="s">
        <v>171</v>
      </c>
      <c r="I109" s="12"/>
      <c r="J109" s="6"/>
      <c r="K109" s="6" t="s">
        <v>23</v>
      </c>
      <c r="L109" s="6"/>
      <c r="M109" s="6" t="s">
        <v>172</v>
      </c>
      <c r="N109" s="6"/>
      <c r="O109" s="6" t="s">
        <v>173</v>
      </c>
      <c r="Q109" s="6"/>
      <c r="R109" s="6" t="s">
        <v>174</v>
      </c>
      <c r="S109" s="6"/>
      <c r="T109" s="6" t="s">
        <v>107</v>
      </c>
      <c r="U109" s="6"/>
      <c r="V109" s="6" t="s">
        <v>108</v>
      </c>
    </row>
    <row r="110" spans="1:22" ht="34" x14ac:dyDescent="0.2">
      <c r="A110" s="5" t="s">
        <v>78</v>
      </c>
      <c r="B110" s="9">
        <v>1984</v>
      </c>
      <c r="C110" s="41" t="s">
        <v>234</v>
      </c>
      <c r="D110" s="9">
        <v>0</v>
      </c>
      <c r="E110" s="9"/>
      <c r="F110" s="9">
        <v>0</v>
      </c>
      <c r="G110" s="9"/>
      <c r="H110" s="9">
        <v>1</v>
      </c>
      <c r="I110" s="13"/>
      <c r="J110" s="9"/>
      <c r="K110" s="9">
        <v>1</v>
      </c>
      <c r="L110" s="9"/>
      <c r="M110" s="9">
        <v>2</v>
      </c>
      <c r="N110" s="9"/>
      <c r="O110" s="9">
        <v>1</v>
      </c>
      <c r="Q110" s="9"/>
      <c r="R110" s="9">
        <v>0</v>
      </c>
      <c r="S110" s="9"/>
      <c r="T110" s="9">
        <v>2</v>
      </c>
      <c r="U110" s="9"/>
      <c r="V110" s="9">
        <v>0</v>
      </c>
    </row>
    <row r="111" spans="1:22" ht="40" x14ac:dyDescent="0.2">
      <c r="A111" s="5" t="s">
        <v>79</v>
      </c>
      <c r="B111" s="9">
        <v>1984</v>
      </c>
      <c r="C111" s="41" t="s">
        <v>235</v>
      </c>
      <c r="D111" s="9">
        <v>0</v>
      </c>
      <c r="E111" s="9"/>
      <c r="F111" s="9">
        <v>0</v>
      </c>
      <c r="G111" s="9"/>
      <c r="H111" s="9">
        <v>1</v>
      </c>
      <c r="I111" s="13"/>
      <c r="J111" s="9"/>
      <c r="K111" s="9">
        <v>1</v>
      </c>
      <c r="L111" s="9"/>
      <c r="M111" s="9">
        <v>2</v>
      </c>
      <c r="N111" s="9"/>
      <c r="O111" s="9">
        <v>1</v>
      </c>
      <c r="Q111" s="9"/>
      <c r="R111" s="9">
        <v>0</v>
      </c>
      <c r="S111" s="9"/>
      <c r="T111" s="9">
        <v>2</v>
      </c>
      <c r="U111" s="9"/>
      <c r="V111" s="9">
        <v>0</v>
      </c>
    </row>
    <row r="112" spans="1:22" ht="34" x14ac:dyDescent="0.2">
      <c r="A112" s="5" t="s">
        <v>80</v>
      </c>
      <c r="B112" s="9">
        <v>1984</v>
      </c>
      <c r="C112" s="41" t="s">
        <v>236</v>
      </c>
      <c r="D112" s="9">
        <v>0</v>
      </c>
      <c r="E112" s="9"/>
      <c r="F112" s="9">
        <v>0</v>
      </c>
      <c r="G112" s="9"/>
      <c r="H112" s="9">
        <v>1</v>
      </c>
      <c r="I112" s="13"/>
      <c r="J112" s="9"/>
      <c r="K112" s="9">
        <v>1</v>
      </c>
      <c r="L112" s="9"/>
      <c r="M112" s="9">
        <v>2</v>
      </c>
      <c r="N112" s="9"/>
      <c r="O112" s="9">
        <v>1</v>
      </c>
      <c r="Q112" s="9"/>
      <c r="R112" s="9">
        <v>0</v>
      </c>
      <c r="S112" s="9"/>
      <c r="T112" s="9">
        <v>2</v>
      </c>
      <c r="U112" s="9"/>
      <c r="V112" s="9">
        <v>0</v>
      </c>
    </row>
    <row r="113" spans="1:22" ht="34" x14ac:dyDescent="0.2">
      <c r="A113" s="5" t="s">
        <v>81</v>
      </c>
      <c r="B113" s="9">
        <v>1985</v>
      </c>
      <c r="C113" s="41" t="s">
        <v>237</v>
      </c>
      <c r="D113" s="9">
        <v>0</v>
      </c>
      <c r="E113" s="9"/>
      <c r="F113" s="9">
        <v>0</v>
      </c>
      <c r="G113" s="9"/>
      <c r="H113" s="9">
        <v>1</v>
      </c>
      <c r="I113" s="13"/>
      <c r="J113" s="9"/>
      <c r="K113" s="9">
        <v>1</v>
      </c>
      <c r="L113" s="9"/>
      <c r="M113" s="9">
        <v>2</v>
      </c>
      <c r="N113" s="9"/>
      <c r="O113" s="9">
        <v>1</v>
      </c>
      <c r="Q113" s="9"/>
      <c r="R113" s="9">
        <v>0</v>
      </c>
      <c r="S113" s="9"/>
      <c r="T113" s="9">
        <v>2</v>
      </c>
      <c r="U113" s="9"/>
      <c r="V113" s="9">
        <v>0</v>
      </c>
    </row>
    <row r="114" spans="1:22" ht="40" x14ac:dyDescent="0.2">
      <c r="A114" s="5" t="s">
        <v>82</v>
      </c>
      <c r="B114" s="9">
        <v>1985</v>
      </c>
      <c r="C114" s="41" t="s">
        <v>238</v>
      </c>
      <c r="D114" s="9">
        <v>0</v>
      </c>
      <c r="E114" s="9"/>
      <c r="F114" s="9">
        <v>0</v>
      </c>
      <c r="G114" s="9"/>
      <c r="H114" s="9">
        <v>1</v>
      </c>
      <c r="I114" s="13"/>
      <c r="J114" s="9"/>
      <c r="K114" s="9">
        <v>1</v>
      </c>
      <c r="L114" s="9"/>
      <c r="M114" s="9">
        <v>2</v>
      </c>
      <c r="N114" s="9"/>
      <c r="O114" s="9">
        <v>1</v>
      </c>
      <c r="Q114" s="9"/>
      <c r="R114" s="9">
        <v>0</v>
      </c>
      <c r="S114" s="9"/>
      <c r="T114" s="9">
        <v>2</v>
      </c>
      <c r="U114" s="9"/>
      <c r="V114" s="9">
        <v>0</v>
      </c>
    </row>
    <row r="115" spans="1:22" ht="34" x14ac:dyDescent="0.2">
      <c r="A115" s="5" t="s">
        <v>83</v>
      </c>
      <c r="B115" s="9">
        <v>1986</v>
      </c>
      <c r="C115" s="41" t="s">
        <v>239</v>
      </c>
      <c r="D115" s="9">
        <v>0</v>
      </c>
      <c r="E115" s="9"/>
      <c r="F115" s="9">
        <v>0</v>
      </c>
      <c r="G115" s="9"/>
      <c r="H115" s="9">
        <v>1</v>
      </c>
      <c r="I115" s="13"/>
      <c r="J115" s="9"/>
      <c r="K115" s="9">
        <v>1</v>
      </c>
      <c r="L115" s="9"/>
      <c r="M115" s="9">
        <v>2</v>
      </c>
      <c r="N115" s="9"/>
      <c r="O115" s="9">
        <v>2</v>
      </c>
      <c r="Q115" s="9"/>
      <c r="R115" s="9">
        <v>0</v>
      </c>
      <c r="S115" s="9"/>
      <c r="T115" s="9">
        <v>2</v>
      </c>
      <c r="U115" s="9"/>
      <c r="V115" s="9">
        <v>0</v>
      </c>
    </row>
    <row r="116" spans="1:22" ht="34" x14ac:dyDescent="0.2">
      <c r="A116" s="5" t="s">
        <v>84</v>
      </c>
      <c r="B116" s="9">
        <v>1986</v>
      </c>
      <c r="C116" s="41" t="s">
        <v>240</v>
      </c>
      <c r="D116" s="9">
        <v>0</v>
      </c>
      <c r="E116" s="9"/>
      <c r="F116" s="9">
        <v>0</v>
      </c>
      <c r="G116" s="9"/>
      <c r="H116" s="9">
        <v>1</v>
      </c>
      <c r="I116" s="13"/>
      <c r="J116" s="9"/>
      <c r="K116" s="9">
        <v>1</v>
      </c>
      <c r="L116" s="9"/>
      <c r="M116" s="9">
        <v>2</v>
      </c>
      <c r="N116" s="9"/>
      <c r="O116" s="9">
        <v>2</v>
      </c>
      <c r="Q116" s="9"/>
      <c r="R116" s="9">
        <v>0</v>
      </c>
      <c r="S116" s="9"/>
      <c r="T116" s="9">
        <v>2</v>
      </c>
      <c r="U116" s="9"/>
      <c r="V116" s="9">
        <v>0</v>
      </c>
    </row>
    <row r="117" spans="1:22" ht="40" x14ac:dyDescent="0.2">
      <c r="A117" s="5" t="s">
        <v>85</v>
      </c>
      <c r="B117" s="9">
        <v>1986</v>
      </c>
      <c r="C117" s="41" t="s">
        <v>241</v>
      </c>
      <c r="D117" s="9">
        <v>0</v>
      </c>
      <c r="E117" s="9"/>
      <c r="F117" s="9">
        <v>0</v>
      </c>
      <c r="G117" s="9"/>
      <c r="H117" s="9">
        <v>1</v>
      </c>
      <c r="I117" s="13"/>
      <c r="J117" s="9"/>
      <c r="K117" s="9">
        <v>1</v>
      </c>
      <c r="L117" s="9"/>
      <c r="M117" s="9">
        <v>2</v>
      </c>
      <c r="N117" s="9"/>
      <c r="O117" s="9">
        <v>2</v>
      </c>
      <c r="Q117" s="9"/>
      <c r="R117" s="9">
        <v>0</v>
      </c>
      <c r="S117" s="9"/>
      <c r="T117" s="9">
        <v>2</v>
      </c>
      <c r="U117" s="9"/>
      <c r="V117" s="9">
        <v>0</v>
      </c>
    </row>
    <row r="118" spans="1:22" ht="34" x14ac:dyDescent="0.2">
      <c r="A118" s="5" t="s">
        <v>86</v>
      </c>
      <c r="B118" s="9">
        <v>1986</v>
      </c>
      <c r="C118" s="41" t="s">
        <v>242</v>
      </c>
      <c r="D118" s="9">
        <v>0</v>
      </c>
      <c r="E118" s="9"/>
      <c r="F118" s="9">
        <v>0</v>
      </c>
      <c r="G118" s="9"/>
      <c r="H118" s="9">
        <v>1</v>
      </c>
      <c r="I118" s="13"/>
      <c r="J118" s="9"/>
      <c r="K118" s="9">
        <v>1</v>
      </c>
      <c r="L118" s="9"/>
      <c r="M118" s="9">
        <v>2</v>
      </c>
      <c r="N118" s="9"/>
      <c r="O118" s="9">
        <v>1</v>
      </c>
      <c r="Q118" s="9"/>
      <c r="R118" s="9">
        <v>0</v>
      </c>
      <c r="S118" s="9"/>
      <c r="T118" s="9">
        <v>2</v>
      </c>
      <c r="U118" s="9"/>
      <c r="V118" s="9">
        <v>0</v>
      </c>
    </row>
    <row r="119" spans="1:22" ht="60" x14ac:dyDescent="0.2">
      <c r="A119" s="10" t="s">
        <v>213</v>
      </c>
      <c r="B119" s="10" t="s">
        <v>214</v>
      </c>
      <c r="D119" s="6" t="s">
        <v>169</v>
      </c>
      <c r="E119" s="6"/>
      <c r="F119" s="6" t="s">
        <v>170</v>
      </c>
      <c r="G119" s="6"/>
      <c r="H119" s="6" t="s">
        <v>171</v>
      </c>
      <c r="I119" s="12"/>
      <c r="J119" s="6"/>
      <c r="K119" s="6" t="s">
        <v>23</v>
      </c>
      <c r="L119" s="6"/>
      <c r="M119" s="6" t="s">
        <v>172</v>
      </c>
      <c r="N119" s="6"/>
      <c r="O119" s="6" t="s">
        <v>173</v>
      </c>
      <c r="Q119" s="6"/>
      <c r="R119" s="6" t="s">
        <v>174</v>
      </c>
      <c r="S119" s="6"/>
      <c r="T119" s="6" t="s">
        <v>107</v>
      </c>
      <c r="U119" s="6"/>
      <c r="V119" s="6" t="s">
        <v>108</v>
      </c>
    </row>
    <row r="120" spans="1:22" ht="34" x14ac:dyDescent="0.2">
      <c r="A120" s="3" t="s">
        <v>87</v>
      </c>
      <c r="B120" s="7">
        <v>1986</v>
      </c>
      <c r="C120" s="41" t="s">
        <v>243</v>
      </c>
      <c r="D120" s="7">
        <v>0</v>
      </c>
      <c r="E120" s="7"/>
      <c r="F120" s="7">
        <v>0</v>
      </c>
      <c r="G120" s="7"/>
      <c r="H120" s="7">
        <v>1</v>
      </c>
      <c r="I120" s="13"/>
      <c r="J120" s="7"/>
      <c r="K120" s="7">
        <v>1</v>
      </c>
      <c r="L120" s="7"/>
      <c r="M120" s="7">
        <v>2</v>
      </c>
      <c r="N120" s="7"/>
      <c r="O120" s="7">
        <v>1</v>
      </c>
      <c r="Q120" s="7"/>
      <c r="R120" s="7">
        <v>0</v>
      </c>
      <c r="S120" s="7"/>
      <c r="T120" s="7">
        <v>2</v>
      </c>
      <c r="U120" s="7"/>
      <c r="V120" s="7">
        <v>0</v>
      </c>
    </row>
    <row r="121" spans="1:22" ht="34" x14ac:dyDescent="0.2">
      <c r="A121" s="3" t="s">
        <v>88</v>
      </c>
      <c r="B121" s="7">
        <v>1987</v>
      </c>
      <c r="C121" s="41" t="s">
        <v>244</v>
      </c>
      <c r="D121" s="7">
        <v>0</v>
      </c>
      <c r="E121" s="7"/>
      <c r="F121" s="7">
        <v>0</v>
      </c>
      <c r="G121" s="7"/>
      <c r="H121" s="7">
        <v>1</v>
      </c>
      <c r="I121" s="13"/>
      <c r="J121" s="7"/>
      <c r="K121" s="7">
        <v>1</v>
      </c>
      <c r="L121" s="7"/>
      <c r="M121" s="7">
        <v>2</v>
      </c>
      <c r="N121" s="7"/>
      <c r="O121" s="7">
        <v>1</v>
      </c>
      <c r="Q121" s="7"/>
      <c r="R121" s="7">
        <v>0</v>
      </c>
      <c r="S121" s="7"/>
      <c r="T121" s="7">
        <v>2</v>
      </c>
      <c r="U121" s="7"/>
      <c r="V121" s="7">
        <v>0</v>
      </c>
    </row>
    <row r="122" spans="1:22" ht="34" x14ac:dyDescent="0.2">
      <c r="A122" s="3" t="s">
        <v>89</v>
      </c>
      <c r="B122" s="7">
        <v>1987</v>
      </c>
      <c r="C122" s="41" t="s">
        <v>245</v>
      </c>
      <c r="D122" s="7">
        <v>0</v>
      </c>
      <c r="E122" s="7"/>
      <c r="F122" s="7">
        <v>0</v>
      </c>
      <c r="G122" s="7"/>
      <c r="H122" s="7">
        <v>1</v>
      </c>
      <c r="I122" s="13"/>
      <c r="J122" s="7"/>
      <c r="K122" s="7">
        <v>1</v>
      </c>
      <c r="L122" s="7"/>
      <c r="M122" s="7">
        <v>2</v>
      </c>
      <c r="N122" s="7"/>
      <c r="O122" s="7">
        <v>2</v>
      </c>
      <c r="Q122" s="7"/>
      <c r="R122" s="7">
        <v>0</v>
      </c>
      <c r="S122" s="7"/>
      <c r="T122" s="7">
        <v>2</v>
      </c>
      <c r="U122" s="7"/>
      <c r="V122" s="7">
        <v>0</v>
      </c>
    </row>
    <row r="123" spans="1:22" ht="34" x14ac:dyDescent="0.2">
      <c r="A123" s="3" t="s">
        <v>8</v>
      </c>
      <c r="B123" s="7">
        <v>1987</v>
      </c>
      <c r="C123" s="41" t="s">
        <v>246</v>
      </c>
      <c r="D123" s="7">
        <v>0</v>
      </c>
      <c r="E123" s="7"/>
      <c r="F123" s="7">
        <v>0</v>
      </c>
      <c r="G123" s="7"/>
      <c r="H123" s="7">
        <v>1</v>
      </c>
      <c r="I123" s="13"/>
      <c r="J123" s="7"/>
      <c r="K123" s="7">
        <v>1</v>
      </c>
      <c r="L123" s="7"/>
      <c r="M123" s="7">
        <v>2</v>
      </c>
      <c r="N123" s="7"/>
      <c r="O123" s="7">
        <v>2</v>
      </c>
      <c r="Q123" s="7"/>
      <c r="R123" s="7">
        <v>0</v>
      </c>
      <c r="S123" s="7"/>
      <c r="T123" s="7">
        <v>2</v>
      </c>
      <c r="U123" s="7"/>
      <c r="V123" s="7">
        <v>0</v>
      </c>
    </row>
    <row r="124" spans="1:22" ht="40" x14ac:dyDescent="0.2">
      <c r="A124" s="3" t="s">
        <v>90</v>
      </c>
      <c r="B124" s="7">
        <v>1987</v>
      </c>
      <c r="C124" s="41" t="s">
        <v>247</v>
      </c>
      <c r="D124" s="7">
        <v>0</v>
      </c>
      <c r="E124" s="7"/>
      <c r="F124" s="7">
        <v>0</v>
      </c>
      <c r="G124" s="7"/>
      <c r="H124" s="7">
        <v>1</v>
      </c>
      <c r="I124" s="13"/>
      <c r="J124" s="7"/>
      <c r="K124" s="7">
        <v>1</v>
      </c>
      <c r="L124" s="7"/>
      <c r="M124" s="7">
        <v>2</v>
      </c>
      <c r="N124" s="7"/>
      <c r="O124" s="7">
        <v>1</v>
      </c>
      <c r="Q124" s="7"/>
      <c r="R124" s="7">
        <v>0</v>
      </c>
      <c r="S124" s="7"/>
      <c r="T124" s="7">
        <v>2</v>
      </c>
      <c r="U124" s="7"/>
      <c r="V124" s="7">
        <v>0</v>
      </c>
    </row>
    <row r="125" spans="1:22" ht="34" x14ac:dyDescent="0.2">
      <c r="A125" s="3" t="s">
        <v>91</v>
      </c>
      <c r="B125" s="7">
        <v>1987</v>
      </c>
      <c r="C125" s="41" t="s">
        <v>248</v>
      </c>
      <c r="D125" s="7">
        <v>0</v>
      </c>
      <c r="E125" s="7"/>
      <c r="F125" s="7">
        <v>0</v>
      </c>
      <c r="G125" s="7"/>
      <c r="H125" s="7">
        <v>1</v>
      </c>
      <c r="I125" s="13"/>
      <c r="J125" s="7"/>
      <c r="K125" s="7">
        <v>1</v>
      </c>
      <c r="L125" s="7"/>
      <c r="M125" s="7">
        <v>2</v>
      </c>
      <c r="N125" s="7"/>
      <c r="O125" s="7">
        <v>2</v>
      </c>
      <c r="Q125" s="7"/>
      <c r="R125" s="7">
        <v>0</v>
      </c>
      <c r="S125" s="7"/>
      <c r="T125" s="7">
        <v>2</v>
      </c>
      <c r="U125" s="7"/>
      <c r="V125" s="7">
        <v>0</v>
      </c>
    </row>
    <row r="126" spans="1:22" ht="40" x14ac:dyDescent="0.2">
      <c r="A126" s="3" t="s">
        <v>92</v>
      </c>
      <c r="B126" s="7">
        <v>1988</v>
      </c>
      <c r="C126" s="41" t="s">
        <v>249</v>
      </c>
      <c r="D126" s="7">
        <v>0</v>
      </c>
      <c r="E126" s="7"/>
      <c r="F126" s="7">
        <v>0</v>
      </c>
      <c r="G126" s="7"/>
      <c r="H126" s="7">
        <v>1</v>
      </c>
      <c r="I126" s="13"/>
      <c r="J126" s="7"/>
      <c r="K126" s="7">
        <v>1</v>
      </c>
      <c r="L126" s="7"/>
      <c r="M126" s="7">
        <v>2</v>
      </c>
      <c r="N126" s="7"/>
      <c r="O126" s="7">
        <v>1</v>
      </c>
      <c r="Q126" s="7"/>
      <c r="R126" s="7">
        <v>0</v>
      </c>
      <c r="S126" s="7"/>
      <c r="T126" s="7">
        <v>2</v>
      </c>
      <c r="U126" s="7"/>
      <c r="V126" s="7">
        <v>0</v>
      </c>
    </row>
    <row r="127" spans="1:22" ht="40" x14ac:dyDescent="0.2">
      <c r="A127" s="3" t="s">
        <v>93</v>
      </c>
      <c r="B127" s="7">
        <v>1989</v>
      </c>
      <c r="C127" s="41" t="s">
        <v>250</v>
      </c>
      <c r="D127" s="7">
        <v>0</v>
      </c>
      <c r="E127" s="7"/>
      <c r="F127" s="7">
        <v>1</v>
      </c>
      <c r="G127" s="7"/>
      <c r="H127" s="7">
        <v>1</v>
      </c>
      <c r="I127" s="13"/>
      <c r="J127" s="7"/>
      <c r="K127" s="7">
        <v>1</v>
      </c>
      <c r="L127" s="7"/>
      <c r="M127" s="7">
        <v>2</v>
      </c>
      <c r="N127" s="7"/>
      <c r="O127" s="7">
        <v>2</v>
      </c>
      <c r="Q127" s="7"/>
      <c r="R127" s="7">
        <v>0</v>
      </c>
      <c r="S127" s="7"/>
      <c r="T127" s="7">
        <v>2</v>
      </c>
      <c r="U127" s="7"/>
      <c r="V127" s="7">
        <v>0</v>
      </c>
    </row>
    <row r="128" spans="1:22" ht="34" x14ac:dyDescent="0.2">
      <c r="A128" s="3" t="s">
        <v>94</v>
      </c>
      <c r="B128" s="7">
        <v>1989</v>
      </c>
      <c r="C128" s="41" t="s">
        <v>251</v>
      </c>
      <c r="D128" s="7">
        <v>1</v>
      </c>
      <c r="E128" s="7"/>
      <c r="F128" s="7">
        <v>1</v>
      </c>
      <c r="G128" s="7"/>
      <c r="H128" s="7">
        <v>1</v>
      </c>
      <c r="I128" s="13"/>
      <c r="J128" s="7"/>
      <c r="K128" s="7">
        <v>1</v>
      </c>
      <c r="L128" s="7"/>
      <c r="M128" s="7">
        <v>2</v>
      </c>
      <c r="N128" s="7"/>
      <c r="O128" s="7">
        <v>2</v>
      </c>
      <c r="Q128" s="7"/>
      <c r="R128" s="7">
        <v>0</v>
      </c>
      <c r="S128" s="7"/>
      <c r="T128" s="7">
        <v>2</v>
      </c>
      <c r="U128" s="7"/>
      <c r="V128" s="7">
        <v>0</v>
      </c>
    </row>
    <row r="129" spans="1:22" ht="60" x14ac:dyDescent="0.2">
      <c r="A129" s="10" t="s">
        <v>213</v>
      </c>
      <c r="B129" s="10" t="s">
        <v>214</v>
      </c>
      <c r="D129" s="6" t="s">
        <v>169</v>
      </c>
      <c r="E129" s="6"/>
      <c r="F129" s="6" t="s">
        <v>170</v>
      </c>
      <c r="G129" s="6"/>
      <c r="H129" s="6" t="s">
        <v>171</v>
      </c>
      <c r="I129" s="12"/>
      <c r="J129" s="6"/>
      <c r="K129" s="6" t="s">
        <v>23</v>
      </c>
      <c r="L129" s="6"/>
      <c r="M129" s="6" t="s">
        <v>172</v>
      </c>
      <c r="N129" s="6"/>
      <c r="O129" s="6" t="s">
        <v>173</v>
      </c>
      <c r="Q129" s="6"/>
      <c r="R129" s="6" t="s">
        <v>174</v>
      </c>
      <c r="S129" s="6"/>
      <c r="T129" s="6" t="s">
        <v>107</v>
      </c>
      <c r="U129" s="6"/>
      <c r="V129" s="6" t="s">
        <v>108</v>
      </c>
    </row>
    <row r="130" spans="1:22" ht="34" x14ac:dyDescent="0.2">
      <c r="A130" s="4" t="s">
        <v>95</v>
      </c>
      <c r="B130" s="8">
        <v>1989</v>
      </c>
      <c r="C130" s="41" t="s">
        <v>252</v>
      </c>
      <c r="D130" s="8">
        <v>2</v>
      </c>
      <c r="E130" s="8"/>
      <c r="F130" s="8">
        <v>1</v>
      </c>
      <c r="G130" s="8"/>
      <c r="H130" s="8">
        <v>1</v>
      </c>
      <c r="I130" s="13"/>
      <c r="J130" s="8"/>
      <c r="K130" s="8">
        <v>1</v>
      </c>
      <c r="L130" s="8"/>
      <c r="M130" s="8">
        <v>2</v>
      </c>
      <c r="N130" s="8"/>
      <c r="O130" s="8">
        <v>2</v>
      </c>
      <c r="Q130" s="8"/>
      <c r="R130" s="8">
        <v>0</v>
      </c>
      <c r="S130" s="8"/>
      <c r="T130" s="8">
        <v>2</v>
      </c>
      <c r="U130" s="8"/>
      <c r="V130" s="8">
        <v>0</v>
      </c>
    </row>
    <row r="131" spans="1:22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22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22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22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22" x14ac:dyDescent="0.2">
      <c r="A135" s="4"/>
      <c r="B135" s="8"/>
      <c r="D135" s="8"/>
      <c r="E135" s="8"/>
      <c r="F135" s="8"/>
      <c r="G135" s="8"/>
      <c r="H135" s="8"/>
      <c r="I135" s="13"/>
      <c r="J135" s="13"/>
      <c r="K135" s="8"/>
      <c r="L135" s="8"/>
      <c r="M135" s="8"/>
      <c r="N135" s="8"/>
      <c r="O135" s="8"/>
    </row>
    <row r="136" spans="1:22" x14ac:dyDescent="0.2">
      <c r="A136" s="4"/>
      <c r="B136" s="8"/>
      <c r="D136" s="8"/>
      <c r="E136" s="8"/>
      <c r="F136" s="8"/>
      <c r="G136" s="8"/>
      <c r="H136" s="8"/>
      <c r="I136" s="13"/>
      <c r="J136" s="13"/>
      <c r="K136" s="8"/>
      <c r="L136" s="8"/>
      <c r="M136" s="8"/>
      <c r="N136" s="8"/>
      <c r="O136" s="8"/>
    </row>
    <row r="137" spans="1:22" x14ac:dyDescent="0.2">
      <c r="A137" s="4"/>
      <c r="B137" s="8"/>
      <c r="D137" s="8"/>
      <c r="E137" s="8"/>
      <c r="F137" s="8"/>
      <c r="G137" s="8"/>
      <c r="H137" s="8"/>
      <c r="I137" s="13"/>
      <c r="J137" s="13"/>
      <c r="K137" s="8"/>
      <c r="L137" s="8"/>
      <c r="M137" s="8"/>
      <c r="N137" s="8"/>
      <c r="O137" s="8"/>
    </row>
    <row r="138" spans="1:22" x14ac:dyDescent="0.2">
      <c r="A138" s="4"/>
      <c r="B138" s="8"/>
      <c r="D138" s="8"/>
      <c r="E138" s="8"/>
      <c r="F138" s="8"/>
      <c r="G138" s="8"/>
      <c r="H138" s="8"/>
      <c r="I138" s="13"/>
      <c r="J138" s="13"/>
      <c r="K138" s="8"/>
      <c r="L138" s="8"/>
      <c r="M138" s="8"/>
      <c r="N138" s="8"/>
      <c r="O138" s="8"/>
    </row>
    <row r="139" spans="1:22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22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22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22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22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22" x14ac:dyDescent="0.2">
      <c r="A144" s="5"/>
      <c r="B144" s="9"/>
      <c r="D144" s="9"/>
      <c r="E144" s="9"/>
      <c r="F144" s="9"/>
      <c r="G144" s="9"/>
      <c r="H144" s="9"/>
      <c r="I144" s="13"/>
      <c r="J144" s="13"/>
      <c r="K144" s="9"/>
      <c r="L144" s="9"/>
      <c r="M144" s="9"/>
      <c r="N144" s="9"/>
      <c r="O144" s="9"/>
    </row>
    <row r="145" spans="1:15" x14ac:dyDescent="0.2">
      <c r="A145" s="5"/>
      <c r="B145" s="9"/>
      <c r="D145" s="9"/>
      <c r="E145" s="9"/>
      <c r="F145" s="9"/>
      <c r="G145" s="9"/>
      <c r="H145" s="9"/>
      <c r="I145" s="13"/>
      <c r="J145" s="13"/>
      <c r="K145" s="9"/>
      <c r="L145" s="9"/>
      <c r="M145" s="9"/>
      <c r="N145" s="9"/>
      <c r="O145" s="9"/>
    </row>
    <row r="146" spans="1:15" x14ac:dyDescent="0.2">
      <c r="A146" s="5"/>
      <c r="B146" s="9"/>
      <c r="D146" s="9"/>
      <c r="E146" s="9"/>
      <c r="F146" s="9"/>
      <c r="G146" s="9"/>
      <c r="H146" s="9"/>
      <c r="I146" s="13"/>
      <c r="J146" s="13"/>
      <c r="K146" s="9"/>
      <c r="L146" s="9"/>
      <c r="M146" s="9"/>
      <c r="N146" s="9"/>
      <c r="O146" s="9"/>
    </row>
    <row r="147" spans="1:15" x14ac:dyDescent="0.2">
      <c r="A147" s="5"/>
      <c r="B147" s="9"/>
      <c r="D147" s="9"/>
      <c r="E147" s="9"/>
      <c r="F147" s="9"/>
      <c r="G147" s="9"/>
      <c r="H147" s="9"/>
      <c r="I147" s="13"/>
      <c r="J147" s="13"/>
      <c r="K147" s="9"/>
      <c r="L147" s="9"/>
      <c r="M147" s="9"/>
      <c r="N147" s="9"/>
      <c r="O147" s="9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3"/>
      <c r="B153" s="7"/>
      <c r="D153" s="7"/>
      <c r="E153" s="7"/>
      <c r="F153" s="7"/>
      <c r="G153" s="7"/>
      <c r="H153" s="7"/>
      <c r="I153" s="13"/>
      <c r="J153" s="13"/>
      <c r="K153" s="7"/>
      <c r="L153" s="7"/>
      <c r="M153" s="7"/>
      <c r="N153" s="7"/>
      <c r="O153" s="7"/>
    </row>
    <row r="154" spans="1:15" x14ac:dyDescent="0.2">
      <c r="A154" s="3"/>
      <c r="B154" s="7"/>
      <c r="D154" s="7"/>
      <c r="E154" s="7"/>
      <c r="F154" s="7"/>
      <c r="G154" s="7"/>
      <c r="H154" s="7"/>
      <c r="I154" s="13"/>
      <c r="J154" s="13"/>
      <c r="K154" s="7"/>
      <c r="L154" s="7"/>
      <c r="M154" s="7"/>
      <c r="N154" s="7"/>
      <c r="O154" s="7"/>
    </row>
    <row r="155" spans="1:15" x14ac:dyDescent="0.2">
      <c r="A155" s="3"/>
      <c r="B155" s="7"/>
      <c r="D155" s="7"/>
      <c r="E155" s="7"/>
      <c r="F155" s="7"/>
      <c r="G155" s="7"/>
      <c r="H155" s="7"/>
      <c r="I155" s="13"/>
      <c r="J155" s="13"/>
      <c r="K155" s="7"/>
      <c r="L155" s="7"/>
      <c r="M155" s="7"/>
      <c r="N155" s="7"/>
      <c r="O155" s="7"/>
    </row>
    <row r="156" spans="1:15" x14ac:dyDescent="0.2">
      <c r="A156" s="3"/>
      <c r="B156" s="7"/>
      <c r="D156" s="7"/>
      <c r="E156" s="7"/>
      <c r="F156" s="7"/>
      <c r="G156" s="7"/>
      <c r="H156" s="7"/>
      <c r="I156" s="13"/>
      <c r="J156" s="13"/>
      <c r="K156" s="7"/>
      <c r="L156" s="7"/>
      <c r="M156" s="7"/>
      <c r="N156" s="7"/>
      <c r="O156" s="7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4"/>
      <c r="B162" s="8"/>
      <c r="D162" s="8"/>
      <c r="E162" s="8"/>
      <c r="F162" s="8"/>
      <c r="G162" s="8"/>
      <c r="H162" s="8"/>
      <c r="I162" s="13"/>
      <c r="J162" s="13"/>
      <c r="K162" s="8"/>
      <c r="L162" s="8"/>
      <c r="M162" s="8"/>
      <c r="N162" s="8"/>
      <c r="O162" s="8"/>
    </row>
    <row r="163" spans="1:15" x14ac:dyDescent="0.2">
      <c r="A163" s="4"/>
      <c r="B163" s="8"/>
      <c r="D163" s="8"/>
      <c r="E163" s="8"/>
      <c r="F163" s="8"/>
      <c r="G163" s="8"/>
      <c r="H163" s="8"/>
      <c r="I163" s="13"/>
      <c r="J163" s="13"/>
      <c r="K163" s="8"/>
      <c r="L163" s="8"/>
      <c r="M163" s="8"/>
      <c r="N163" s="8"/>
      <c r="O163" s="8"/>
    </row>
    <row r="164" spans="1:15" x14ac:dyDescent="0.2">
      <c r="A164" s="4"/>
      <c r="B164" s="8"/>
      <c r="D164" s="8"/>
      <c r="E164" s="8"/>
      <c r="F164" s="8"/>
      <c r="G164" s="8"/>
      <c r="H164" s="8"/>
      <c r="I164" s="13"/>
      <c r="J164" s="13"/>
      <c r="K164" s="8"/>
      <c r="L164" s="8"/>
      <c r="M164" s="8"/>
      <c r="N164" s="8"/>
      <c r="O164" s="8"/>
    </row>
    <row r="165" spans="1:15" x14ac:dyDescent="0.2">
      <c r="A165" s="4"/>
      <c r="B165" s="8"/>
      <c r="D165" s="8"/>
      <c r="E165" s="8"/>
      <c r="F165" s="8"/>
      <c r="G165" s="8"/>
      <c r="H165" s="8"/>
      <c r="I165" s="13"/>
      <c r="J165" s="13"/>
      <c r="K165" s="8"/>
      <c r="L165" s="8"/>
      <c r="M165" s="8"/>
      <c r="N165" s="8"/>
      <c r="O165" s="8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5"/>
      <c r="B171" s="9"/>
      <c r="D171" s="9"/>
      <c r="E171" s="9"/>
      <c r="F171" s="9"/>
      <c r="G171" s="9"/>
      <c r="H171" s="9"/>
      <c r="I171" s="13"/>
      <c r="J171" s="13"/>
      <c r="K171" s="9"/>
      <c r="L171" s="9"/>
      <c r="M171" s="9"/>
      <c r="N171" s="9"/>
      <c r="O171" s="9"/>
    </row>
    <row r="172" spans="1:15" x14ac:dyDescent="0.2">
      <c r="A172" s="5"/>
      <c r="B172" s="9"/>
      <c r="D172" s="9"/>
      <c r="E172" s="9"/>
      <c r="F172" s="9"/>
      <c r="G172" s="9"/>
      <c r="H172" s="9"/>
      <c r="I172" s="13"/>
      <c r="J172" s="13"/>
      <c r="K172" s="9"/>
      <c r="L172" s="9"/>
      <c r="M172" s="9"/>
      <c r="N172" s="9"/>
      <c r="O172" s="9"/>
    </row>
    <row r="173" spans="1:15" x14ac:dyDescent="0.2">
      <c r="A173" s="5"/>
      <c r="B173" s="9"/>
      <c r="D173" s="9"/>
      <c r="E173" s="9"/>
      <c r="F173" s="9"/>
      <c r="G173" s="9"/>
      <c r="H173" s="9"/>
      <c r="I173" s="13"/>
      <c r="J173" s="13"/>
      <c r="K173" s="9"/>
      <c r="L173" s="9"/>
      <c r="M173" s="9"/>
      <c r="N173" s="9"/>
      <c r="O173" s="9"/>
    </row>
    <row r="174" spans="1:15" x14ac:dyDescent="0.2">
      <c r="A174" s="5"/>
      <c r="B174" s="9"/>
      <c r="D174" s="9"/>
      <c r="E174" s="9"/>
      <c r="F174" s="9"/>
      <c r="G174" s="9"/>
      <c r="H174" s="9"/>
      <c r="I174" s="13"/>
      <c r="J174" s="13"/>
      <c r="K174" s="9"/>
      <c r="L174" s="9"/>
      <c r="M174" s="9"/>
      <c r="N174" s="9"/>
      <c r="O174" s="9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3"/>
      <c r="B180" s="7"/>
      <c r="D180" s="7"/>
      <c r="E180" s="7"/>
      <c r="F180" s="7"/>
      <c r="G180" s="7"/>
      <c r="H180" s="7"/>
      <c r="I180" s="13"/>
      <c r="J180" s="13"/>
      <c r="K180" s="7"/>
      <c r="L180" s="7"/>
      <c r="M180" s="7"/>
      <c r="N180" s="7"/>
      <c r="O180" s="7"/>
    </row>
    <row r="181" spans="1:15" x14ac:dyDescent="0.2">
      <c r="A181" s="3"/>
      <c r="B181" s="7"/>
      <c r="D181" s="7"/>
      <c r="E181" s="7"/>
      <c r="F181" s="7"/>
      <c r="G181" s="7"/>
      <c r="H181" s="7"/>
      <c r="I181" s="13"/>
      <c r="J181" s="13"/>
      <c r="K181" s="7"/>
      <c r="L181" s="7"/>
      <c r="M181" s="7"/>
      <c r="N181" s="7"/>
      <c r="O181" s="7"/>
    </row>
    <row r="182" spans="1:15" x14ac:dyDescent="0.2">
      <c r="A182" s="3"/>
      <c r="B182" s="7"/>
      <c r="D182" s="7"/>
      <c r="E182" s="7"/>
      <c r="F182" s="7"/>
      <c r="G182" s="7"/>
      <c r="H182" s="7"/>
      <c r="I182" s="13"/>
      <c r="J182" s="13"/>
      <c r="K182" s="7"/>
      <c r="L182" s="7"/>
      <c r="M182" s="7"/>
      <c r="N182" s="7"/>
      <c r="O182" s="7"/>
    </row>
    <row r="183" spans="1:15" x14ac:dyDescent="0.2">
      <c r="A183" s="3"/>
      <c r="B183" s="7"/>
      <c r="D183" s="7"/>
      <c r="E183" s="7"/>
      <c r="F183" s="7"/>
      <c r="G183" s="7"/>
      <c r="H183" s="7"/>
      <c r="I183" s="13"/>
      <c r="J183" s="13"/>
      <c r="K183" s="7"/>
      <c r="L183" s="7"/>
      <c r="M183" s="7"/>
      <c r="N183" s="7"/>
      <c r="O183" s="7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  <row r="190" spans="1:15" x14ac:dyDescent="0.2">
      <c r="A190" s="4"/>
      <c r="B190" s="8"/>
      <c r="D190" s="8"/>
      <c r="E190" s="8"/>
      <c r="F190" s="8"/>
      <c r="G190" s="8"/>
      <c r="H190" s="8"/>
      <c r="I190" s="13"/>
      <c r="J190" s="13"/>
      <c r="K190" s="8"/>
      <c r="L190" s="8"/>
      <c r="M190" s="8"/>
      <c r="N190" s="8"/>
      <c r="O190" s="8"/>
    </row>
    <row r="191" spans="1:15" x14ac:dyDescent="0.2">
      <c r="A191" s="4"/>
      <c r="B191" s="8"/>
      <c r="D191" s="8"/>
      <c r="E191" s="8"/>
      <c r="F191" s="8"/>
      <c r="G191" s="8"/>
      <c r="H191" s="8"/>
      <c r="I191" s="13"/>
      <c r="J191" s="13"/>
      <c r="K191" s="8"/>
      <c r="L191" s="8"/>
      <c r="M191" s="8"/>
      <c r="N191" s="8"/>
      <c r="O191" s="8"/>
    </row>
    <row r="192" spans="1:15" x14ac:dyDescent="0.2">
      <c r="A192" s="4"/>
      <c r="B192" s="8"/>
      <c r="D192" s="8"/>
      <c r="E192" s="8"/>
      <c r="F192" s="8"/>
      <c r="G192" s="8"/>
      <c r="H192" s="8"/>
      <c r="I192" s="13"/>
      <c r="J192" s="13"/>
      <c r="K192" s="8"/>
      <c r="L192" s="8"/>
      <c r="M192" s="8"/>
      <c r="N192" s="8"/>
      <c r="O192" s="8"/>
    </row>
    <row r="193" spans="1:15" x14ac:dyDescent="0.2">
      <c r="A193" s="4"/>
      <c r="B193" s="8"/>
      <c r="D193" s="8"/>
      <c r="E193" s="8"/>
      <c r="F193" s="8"/>
      <c r="G193" s="8"/>
      <c r="H193" s="8"/>
      <c r="I193" s="13"/>
      <c r="J193" s="13"/>
      <c r="K193" s="8"/>
      <c r="L193" s="8"/>
      <c r="M193" s="8"/>
      <c r="N193" s="8"/>
      <c r="O193" s="8"/>
    </row>
  </sheetData>
  <mergeCells count="12">
    <mergeCell ref="F88:H88"/>
    <mergeCell ref="F16:I16"/>
    <mergeCell ref="F21:I21"/>
    <mergeCell ref="F26:I26"/>
    <mergeCell ref="A46:C46"/>
    <mergeCell ref="A86:B86"/>
    <mergeCell ref="F41:I41"/>
    <mergeCell ref="F1:K1"/>
    <mergeCell ref="F6:I6"/>
    <mergeCell ref="F11:I11"/>
    <mergeCell ref="F31:I31"/>
    <mergeCell ref="F36:I36"/>
  </mergeCells>
  <hyperlinks>
    <hyperlink ref="C93" r:id="rId1" xr:uid="{CF9C019F-3E6D-C143-88B5-8ACB7B18DC78}"/>
    <hyperlink ref="C94" r:id="rId2" xr:uid="{F1D554B6-42B5-9046-98B5-5EE00438AF19}"/>
    <hyperlink ref="C95" r:id="rId3" xr:uid="{6CC82BE2-B7B8-2142-9811-0C7056C6F8FC}"/>
    <hyperlink ref="C90" r:id="rId4" xr:uid="{DBB37C2B-23F7-4541-B9A3-05D189F885D5}"/>
    <hyperlink ref="C91" r:id="rId5" xr:uid="{B0C43173-9EAC-3949-8C18-C54D1E8FC353}"/>
    <hyperlink ref="C92" r:id="rId6" xr:uid="{3C725CE2-4540-4E48-BE9D-2368573D6685}"/>
    <hyperlink ref="C96" r:id="rId7" xr:uid="{431C7BB7-CCCC-6148-B77D-3EDB85B7EE8C}"/>
    <hyperlink ref="C97" r:id="rId8" xr:uid="{2D24E61A-C534-384C-AD39-F739D549EB84}"/>
    <hyperlink ref="C98" r:id="rId9" xr:uid="{DBD4E3F4-125F-A04B-B987-0957FCCABF8A}"/>
    <hyperlink ref="C100" r:id="rId10" xr:uid="{72BF9444-4D36-9346-8CEC-D6691B8D2AC6}"/>
    <hyperlink ref="C101" r:id="rId11" xr:uid="{EB64F75F-AC2A-DC47-B863-780B3D59A1F3}"/>
    <hyperlink ref="C102" r:id="rId12" xr:uid="{78D03309-04DE-714E-A534-3DD23D6F41DB}"/>
    <hyperlink ref="C103" r:id="rId13" xr:uid="{04199506-112E-C34F-809C-51EBF0CB3EA0}"/>
    <hyperlink ref="C104" r:id="rId14" xr:uid="{9095B503-0E79-E14F-B68F-622FC2B7274E}"/>
    <hyperlink ref="C105" r:id="rId15" xr:uid="{D95DB4DF-AE67-AC4D-80E5-64B3612BC6D3}"/>
    <hyperlink ref="C106" r:id="rId16" xr:uid="{02ECE670-6E62-1A40-ADE5-DCC9C8E76AD5}"/>
    <hyperlink ref="C107" r:id="rId17" xr:uid="{F0161EC0-FC30-3840-9BAF-EDBC14EAC510}"/>
    <hyperlink ref="C108" r:id="rId18" xr:uid="{AB03DB09-FCEE-484B-A129-9FA1EE91999D}"/>
    <hyperlink ref="C110" r:id="rId19" xr:uid="{EA8B45F7-1A31-934F-BB7C-69BB2B37F254}"/>
    <hyperlink ref="C111" r:id="rId20" xr:uid="{68761D67-B8BD-E24E-A6F1-6752C45F4990}"/>
    <hyperlink ref="C112" r:id="rId21" xr:uid="{8CD07224-405A-7F44-9194-E013D1BEB59A}"/>
    <hyperlink ref="C113" r:id="rId22" xr:uid="{B4B31931-CD50-C64B-85A0-929DBD446F37}"/>
    <hyperlink ref="C114" r:id="rId23" xr:uid="{96DCFA73-FF4B-F041-8B65-E8FF0DBAF264}"/>
    <hyperlink ref="C115" r:id="rId24" xr:uid="{057CA42D-80E2-9C4A-A3E3-2DDF3DF882D8}"/>
    <hyperlink ref="C116" r:id="rId25" xr:uid="{C2F1FF98-338C-7945-A78E-89A8235346AA}"/>
    <hyperlink ref="C117" r:id="rId26" xr:uid="{C4F4A01F-E204-F44E-95BD-D7D7AAF01FE5}"/>
    <hyperlink ref="C118" r:id="rId27" xr:uid="{501E7A89-EFBB-654B-944D-A830CE6447F2}"/>
    <hyperlink ref="C120" r:id="rId28" xr:uid="{C6894019-695B-D84D-99EE-33DB78E147C5}"/>
    <hyperlink ref="C121" r:id="rId29" xr:uid="{27C8C804-A109-CC48-A53F-3996FC3922E1}"/>
    <hyperlink ref="C122" r:id="rId30" xr:uid="{3119D986-AAE3-5142-86B6-1F2D559EC270}"/>
    <hyperlink ref="C123" r:id="rId31" xr:uid="{3C043E36-D8C9-A845-8D6E-AE00BEC45013}"/>
    <hyperlink ref="C124" r:id="rId32" xr:uid="{1F7DED7C-5BE4-2741-A03B-AA42B54F0FDA}"/>
    <hyperlink ref="C125" r:id="rId33" xr:uid="{B691F284-83D1-5F43-82F0-C99AF43FA11F}"/>
    <hyperlink ref="C126" r:id="rId34" xr:uid="{D46B5431-1681-1B45-8FA6-6C9EFD638E69}"/>
    <hyperlink ref="C127" r:id="rId35" xr:uid="{3336B55C-F578-664E-B811-1778F3F8214A}"/>
    <hyperlink ref="C128" r:id="rId36" xr:uid="{88C924B5-50ED-6A4D-9270-F62A0E3DE4F0}"/>
    <hyperlink ref="C130" r:id="rId37" xr:uid="{50EED3A7-DE54-E44B-BD66-1303414F147E}"/>
  </hyperlinks>
  <pageMargins left="0.7" right="0.7" top="0.75" bottom="0.75" header="0.3" footer="0.3"/>
  <drawing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A4F8-B34C-0C4C-B9AA-3F8A7B0FA34C}">
  <sheetPr codeName="Sheet7"/>
  <dimension ref="A1:V192"/>
  <sheetViews>
    <sheetView tabSelected="1" topLeftCell="A68" zoomScale="120" zoomScaleNormal="120" workbookViewId="0">
      <pane xSplit="1" topLeftCell="N1" activePane="topRight" state="frozen"/>
      <selection activeCell="A88" sqref="A88"/>
      <selection pane="topRight" activeCell="R75" sqref="R75"/>
    </sheetView>
  </sheetViews>
  <sheetFormatPr baseColWidth="10" defaultRowHeight="19" x14ac:dyDescent="0.2"/>
  <cols>
    <col min="1" max="3" width="30.83203125" style="1" customWidth="1"/>
    <col min="4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4" width="10.83203125" style="1" customWidth="1"/>
    <col min="15" max="15" width="30.83203125" style="1" customWidth="1"/>
    <col min="16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5" ht="20" customHeight="1" x14ac:dyDescent="0.2">
      <c r="F1" s="42" t="s">
        <v>110</v>
      </c>
      <c r="G1" s="43"/>
      <c r="H1" s="43"/>
      <c r="I1" s="43"/>
      <c r="J1" s="43"/>
      <c r="K1" s="44"/>
      <c r="L1" s="22"/>
      <c r="M1" s="40" t="s">
        <v>163</v>
      </c>
      <c r="N1" s="39" t="s">
        <v>164</v>
      </c>
      <c r="O1" s="39" t="s">
        <v>165</v>
      </c>
    </row>
    <row r="2" spans="6:15" ht="20" x14ac:dyDescent="0.2">
      <c r="F2" s="4" t="s">
        <v>3</v>
      </c>
      <c r="G2" s="4"/>
      <c r="H2" s="4" t="s">
        <v>109</v>
      </c>
      <c r="I2" s="4" t="s">
        <v>1</v>
      </c>
      <c r="J2" s="4"/>
      <c r="K2" s="4" t="s">
        <v>2</v>
      </c>
      <c r="L2" s="23"/>
      <c r="M2" s="33">
        <v>1</v>
      </c>
      <c r="N2" s="34">
        <v>9</v>
      </c>
      <c r="O2" s="34" t="s">
        <v>169</v>
      </c>
    </row>
    <row r="3" spans="6:15" ht="20" x14ac:dyDescent="0.2">
      <c r="F3" s="4" t="s">
        <v>4</v>
      </c>
      <c r="G3" s="4"/>
      <c r="H3" s="33" t="s">
        <v>136</v>
      </c>
      <c r="I3" s="4">
        <v>0</v>
      </c>
      <c r="J3" s="4"/>
      <c r="K3" s="4">
        <v>0</v>
      </c>
      <c r="L3" s="23"/>
      <c r="M3" s="33">
        <v>5</v>
      </c>
      <c r="N3" s="34">
        <v>9</v>
      </c>
      <c r="O3" s="34" t="s">
        <v>170</v>
      </c>
    </row>
    <row r="4" spans="6:15" ht="20" x14ac:dyDescent="0.2">
      <c r="F4" s="4" t="s">
        <v>6</v>
      </c>
      <c r="G4" s="4"/>
      <c r="H4" s="33" t="s">
        <v>137</v>
      </c>
      <c r="I4" s="4">
        <v>1</v>
      </c>
      <c r="J4" s="4"/>
      <c r="K4" s="4">
        <v>0</v>
      </c>
      <c r="L4" s="23"/>
      <c r="M4" s="33">
        <v>9</v>
      </c>
      <c r="N4" s="34">
        <v>9</v>
      </c>
      <c r="O4" s="34" t="s">
        <v>171</v>
      </c>
    </row>
    <row r="5" spans="6:15" ht="20" x14ac:dyDescent="0.2">
      <c r="F5" s="4" t="s">
        <v>5</v>
      </c>
      <c r="G5" s="4"/>
      <c r="H5" s="33" t="s">
        <v>138</v>
      </c>
      <c r="I5" s="4">
        <v>2</v>
      </c>
      <c r="J5" s="4"/>
      <c r="K5" s="4">
        <v>0</v>
      </c>
      <c r="L5" s="23"/>
      <c r="M5" s="35">
        <v>13</v>
      </c>
      <c r="N5" s="36">
        <v>9</v>
      </c>
      <c r="O5" s="36" t="s">
        <v>166</v>
      </c>
    </row>
    <row r="6" spans="6:15" ht="19" customHeight="1" x14ac:dyDescent="0.2">
      <c r="F6" s="45" t="s">
        <v>111</v>
      </c>
      <c r="G6" s="46"/>
      <c r="H6" s="46"/>
      <c r="I6" s="47"/>
      <c r="J6" s="6"/>
      <c r="K6" s="5"/>
      <c r="L6" s="24"/>
      <c r="M6" s="35">
        <v>17</v>
      </c>
      <c r="N6" s="36">
        <v>9</v>
      </c>
      <c r="O6" s="36" t="s">
        <v>172</v>
      </c>
    </row>
    <row r="7" spans="6:15" ht="20" x14ac:dyDescent="0.2">
      <c r="F7" s="5" t="s">
        <v>3</v>
      </c>
      <c r="G7" s="5"/>
      <c r="H7" s="5" t="s">
        <v>109</v>
      </c>
      <c r="I7" s="5" t="s">
        <v>1</v>
      </c>
      <c r="J7" s="5"/>
      <c r="K7" s="5" t="s">
        <v>2</v>
      </c>
      <c r="L7" s="24"/>
      <c r="M7" s="35">
        <v>21</v>
      </c>
      <c r="N7" s="36">
        <v>9</v>
      </c>
      <c r="O7" s="36" t="s">
        <v>175</v>
      </c>
    </row>
    <row r="8" spans="6:15" ht="20" x14ac:dyDescent="0.2">
      <c r="F8" s="5" t="s">
        <v>19</v>
      </c>
      <c r="G8" s="5"/>
      <c r="H8" s="35" t="s">
        <v>139</v>
      </c>
      <c r="I8" s="5">
        <v>4</v>
      </c>
      <c r="J8" s="5"/>
      <c r="K8" s="5">
        <v>0</v>
      </c>
      <c r="L8" s="24"/>
      <c r="M8" s="37">
        <v>25</v>
      </c>
      <c r="N8" s="38">
        <v>9</v>
      </c>
      <c r="O8" s="38" t="s">
        <v>174</v>
      </c>
    </row>
    <row r="9" spans="6:15" ht="20" x14ac:dyDescent="0.2">
      <c r="F9" s="5" t="s">
        <v>15</v>
      </c>
      <c r="G9" s="5"/>
      <c r="H9" s="35" t="s">
        <v>140</v>
      </c>
      <c r="I9" s="5">
        <v>5</v>
      </c>
      <c r="J9" s="5"/>
      <c r="K9" s="5">
        <v>0</v>
      </c>
      <c r="L9" s="24"/>
      <c r="M9" s="37">
        <v>29</v>
      </c>
      <c r="N9" s="38">
        <v>9</v>
      </c>
      <c r="O9" s="38" t="s">
        <v>176</v>
      </c>
    </row>
    <row r="10" spans="6:15" ht="40" x14ac:dyDescent="0.2">
      <c r="F10" s="5" t="s">
        <v>16</v>
      </c>
      <c r="G10" s="5"/>
      <c r="H10" s="35" t="s">
        <v>141</v>
      </c>
      <c r="I10" s="5">
        <v>6</v>
      </c>
      <c r="J10" s="5"/>
      <c r="K10" s="5">
        <v>0</v>
      </c>
      <c r="L10" s="24"/>
      <c r="M10" s="37">
        <v>33</v>
      </c>
      <c r="N10" s="38">
        <v>9</v>
      </c>
      <c r="O10" s="38" t="s">
        <v>167</v>
      </c>
    </row>
    <row r="11" spans="6:15" ht="19" customHeight="1" x14ac:dyDescent="0.2">
      <c r="F11" s="48" t="s">
        <v>112</v>
      </c>
      <c r="G11" s="49"/>
      <c r="H11" s="49"/>
      <c r="I11" s="50"/>
      <c r="J11" s="2"/>
      <c r="K11" s="3"/>
      <c r="L11" s="20"/>
    </row>
    <row r="12" spans="6:15" ht="20" x14ac:dyDescent="0.2">
      <c r="F12" s="3" t="s">
        <v>3</v>
      </c>
      <c r="G12" s="3"/>
      <c r="H12" s="3" t="s">
        <v>109</v>
      </c>
      <c r="I12" s="3" t="s">
        <v>1</v>
      </c>
      <c r="J12" s="3"/>
      <c r="K12" s="3" t="s">
        <v>2</v>
      </c>
      <c r="L12" s="20"/>
    </row>
    <row r="13" spans="6:15" ht="20" x14ac:dyDescent="0.2">
      <c r="F13" s="3" t="s">
        <v>9</v>
      </c>
      <c r="G13" s="3"/>
      <c r="H13" s="37" t="s">
        <v>142</v>
      </c>
      <c r="I13" s="3">
        <v>8</v>
      </c>
      <c r="J13" s="3"/>
      <c r="K13" s="3">
        <v>0</v>
      </c>
      <c r="L13" s="20"/>
    </row>
    <row r="14" spans="6:15" ht="20" x14ac:dyDescent="0.2">
      <c r="F14" s="3" t="s">
        <v>10</v>
      </c>
      <c r="G14" s="3"/>
      <c r="H14" s="37" t="s">
        <v>143</v>
      </c>
      <c r="I14" s="3">
        <v>9</v>
      </c>
      <c r="J14" s="3"/>
      <c r="K14" s="3">
        <v>0</v>
      </c>
      <c r="L14" s="20"/>
    </row>
    <row r="15" spans="6:15" ht="20" x14ac:dyDescent="0.2">
      <c r="F15" s="3" t="s">
        <v>11</v>
      </c>
      <c r="G15" s="3"/>
      <c r="H15" s="37" t="s">
        <v>144</v>
      </c>
      <c r="I15" s="3">
        <v>10</v>
      </c>
      <c r="J15" s="3"/>
      <c r="K15" s="3">
        <v>0</v>
      </c>
      <c r="L15" s="20"/>
    </row>
    <row r="16" spans="6:15" ht="19" customHeight="1" x14ac:dyDescent="0.2">
      <c r="F16" s="42" t="s">
        <v>113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109</v>
      </c>
      <c r="I17" s="4" t="s">
        <v>1</v>
      </c>
      <c r="J17" s="4"/>
      <c r="K17" s="4" t="s">
        <v>2</v>
      </c>
      <c r="L17" s="23"/>
    </row>
    <row r="18" spans="6:12" ht="20" x14ac:dyDescent="0.2">
      <c r="F18" s="4" t="s">
        <v>20</v>
      </c>
      <c r="G18" s="4"/>
      <c r="H18" s="33" t="s">
        <v>145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146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147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114</v>
      </c>
      <c r="G21" s="46"/>
      <c r="H21" s="46"/>
      <c r="I21" s="47"/>
      <c r="J21" s="6"/>
      <c r="K21" s="5"/>
      <c r="L21" s="24"/>
    </row>
    <row r="22" spans="6:12" ht="20" x14ac:dyDescent="0.2">
      <c r="F22" s="5" t="s">
        <v>3</v>
      </c>
      <c r="G22" s="5"/>
      <c r="H22" s="5" t="s">
        <v>109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148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149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150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115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109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97</v>
      </c>
      <c r="G28" s="3"/>
      <c r="H28" s="37" t="s">
        <v>151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152</v>
      </c>
      <c r="I29" s="3">
        <v>21</v>
      </c>
      <c r="J29" s="3"/>
      <c r="K29" s="3">
        <v>0</v>
      </c>
      <c r="L29" s="20"/>
    </row>
    <row r="30" spans="6:12" ht="40" x14ac:dyDescent="0.2">
      <c r="F30" s="3" t="s">
        <v>25</v>
      </c>
      <c r="G30" s="3"/>
      <c r="H30" s="37" t="s">
        <v>153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116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109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98</v>
      </c>
      <c r="G33" s="4"/>
      <c r="H33" s="33" t="s">
        <v>154</v>
      </c>
      <c r="I33" s="4">
        <v>24</v>
      </c>
      <c r="J33" s="4"/>
      <c r="K33" s="4">
        <v>0</v>
      </c>
      <c r="L33" s="23"/>
    </row>
    <row r="34" spans="1:12" ht="20" x14ac:dyDescent="0.2">
      <c r="F34" s="4" t="s">
        <v>99</v>
      </c>
      <c r="G34" s="4"/>
      <c r="H34" s="33" t="s">
        <v>155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100</v>
      </c>
      <c r="G35" s="4"/>
      <c r="H35" s="33" t="s">
        <v>156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117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109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101</v>
      </c>
      <c r="G38" s="5"/>
      <c r="H38" s="35" t="s">
        <v>157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102</v>
      </c>
      <c r="G39" s="5"/>
      <c r="H39" s="35" t="s">
        <v>158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103</v>
      </c>
      <c r="G40" s="5"/>
      <c r="H40" s="35" t="s">
        <v>159</v>
      </c>
      <c r="I40" s="5">
        <v>30</v>
      </c>
      <c r="J40" s="5"/>
      <c r="K40" s="5">
        <v>0</v>
      </c>
      <c r="L40" s="24"/>
    </row>
    <row r="41" spans="1:12" ht="19" customHeight="1" x14ac:dyDescent="0.2">
      <c r="F41" s="55" t="s">
        <v>118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109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104</v>
      </c>
      <c r="G43" s="3"/>
      <c r="H43" s="37" t="s">
        <v>160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105</v>
      </c>
      <c r="G44" s="3"/>
      <c r="H44" s="37" t="s">
        <v>161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106</v>
      </c>
      <c r="G45" s="3"/>
      <c r="H45" s="37" t="s">
        <v>162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18</v>
      </c>
      <c r="B48" s="4">
        <v>0</v>
      </c>
      <c r="C48" s="4">
        <v>0</v>
      </c>
    </row>
    <row r="49" spans="1:22" ht="20" x14ac:dyDescent="0.2">
      <c r="A49" s="4" t="s">
        <v>128</v>
      </c>
      <c r="B49" s="4">
        <v>0</v>
      </c>
      <c r="C49" s="4">
        <v>1</v>
      </c>
    </row>
    <row r="50" spans="1:22" ht="20" x14ac:dyDescent="0.2">
      <c r="A50" s="4" t="s">
        <v>129</v>
      </c>
      <c r="B50" s="4">
        <v>0</v>
      </c>
      <c r="C50" s="4">
        <v>2</v>
      </c>
    </row>
    <row r="51" spans="1:22" ht="20" x14ac:dyDescent="0.2">
      <c r="A51" s="4" t="s">
        <v>130</v>
      </c>
      <c r="B51" s="4">
        <v>0</v>
      </c>
      <c r="C51" s="4">
        <v>3</v>
      </c>
    </row>
    <row r="52" spans="1:22" ht="20" x14ac:dyDescent="0.2">
      <c r="A52" s="4" t="s">
        <v>131</v>
      </c>
      <c r="B52" s="4">
        <v>0</v>
      </c>
      <c r="C52" s="4">
        <v>4</v>
      </c>
    </row>
    <row r="53" spans="1:22" ht="20" x14ac:dyDescent="0.2">
      <c r="A53" s="4" t="s">
        <v>132</v>
      </c>
      <c r="B53" s="4">
        <v>0</v>
      </c>
      <c r="C53" s="4">
        <v>5</v>
      </c>
    </row>
    <row r="54" spans="1:22" ht="20" x14ac:dyDescent="0.2">
      <c r="A54" s="4" t="s">
        <v>133</v>
      </c>
      <c r="B54" s="4">
        <v>0</v>
      </c>
      <c r="C54" s="4">
        <v>6</v>
      </c>
    </row>
    <row r="55" spans="1:22" ht="67" customHeight="1" x14ac:dyDescent="0.2">
      <c r="A55" s="4" t="s">
        <v>134</v>
      </c>
      <c r="B55" s="4">
        <v>0</v>
      </c>
      <c r="C55" s="4">
        <v>7</v>
      </c>
    </row>
    <row r="56" spans="1:22" ht="78" customHeight="1" x14ac:dyDescent="0.2">
      <c r="A56" s="4" t="s">
        <v>135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119</v>
      </c>
      <c r="D58" s="6" t="s">
        <v>169</v>
      </c>
      <c r="E58" s="25" t="s">
        <v>120</v>
      </c>
      <c r="F58" s="6" t="s">
        <v>170</v>
      </c>
      <c r="G58" s="2" t="s">
        <v>121</v>
      </c>
      <c r="H58" s="6" t="s">
        <v>171</v>
      </c>
      <c r="I58" s="12"/>
      <c r="J58" s="2" t="s">
        <v>122</v>
      </c>
      <c r="K58" s="6" t="s">
        <v>23</v>
      </c>
      <c r="L58" s="29" t="s">
        <v>123</v>
      </c>
      <c r="M58" s="6" t="s">
        <v>172</v>
      </c>
      <c r="N58" s="29" t="s">
        <v>124</v>
      </c>
      <c r="O58" s="6" t="s">
        <v>173</v>
      </c>
      <c r="Q58" s="2" t="s">
        <v>125</v>
      </c>
      <c r="R58" s="6" t="s">
        <v>174</v>
      </c>
      <c r="S58" s="2" t="s">
        <v>127</v>
      </c>
      <c r="T58" s="6" t="s">
        <v>107</v>
      </c>
      <c r="U58" s="29" t="s">
        <v>126</v>
      </c>
      <c r="V58" s="6" t="s">
        <v>108</v>
      </c>
    </row>
    <row r="59" spans="1:22" x14ac:dyDescent="0.2">
      <c r="A59" s="4">
        <v>0</v>
      </c>
      <c r="C59" s="4">
        <v>0</v>
      </c>
      <c r="D59" s="4">
        <f>COUNTIFS(D90:D192, "=0",$B$90:$B$192, "&lt;2000")</f>
        <v>0</v>
      </c>
      <c r="E59" s="26">
        <v>4</v>
      </c>
      <c r="F59" s="4">
        <f>COUNTIFS(F90:F192, "=0",$B$90:$B$192, "&lt;2000")</f>
        <v>0</v>
      </c>
      <c r="G59" s="4">
        <v>8</v>
      </c>
      <c r="H59" s="4">
        <f>COUNTIFS(H90:H192, "=0",$B$90:$B$192, "&lt;2000")</f>
        <v>0</v>
      </c>
      <c r="I59" s="16"/>
      <c r="J59" s="4">
        <v>12</v>
      </c>
      <c r="K59" s="4">
        <f>COUNTIFS(K90:K192, "=0",$B$90:$B$192, "&lt;2000")</f>
        <v>2</v>
      </c>
      <c r="L59" s="30">
        <v>16</v>
      </c>
      <c r="M59" s="4">
        <f>COUNTIFS(M90:M192, "=0",$B$90:$B$192, "&lt;2000")</f>
        <v>0</v>
      </c>
      <c r="N59" s="30">
        <v>20</v>
      </c>
      <c r="O59" s="4">
        <f>COUNTIFS(O90:O192, "=0",$B$90:$B$192, "&lt;2000")</f>
        <v>0</v>
      </c>
      <c r="Q59" s="4">
        <v>24</v>
      </c>
      <c r="R59" s="4">
        <f>COUNTIFS(R90:R192, "=0",$B$90:$B$192, "&lt;2000")</f>
        <v>2</v>
      </c>
      <c r="S59" s="30">
        <v>28</v>
      </c>
      <c r="T59" s="4">
        <f>COUNTIFS(T90:T192, "=0",$B$90:$B$192, "&lt;2000")</f>
        <v>2</v>
      </c>
      <c r="U59" s="30">
        <v>32</v>
      </c>
      <c r="V59" s="4">
        <f>COUNTIFS(V90:V192, "=0",$B$90:$B$192, "&lt;2000")</f>
        <v>0</v>
      </c>
    </row>
    <row r="60" spans="1:22" x14ac:dyDescent="0.2">
      <c r="A60" s="4">
        <v>1</v>
      </c>
      <c r="C60" s="4">
        <v>0</v>
      </c>
      <c r="D60" s="4">
        <f>COUNTIFS(D90:D192, "=0",$B$90:$B$192, "&gt;=2000",$B$90:$B$192, "&lt;=2002")</f>
        <v>0</v>
      </c>
      <c r="E60" s="26">
        <v>4</v>
      </c>
      <c r="F60" s="4">
        <f>COUNTIFS(F90:F192, "=0",$B$90:$B$192, "&gt;=2000",$B$90:$B$192, "&lt;=2002")</f>
        <v>0</v>
      </c>
      <c r="G60" s="4">
        <v>8</v>
      </c>
      <c r="H60" s="4">
        <f>COUNTIFS(H90:H192, "=0",$B$90:$B$192, "&gt;=2000",$B$90:$B$192, "&lt;=2002")</f>
        <v>0</v>
      </c>
      <c r="I60" s="16"/>
      <c r="J60" s="4">
        <v>12</v>
      </c>
      <c r="K60" s="4">
        <f>COUNTIFS(K90:K192, "=0",$B$90:$B$192, "&gt;=2000",$B$90:$B$192, "&lt;=2002")</f>
        <v>5</v>
      </c>
      <c r="L60" s="30">
        <v>16</v>
      </c>
      <c r="M60" s="4">
        <f>COUNTIFS(M90:M192, "=0",$B$90:$B$192, "&gt;=2000",$B$90:$B$192, "&lt;=2002")</f>
        <v>0</v>
      </c>
      <c r="N60" s="30">
        <v>20</v>
      </c>
      <c r="O60" s="4">
        <f>COUNTIFS(O90:O192, "=0",$B$90:$B$192, "&gt;=2000",$B$90:$B$192, "&lt;=2002")</f>
        <v>0</v>
      </c>
      <c r="Q60" s="4">
        <v>24</v>
      </c>
      <c r="R60" s="4">
        <f>COUNTIFS(R90:R192, "=0",$B$90:$B$192, "&gt;=2000",$B$90:$B$192, "&lt;=2002")</f>
        <v>5</v>
      </c>
      <c r="S60" s="30">
        <v>28</v>
      </c>
      <c r="T60" s="4">
        <f>COUNTIFS(T90:T192, "=0",$B$90:$B$192, "&gt;=2000",$B$90:$B$192, "&lt;=2002")</f>
        <v>5</v>
      </c>
      <c r="U60" s="30">
        <v>32</v>
      </c>
      <c r="V60" s="4">
        <f>COUNTIFS(V90:V192, "=0",$B$90:$B$192, "&gt;=2000",$B$90:$B$192, "&lt;=2002")</f>
        <v>0</v>
      </c>
    </row>
    <row r="61" spans="1:22" x14ac:dyDescent="0.2">
      <c r="A61" s="4">
        <v>2</v>
      </c>
      <c r="C61" s="4">
        <v>0</v>
      </c>
      <c r="D61" s="4">
        <f>COUNTIFS(D90:D192, "=0",$B$90:$B$192, "&gt;=2003",$B$90:$B$192, "&lt;=2005")</f>
        <v>0</v>
      </c>
      <c r="E61" s="26">
        <v>4</v>
      </c>
      <c r="F61" s="4">
        <f>COUNTIFS(F90:F192, "=0",$B$90:$B$192, "&gt;=2003",$B$90:$B$192, "&lt;=2005")</f>
        <v>0</v>
      </c>
      <c r="G61" s="4">
        <v>8</v>
      </c>
      <c r="H61" s="4">
        <f>COUNTIFS(H90:H192, "=0",$B$90:$B$192, "&gt;=2003",$B$90:$B$192, "&lt;=2005")</f>
        <v>0</v>
      </c>
      <c r="I61" s="16"/>
      <c r="J61" s="4">
        <v>12</v>
      </c>
      <c r="K61" s="4">
        <f>COUNTIFS(K90:K192, "=0",$B$90:$B$192, "&gt;=2003",$B$90:$B$192, "&lt;=2005")</f>
        <v>6</v>
      </c>
      <c r="L61" s="30">
        <v>16</v>
      </c>
      <c r="M61" s="4">
        <f>COUNTIFS(M90:M192, "=0",$B$90:$B$192, "&gt;=2003",$B$90:$B$192, "&lt;=2005")</f>
        <v>0</v>
      </c>
      <c r="N61" s="30">
        <v>20</v>
      </c>
      <c r="O61" s="4">
        <f>COUNTIFS(O90:O192, "=0",$B$90:$B$192, "&gt;=2003",$B$90:$B$192, "&lt;=2005")</f>
        <v>0</v>
      </c>
      <c r="Q61" s="4">
        <v>24</v>
      </c>
      <c r="R61" s="4">
        <f>COUNTIFS(R90:R192, "=0",$B$90:$B$192, "&gt;=2003",$B$90:$B$192, "&lt;=2005")</f>
        <v>6</v>
      </c>
      <c r="S61" s="30">
        <v>28</v>
      </c>
      <c r="T61" s="4">
        <f>COUNTIFS(T90:T192, "=0",$B$90:$B$192, "&gt;=2003",$B$90:$B$192, "&lt;=2005")</f>
        <v>6</v>
      </c>
      <c r="U61" s="30">
        <v>32</v>
      </c>
      <c r="V61" s="4">
        <f>COUNTIFS(V90:V192, "=0",$B$90:$B$192, "&gt;=2003",$B$90:$B$192, "&lt;=2005")</f>
        <v>0</v>
      </c>
    </row>
    <row r="62" spans="1:22" x14ac:dyDescent="0.2">
      <c r="A62" s="4">
        <v>3</v>
      </c>
      <c r="C62" s="4">
        <v>0</v>
      </c>
      <c r="D62" s="4">
        <f>COUNTIFS(D90:D192, "=0",$B$90:$B$192, "&gt;=2006",$B$90:$B$192, "&lt;=2008")</f>
        <v>0</v>
      </c>
      <c r="E62" s="26">
        <v>4</v>
      </c>
      <c r="F62" s="4">
        <f>COUNTIFS(F90:F192, "=0",$B$90:$B$192, "&gt;=2006",$B$90:$B$192, "&lt;=2008")</f>
        <v>0</v>
      </c>
      <c r="G62" s="4">
        <v>8</v>
      </c>
      <c r="H62" s="4">
        <f>COUNTIFS(H90:H192, "=0",$B$90:$B$192, "&gt;=2006",$B$90:$B$192, "&lt;=2008")</f>
        <v>0</v>
      </c>
      <c r="I62" s="16"/>
      <c r="J62" s="4">
        <v>12</v>
      </c>
      <c r="K62" s="4">
        <f>COUNTIFS(K90:K192, "=0",$B$90:$B$192, "&gt;=2006",$B$90:$B$192, "&lt;=2008")</f>
        <v>6</v>
      </c>
      <c r="L62" s="30">
        <v>16</v>
      </c>
      <c r="M62" s="4">
        <f>COUNTIFS(M90:M192, "=0",$B$90:$B$192, "&gt;=2006",$B$90:$B$192, "&lt;=2008")</f>
        <v>0</v>
      </c>
      <c r="N62" s="30">
        <v>20</v>
      </c>
      <c r="O62" s="4">
        <f>COUNTIFS(O90:O192, "=0",$B$90:$B$192, "&gt;=2006",$B$90:$B$192, "&lt;=2008")</f>
        <v>0</v>
      </c>
      <c r="Q62" s="4">
        <v>24</v>
      </c>
      <c r="R62" s="4">
        <f>COUNTIFS(R90:R192, "=0",$B$90:$B$192, "&gt;=2006",$B$90:$B$192, "&lt;=2008")</f>
        <v>6</v>
      </c>
      <c r="S62" s="30">
        <v>28</v>
      </c>
      <c r="T62" s="4">
        <f>COUNTIFS(T90:T192, "=0",$B$90:$B$192, "&gt;=2006",$B$90:$B$192, "&lt;=2008")</f>
        <v>6</v>
      </c>
      <c r="U62" s="30">
        <v>32</v>
      </c>
      <c r="V62" s="4">
        <f>COUNTIFS(V90:V192, "=0",$B$90:$B$192, "&gt;=2006",$B$90:$B$192, "&lt;=2008")</f>
        <v>0</v>
      </c>
    </row>
    <row r="63" spans="1:22" x14ac:dyDescent="0.2">
      <c r="A63" s="4">
        <v>4</v>
      </c>
      <c r="C63" s="4">
        <v>0</v>
      </c>
      <c r="D63" s="4">
        <f>COUNTIFS(D90:D192, "=0",$B$90:$B$192, "&gt;=2009",$B$90:$B$192, "&lt;=2011")</f>
        <v>0</v>
      </c>
      <c r="E63" s="26">
        <v>4</v>
      </c>
      <c r="F63" s="4">
        <f>COUNTIFS(F90:F192, "=0",$B$90:$B$192, "&gt;=2009",$B$90:$B$192, "&lt;=2011")</f>
        <v>0</v>
      </c>
      <c r="G63" s="4">
        <v>8</v>
      </c>
      <c r="H63" s="4">
        <f>COUNTIFS(H90:H192, "=0",$B$90:$B$192, "&gt;=2009",$B$90:$B$192, "&lt;=2011")</f>
        <v>0</v>
      </c>
      <c r="I63" s="16"/>
      <c r="J63" s="4">
        <v>12</v>
      </c>
      <c r="K63" s="4">
        <f>COUNTIFS(K90:K192, "=0",$B$90:$B$192, "&gt;=2009",$B$90:$B$192, "&lt;=2011")</f>
        <v>7</v>
      </c>
      <c r="L63" s="30">
        <v>16</v>
      </c>
      <c r="M63" s="4">
        <f>COUNTIFS(M90:M192, "=0",$B$90:$B$192, "&gt;=2009",$B$90:$B$192, "&lt;=2011")</f>
        <v>0</v>
      </c>
      <c r="N63" s="30">
        <v>20</v>
      </c>
      <c r="O63" s="4">
        <f>COUNTIFS(O90:O192, "=0",$B$90:$B$192, "&gt;=2009",$B$90:$B$192, "&lt;=2011")</f>
        <v>0</v>
      </c>
      <c r="Q63" s="4">
        <v>24</v>
      </c>
      <c r="R63" s="4">
        <f>COUNTIFS(R90:R192, "=0",$B$90:$B$192, "&gt;=2009",$B$90:$B$192, "&lt;=2011")</f>
        <v>7</v>
      </c>
      <c r="S63" s="30">
        <v>28</v>
      </c>
      <c r="T63" s="4">
        <f>COUNTIFS(T90:T192, "=0",$B$90:$B$192, "&gt;=2009",$B$90:$B$192, "&lt;=2011")</f>
        <v>2</v>
      </c>
      <c r="U63" s="30">
        <v>32</v>
      </c>
      <c r="V63" s="4">
        <f>COUNTIFS(V90:V192, "=0",$B$90:$B$192, "&gt;=2009",$B$90:$B$192, "&lt;=2011")</f>
        <v>0</v>
      </c>
    </row>
    <row r="64" spans="1:22" x14ac:dyDescent="0.2">
      <c r="A64" s="4">
        <v>5</v>
      </c>
      <c r="C64" s="4">
        <v>0</v>
      </c>
      <c r="D64" s="4">
        <f>COUNTIFS(D90:D192, "=0",$B$90:$B$192, "&gt;=2012",$B$90:$B$192, "&lt;=2014")</f>
        <v>0</v>
      </c>
      <c r="E64" s="26">
        <v>4</v>
      </c>
      <c r="F64" s="4">
        <f>COUNTIFS(F90:F192, "=0",$B$90:$B$192, "&gt;=2012",$B$90:$B$192, "&lt;=2014")</f>
        <v>0</v>
      </c>
      <c r="G64" s="4">
        <v>8</v>
      </c>
      <c r="H64" s="4">
        <f>COUNTIFS(H90:H192, "=0",$B$90:$B$192, "&gt;=2012",$B$90:$B$192, "&lt;=2014")</f>
        <v>0</v>
      </c>
      <c r="I64" s="16"/>
      <c r="J64" s="4">
        <v>12</v>
      </c>
      <c r="K64" s="4">
        <f>COUNTIFS(K90:K192, "=0",$B$90:$B$192, "&gt;=2012",$B$90:$B$192, "&lt;=2014")</f>
        <v>6</v>
      </c>
      <c r="L64" s="30">
        <v>16</v>
      </c>
      <c r="M64" s="4">
        <f>COUNTIFS(M90:M192, "=0",$B$90:$B$192, "&gt;=2012",$B$90:$B$192, "&lt;=2014")</f>
        <v>0</v>
      </c>
      <c r="N64" s="30">
        <v>20</v>
      </c>
      <c r="O64" s="4">
        <f>COUNTIFS(O90:O192, "=0",$B$90:$B$192, "&gt;=2012",$B$90:$B$192, "&lt;=2014")</f>
        <v>0</v>
      </c>
      <c r="Q64" s="4">
        <v>24</v>
      </c>
      <c r="R64" s="4">
        <f>COUNTIFS(R90:R192, "=0",$B$90:$B$192, "&gt;=2012",$B$90:$B$192, "&lt;=2014")</f>
        <v>6</v>
      </c>
      <c r="S64" s="30">
        <v>28</v>
      </c>
      <c r="T64" s="4">
        <f>COUNTIFS(T90:T192, "=0",$B$90:$B$192, "&gt;=2012",$B$90:$B$192, "&lt;=2014")</f>
        <v>0</v>
      </c>
      <c r="U64" s="30">
        <v>32</v>
      </c>
      <c r="V64" s="4">
        <f>COUNTIFS(V90:V192, "=0",$B$90:$B$192, "&gt;=2012",$B$90:$B$192, "&lt;=2014")</f>
        <v>0</v>
      </c>
    </row>
    <row r="65" spans="1:22" x14ac:dyDescent="0.2">
      <c r="A65" s="4">
        <v>6</v>
      </c>
      <c r="C65" s="4">
        <v>0</v>
      </c>
      <c r="D65" s="4">
        <f>COUNTIFS(D90:D192, "=0",$B$90:$B$192, "&gt;=2015",$B$90:$B$192, "&lt;=2017")</f>
        <v>0</v>
      </c>
      <c r="E65" s="26">
        <v>4</v>
      </c>
      <c r="F65" s="4">
        <f>COUNTIFS(F90:F192, "=0",$B$90:$B$192, "&gt;=2015",$B$90:$B$192, "&lt;=2017")</f>
        <v>0</v>
      </c>
      <c r="G65" s="4">
        <v>8</v>
      </c>
      <c r="H65" s="4">
        <f>COUNTIFS(H90:H192, "=0",$B$90:$B$192, "&gt;=2015",$B$90:$B$192, "&lt;=2017")</f>
        <v>0</v>
      </c>
      <c r="I65" s="16"/>
      <c r="J65" s="4">
        <v>12</v>
      </c>
      <c r="K65" s="4">
        <f>COUNTIFS(K90:K192, "=0",$B$90:$B$192, "&gt;=2015",$B$90:$B$192, "&lt;=2017")</f>
        <v>1</v>
      </c>
      <c r="L65" s="30">
        <v>16</v>
      </c>
      <c r="M65" s="4">
        <f>COUNTIFS(M90:M192, "=0",$B$90:$B$192, "&gt;=2015",$B$90:$B$192, "&lt;=2017")</f>
        <v>0</v>
      </c>
      <c r="N65" s="30">
        <v>20</v>
      </c>
      <c r="O65" s="4">
        <f>COUNTIFS(O90:O192, "=0",$B$90:$B$192, "&gt;=2015",$B$90:$B$192, "&lt;=2017")</f>
        <v>0</v>
      </c>
      <c r="Q65" s="4">
        <v>24</v>
      </c>
      <c r="R65" s="4">
        <f>COUNTIFS(R90:R192, "=0",$B$90:$B$192, "&gt;=2015",$B$90:$B$192, "&lt;=2017")</f>
        <v>1</v>
      </c>
      <c r="S65" s="30">
        <v>28</v>
      </c>
      <c r="T65" s="4">
        <f>COUNTIFS(T90:T192, "=0",$B$90:$B$192, "&gt;=2015",$B$90:$B$192, "&lt;=2017")</f>
        <v>0</v>
      </c>
      <c r="U65" s="30">
        <v>32</v>
      </c>
      <c r="V65" s="4">
        <f>COUNTIFS(V90:V192, "=0",$B$90:$B$192, "&gt;=2015",$B$90:$B$192, "&lt;=2017")</f>
        <v>0</v>
      </c>
    </row>
    <row r="66" spans="1:22" x14ac:dyDescent="0.2">
      <c r="A66" s="4">
        <v>7</v>
      </c>
      <c r="C66" s="4">
        <v>0</v>
      </c>
      <c r="D66" s="4">
        <f>COUNTIFS(D90:D192, "=0",$B$90:$B$192, "&gt;=2018",$B$90:$B$192, "&lt;=2020")</f>
        <v>0</v>
      </c>
      <c r="E66" s="26">
        <v>4</v>
      </c>
      <c r="F66" s="4">
        <f>COUNTIFS(F90:F192, "=0",$B$90:$B$192, "&gt;=2018",$B$90:$B$192, "&lt;=2020")</f>
        <v>0</v>
      </c>
      <c r="G66" s="4">
        <v>8</v>
      </c>
      <c r="H66" s="4">
        <f>COUNTIFS(H90:H192, "=0",$B$90:$B$192, "&gt;=2018",$B$90:$B$192, "&lt;=2020")</f>
        <v>0</v>
      </c>
      <c r="I66" s="16"/>
      <c r="J66" s="4">
        <v>12</v>
      </c>
      <c r="K66" s="4">
        <f>COUNTIFS(K90:K192, "=0",$B$90:$B$192, "&gt;=2018",$B$90:$B$192, "&lt;=2020")</f>
        <v>1</v>
      </c>
      <c r="L66" s="30">
        <v>16</v>
      </c>
      <c r="M66" s="4">
        <f>COUNTIFS(M90:M192, "=0",$B$90:$B$192, "&gt;=2018",$B$90:$B$192, "&lt;=2020")</f>
        <v>0</v>
      </c>
      <c r="N66" s="30">
        <v>20</v>
      </c>
      <c r="O66" s="4">
        <f>COUNTIFS(O90:O192, "=0",$B$90:$B$192, "&gt;=2018",$B$90:$B$192, "&lt;=2020")</f>
        <v>0</v>
      </c>
      <c r="Q66" s="4">
        <v>24</v>
      </c>
      <c r="R66" s="4">
        <f>COUNTIFS(R90:R192, "=0",$B$90:$B$192, "&gt;=2018",$B$90:$B$192, "&lt;=2020")</f>
        <v>1</v>
      </c>
      <c r="S66" s="30">
        <v>28</v>
      </c>
      <c r="T66" s="4">
        <f>COUNTIFS(T90:T192, "=0",$B$90:$B$192, "&gt;=2018",$B$90:$B$192, "&lt;=2020")</f>
        <v>0</v>
      </c>
      <c r="U66" s="30">
        <v>32</v>
      </c>
      <c r="V66" s="4">
        <f>COUNTIFS(V90:V192, "=0",$B$90:$B$192, "&gt;=2018",$B$90:$B$192, "&lt;=2020")</f>
        <v>0</v>
      </c>
    </row>
    <row r="67" spans="1:22" x14ac:dyDescent="0.2">
      <c r="A67" s="4">
        <v>8</v>
      </c>
      <c r="C67" s="4">
        <v>0</v>
      </c>
      <c r="D67" s="4">
        <f>COUNTIFS(D90:D192, "=0",$B$90:$B$192, "&gt;=2021",$B$90:$B$192, "&lt;=2024")</f>
        <v>0</v>
      </c>
      <c r="E67" s="26">
        <v>4</v>
      </c>
      <c r="F67" s="4">
        <f>COUNTIFS(F90:F192, "=0",$B$90:$B$192, "&gt;=2021",$B$90:$B$192, "&lt;=2024")</f>
        <v>0</v>
      </c>
      <c r="G67" s="4">
        <v>8</v>
      </c>
      <c r="H67" s="4">
        <f>COUNTIFS(H90:H192, "=0",$B$90:$B$192, "&gt;=2021",$B$90:$B$192, "&lt;=2024")</f>
        <v>0</v>
      </c>
      <c r="I67" s="16"/>
      <c r="J67" s="4">
        <v>12</v>
      </c>
      <c r="K67" s="4">
        <f>COUNTIFS(K90:K192, "=0",$B$90:$B$192, "&gt;=2021",$B$90:$B$192, "&lt;=2024")</f>
        <v>1</v>
      </c>
      <c r="L67" s="30">
        <v>16</v>
      </c>
      <c r="M67" s="4">
        <f>COUNTIFS(M90:M192, "=0",$B$90:$B$192, "&gt;=2021",$B$90:$B$192, "&lt;=2024")</f>
        <v>0</v>
      </c>
      <c r="N67" s="30">
        <v>20</v>
      </c>
      <c r="O67" s="4">
        <f>COUNTIFS(O90:O192, "=0",$B$90:$B$192, "&gt;=2021",$B$90:$B$192, "&lt;=2024")</f>
        <v>0</v>
      </c>
      <c r="Q67" s="4">
        <v>24</v>
      </c>
      <c r="R67" s="4">
        <f>COUNTIFS(R90:R192, "=0",$B$90:$B$192, "&gt;=2021",$B$90:$B$192, "&lt;=2024")</f>
        <v>1</v>
      </c>
      <c r="S67" s="30">
        <v>28</v>
      </c>
      <c r="T67" s="4">
        <f>COUNTIFS(T90:T192, "=0",$B$90:$B$192, "&gt;=2021",$B$90:$B$192, "&lt;=2024")</f>
        <v>0</v>
      </c>
      <c r="U67" s="30">
        <v>32</v>
      </c>
      <c r="V67" s="4">
        <f>COUNTIFS(V90:V192, "=0",$B$90:$B$192, "&gt;=2021",$B$90:$B$192, "&lt;=2024")</f>
        <v>0</v>
      </c>
    </row>
    <row r="68" spans="1:22" x14ac:dyDescent="0.2">
      <c r="A68" s="5">
        <v>0</v>
      </c>
      <c r="C68" s="5">
        <v>1</v>
      </c>
      <c r="D68" s="5">
        <f>COUNTIFS(D90:D192, "=1",$B$90:$B$192, "&lt;2000")</f>
        <v>0</v>
      </c>
      <c r="E68" s="27">
        <v>5</v>
      </c>
      <c r="F68" s="5">
        <f>COUNTIFS(F90:F192, "=1",$B$90:$B$192, "&lt;2000")</f>
        <v>1</v>
      </c>
      <c r="G68" s="5">
        <v>9</v>
      </c>
      <c r="H68" s="5">
        <f>COUNTIFS(H90:H192, "=1",$B$90:$B$192, "&lt;2000")</f>
        <v>2</v>
      </c>
      <c r="I68" s="16"/>
      <c r="J68" s="5">
        <v>13</v>
      </c>
      <c r="K68" s="5">
        <f>COUNTIFS(K90:K192, "=1",$B$90:$B$192, "&lt;2000")</f>
        <v>0</v>
      </c>
      <c r="L68" s="31">
        <v>17</v>
      </c>
      <c r="M68" s="5">
        <f>COUNTIFS(M90:M192, "=1",$B$90:$B$192, "&lt;2000")</f>
        <v>0</v>
      </c>
      <c r="N68" s="31">
        <v>21</v>
      </c>
      <c r="O68" s="5">
        <f>COUNTIFS(O90:O192, "=1",$B$90:$B$192, "&lt;2000")</f>
        <v>2</v>
      </c>
      <c r="Q68" s="5">
        <v>25</v>
      </c>
      <c r="R68" s="5">
        <f>COUNTIFS(R90:R192, "=1",$B$90:$B$192, "&lt;2000")</f>
        <v>0</v>
      </c>
      <c r="S68" s="31">
        <v>29</v>
      </c>
      <c r="T68" s="5">
        <f>COUNTIFS(T90:T192, "=1",$B$90:$B$192, "&lt;2000")</f>
        <v>0</v>
      </c>
      <c r="U68" s="31">
        <v>33</v>
      </c>
      <c r="V68" s="5">
        <f>COUNTIFS(V90:V192, "=1",$B$90:$B$192, "&lt;2000")</f>
        <v>2</v>
      </c>
    </row>
    <row r="69" spans="1:22" x14ac:dyDescent="0.2">
      <c r="A69" s="5">
        <v>1</v>
      </c>
      <c r="C69" s="5">
        <v>1</v>
      </c>
      <c r="D69" s="5">
        <f>COUNTIFS(D90:D192, "=1",$B$90:$B$192, "&gt;=2000",$B$90:$B$192, "&lt;=2002")</f>
        <v>0</v>
      </c>
      <c r="E69" s="27">
        <v>5</v>
      </c>
      <c r="F69" s="5">
        <f>COUNTIFS(F90:F192, "=1",$B$90:$B$192, "&gt;=2000",$B$90:$B$192, "&lt;=2002")</f>
        <v>0</v>
      </c>
      <c r="G69" s="5">
        <v>9</v>
      </c>
      <c r="H69" s="5">
        <f>COUNTIFS(H90:H192, "=1",$B$90:$B$192, "&gt;=2000",$B$90:$B$192, "&lt;=2002")</f>
        <v>5</v>
      </c>
      <c r="I69" s="16"/>
      <c r="J69" s="5">
        <v>13</v>
      </c>
      <c r="K69" s="5">
        <f>COUNTIFS(K90:K192, "=1",$B$90:$B$192, "&gt;=2000",$B$90:$B$192, "&lt;=2002")</f>
        <v>0</v>
      </c>
      <c r="L69" s="31">
        <v>17</v>
      </c>
      <c r="M69" s="5">
        <f>COUNTIFS(M90:M192, "=1",$B$90:$B$192, "&gt;=2000",$B$90:$B$192, "&lt;=2002")</f>
        <v>0</v>
      </c>
      <c r="N69" s="31">
        <v>21</v>
      </c>
      <c r="O69" s="5">
        <f>COUNTIFS(O90:O192, "=1",$B$90:$B$192, "&gt;=2000",$B$90:$B$192, "&lt;=2002")</f>
        <v>5</v>
      </c>
      <c r="Q69" s="5">
        <v>25</v>
      </c>
      <c r="R69" s="5">
        <f>COUNTIFS(R90:R192, "=1",$B$90:$B$192, "&gt;=2000",$B$90:$B$192, "&lt;=2002")</f>
        <v>0</v>
      </c>
      <c r="S69" s="31">
        <v>29</v>
      </c>
      <c r="T69" s="5">
        <f>COUNTIFS(T90:T192, "=1",$B$90:$B$192, "&gt;=2000",$B$90:$B$192, "&lt;=2002")</f>
        <v>0</v>
      </c>
      <c r="U69" s="31">
        <v>33</v>
      </c>
      <c r="V69" s="5">
        <f>COUNTIFS(V90:V192, "=1",$B$90:$B$192, "&gt;=2000",$B$90:$B$192, "&lt;=2002")</f>
        <v>5</v>
      </c>
    </row>
    <row r="70" spans="1:22" x14ac:dyDescent="0.2">
      <c r="A70" s="5">
        <v>2</v>
      </c>
      <c r="C70" s="5">
        <v>1</v>
      </c>
      <c r="D70" s="5">
        <f>COUNTIFS(D90:D192, "=1",$B$90:$B$192, "&gt;=2003",$B$90:$B$192, "&lt;=2005")</f>
        <v>0</v>
      </c>
      <c r="E70" s="27">
        <v>5</v>
      </c>
      <c r="F70" s="5">
        <f>COUNTIFS(F90:F192, "=1",$B$90:$B$192, "&gt;=2003",$B$90:$B$192, "&lt;=2005")</f>
        <v>0</v>
      </c>
      <c r="G70" s="5">
        <v>9</v>
      </c>
      <c r="H70" s="5">
        <f>COUNTIFS(H90:H192, "=1",$B$90:$B$192, "&gt;=2003",$B$90:$B$192, "&lt;=2005")</f>
        <v>6</v>
      </c>
      <c r="I70" s="16"/>
      <c r="J70" s="5">
        <v>13</v>
      </c>
      <c r="K70" s="5">
        <f>COUNTIFS(K90:K192, "=1",$B$90:$B$192, "&gt;=2003",$B$90:$B$192, "&lt;=2005")</f>
        <v>0</v>
      </c>
      <c r="L70" s="31">
        <v>17</v>
      </c>
      <c r="M70" s="5">
        <f>COUNTIFS(M90:M192, "=1",$B$90:$B$192, "&gt;=2003",$B$90:$B$192, "&lt;=2005")</f>
        <v>1</v>
      </c>
      <c r="N70" s="31">
        <v>21</v>
      </c>
      <c r="O70" s="5">
        <f>COUNTIFS(O90:O192, "=1",$B$90:$B$192, "&gt;=2003",$B$90:$B$192, "&lt;=2005")</f>
        <v>6</v>
      </c>
      <c r="Q70" s="5">
        <v>25</v>
      </c>
      <c r="R70" s="5">
        <f>COUNTIFS(R90:R192, "=1",$B$90:$B$192, "&gt;=2003",$B$90:$B$192, "&lt;=2005")</f>
        <v>0</v>
      </c>
      <c r="S70" s="31">
        <v>29</v>
      </c>
      <c r="T70" s="5">
        <f>COUNTIFS(T90:T192, "=1",$B$90:$B$192, "&gt;=2003",$B$90:$B$192, "&lt;=2005")</f>
        <v>0</v>
      </c>
      <c r="U70" s="31">
        <v>33</v>
      </c>
      <c r="V70" s="5">
        <f>COUNTIFS(V90:V192, "=1",$B$90:$B$192, "&gt;=2003",$B$90:$B$192, "&lt;=2005")</f>
        <v>6</v>
      </c>
    </row>
    <row r="71" spans="1:22" x14ac:dyDescent="0.2">
      <c r="A71" s="5">
        <v>3</v>
      </c>
      <c r="C71" s="5">
        <v>1</v>
      </c>
      <c r="D71" s="5">
        <f>COUNTIFS(D90:D192, "=1",$B$90:$B$192, "&gt;=2006",$B$90:$B$192, "&lt;=2008")</f>
        <v>0</v>
      </c>
      <c r="E71" s="27">
        <v>5</v>
      </c>
      <c r="F71" s="5">
        <f>COUNTIFS(F90:F192, "=1",$B$90:$B$192, "&gt;=2006",$B$90:$B$192, "&lt;=2008")</f>
        <v>0</v>
      </c>
      <c r="G71" s="5">
        <v>9</v>
      </c>
      <c r="H71" s="5">
        <f>COUNTIFS(H90:H192, "=1",$B$90:$B$192, "&gt;=2006",$B$90:$B$192, "&lt;=2008")</f>
        <v>6</v>
      </c>
      <c r="I71" s="16"/>
      <c r="J71" s="5">
        <v>13</v>
      </c>
      <c r="K71" s="5">
        <f>COUNTIFS(K90:K192, "=1",$B$90:$B$192, "&gt;=2006",$B$90:$B$192, "&lt;=2008")</f>
        <v>0</v>
      </c>
      <c r="L71" s="31">
        <v>17</v>
      </c>
      <c r="M71" s="5">
        <f>COUNTIFS(M90:M192, "=1",$B$90:$B$192, "&gt;=2006",$B$90:$B$192, "&lt;=2008")</f>
        <v>0</v>
      </c>
      <c r="N71" s="31">
        <v>21</v>
      </c>
      <c r="O71" s="5">
        <f>COUNTIFS(O90:O192, "=1",$B$90:$B$192, "&gt;=2006",$B$90:$B$192, "&lt;=2008")</f>
        <v>6</v>
      </c>
      <c r="Q71" s="5">
        <v>25</v>
      </c>
      <c r="R71" s="5">
        <f>COUNTIFS(R90:R192, "=1",$B$90:$B$192, "&gt;=2006",$B$90:$B$192, "&lt;=2008")</f>
        <v>0</v>
      </c>
      <c r="S71" s="31">
        <v>29</v>
      </c>
      <c r="T71" s="5">
        <f>COUNTIFS(T90:T192, "=1",$B$90:$B$192, "&gt;=2006",$B$90:$B$192, "&lt;=2008")</f>
        <v>0</v>
      </c>
      <c r="U71" s="31">
        <v>33</v>
      </c>
      <c r="V71" s="5">
        <f>COUNTIFS(V90:V192, "=1",$B$90:$B$192, "&gt;=2006",$B$90:$B$192, "&lt;=2008")</f>
        <v>6</v>
      </c>
    </row>
    <row r="72" spans="1:22" x14ac:dyDescent="0.2">
      <c r="A72" s="5">
        <v>4</v>
      </c>
      <c r="C72" s="5">
        <v>1</v>
      </c>
      <c r="D72" s="5">
        <f>COUNTIFS(D90:D192, "=1",$B$90:$B$192, "&gt;=2009",$B$90:$B$192, "&lt;=2011")</f>
        <v>0</v>
      </c>
      <c r="E72" s="27">
        <v>5</v>
      </c>
      <c r="F72" s="5">
        <f>COUNTIFS(F90:F192, "=1",$B$90:$B$192, "&gt;=2009",$B$90:$B$192, "&lt;=2011")</f>
        <v>0</v>
      </c>
      <c r="G72" s="5">
        <v>9</v>
      </c>
      <c r="H72" s="5">
        <f>COUNTIFS(H90:H192, "=1",$B$90:$B$192, "&gt;=2009",$B$90:$B$192, "&lt;=2011")</f>
        <v>7</v>
      </c>
      <c r="I72" s="16"/>
      <c r="J72" s="5">
        <v>13</v>
      </c>
      <c r="K72" s="5">
        <f>COUNTIFS(K90:K192, "=1",$B$90:$B$192, "&gt;=2009",$B$90:$B$192, "&lt;=2011")</f>
        <v>0</v>
      </c>
      <c r="L72" s="31">
        <v>17</v>
      </c>
      <c r="M72" s="5">
        <f>COUNTIFS(M90:M192, "=1",$B$90:$B$192, "&gt;=2009",$B$90:$B$192, "&lt;=2011")</f>
        <v>1</v>
      </c>
      <c r="N72" s="31">
        <v>21</v>
      </c>
      <c r="O72" s="5">
        <f>COUNTIFS(O90:O192, "=1",$B$90:$B$192, "&gt;=2009",$B$90:$B$192, "&lt;=2011")</f>
        <v>7</v>
      </c>
      <c r="Q72" s="5">
        <v>25</v>
      </c>
      <c r="R72" s="5">
        <f>COUNTIFS(R90:R192, "=1",$B$90:$B$192, "&gt;=2009",$B$90:$B$192, "&lt;=2011")</f>
        <v>0</v>
      </c>
      <c r="S72" s="31">
        <v>29</v>
      </c>
      <c r="T72" s="5">
        <f>COUNTIFS(T90:T192, "=1",$B$90:$B$192, "&gt;=2009",$B$90:$B$192, "&lt;=2011")</f>
        <v>0</v>
      </c>
      <c r="U72" s="31">
        <v>33</v>
      </c>
      <c r="V72" s="5">
        <f>COUNTIFS(V90:V192, "=1",$B$90:$B$192, "&gt;=2009",$B$90:$B$192, "&lt;=2011")</f>
        <v>7</v>
      </c>
    </row>
    <row r="73" spans="1:22" x14ac:dyDescent="0.2">
      <c r="A73" s="5">
        <v>5</v>
      </c>
      <c r="C73" s="5">
        <v>1</v>
      </c>
      <c r="D73" s="5">
        <f>COUNTIFS(D90:D192, "=1",$B$90:$B$192, "&gt;=2012",$B$90:$B$192, "&lt;=2014")</f>
        <v>0</v>
      </c>
      <c r="E73" s="27">
        <v>5</v>
      </c>
      <c r="F73" s="5">
        <f>COUNTIFS(F90:F192, "=1",$B$90:$B$192, "&gt;=2012",$B$90:$B$192, "&lt;=2014")</f>
        <v>0</v>
      </c>
      <c r="G73" s="5">
        <v>9</v>
      </c>
      <c r="H73" s="5">
        <f>COUNTIFS(H90:H192, "=1",$B$90:$B$192, "&gt;=2012",$B$90:$B$192, "&lt;=2014")</f>
        <v>6</v>
      </c>
      <c r="I73" s="16"/>
      <c r="J73" s="5">
        <v>13</v>
      </c>
      <c r="K73" s="5">
        <f>COUNTIFS(K90:K192, "=1",$B$90:$B$192, "&gt;=2012",$B$90:$B$192, "&lt;=2014")</f>
        <v>0</v>
      </c>
      <c r="L73" s="31">
        <v>17</v>
      </c>
      <c r="M73" s="5">
        <f>COUNTIFS(M90:M192, "=1",$B$90:$B$192, "&gt;=2012",$B$90:$B$192, "&lt;=2014")</f>
        <v>0</v>
      </c>
      <c r="N73" s="31">
        <v>21</v>
      </c>
      <c r="O73" s="5">
        <f>COUNTIFS(O90:O192, "=1",$B$90:$B$192, "&gt;=2012",$B$90:$B$192, "&lt;=2014")</f>
        <v>6</v>
      </c>
      <c r="Q73" s="5">
        <v>25</v>
      </c>
      <c r="R73" s="5">
        <f>COUNTIFS(R90:R192, "=1",$B$90:$B$192, "&gt;=2012",$B$90:$B$192, "&lt;=2014")</f>
        <v>0</v>
      </c>
      <c r="S73" s="31">
        <v>29</v>
      </c>
      <c r="T73" s="5">
        <f>COUNTIFS(T90:T192, "=1",$B$90:$B$192, "&gt;=2012",$B$90:$B$192, "&lt;=2014")</f>
        <v>0</v>
      </c>
      <c r="U73" s="31">
        <v>33</v>
      </c>
      <c r="V73" s="5">
        <f>COUNTIFS(V90:V192, "=1",$B$90:$B$192, "&gt;=2012",$B$90:$B$192, "&lt;=2014")</f>
        <v>6</v>
      </c>
    </row>
    <row r="74" spans="1:22" x14ac:dyDescent="0.2">
      <c r="A74" s="5">
        <v>6</v>
      </c>
      <c r="C74" s="5">
        <v>1</v>
      </c>
      <c r="D74" s="5">
        <f>COUNTIFS(D90:D192, "=1",$B$90:$B$192, "&gt;=2015",$B$90:$B$192, "&lt;=2017")</f>
        <v>0</v>
      </c>
      <c r="E74" s="27">
        <v>5</v>
      </c>
      <c r="F74" s="5">
        <f>COUNTIFS(F90:F192, "=1",$B$90:$B$192, "&gt;=2015",$B$90:$B$192, "&lt;=2017")</f>
        <v>0</v>
      </c>
      <c r="G74" s="5">
        <v>9</v>
      </c>
      <c r="H74" s="5">
        <f>COUNTIFS(H90:H192, "=1",$B$90:$B$192, "&gt;=2015",$B$90:$B$192, "&lt;=2017")</f>
        <v>1</v>
      </c>
      <c r="I74" s="16"/>
      <c r="J74" s="5">
        <v>13</v>
      </c>
      <c r="K74" s="5">
        <f>COUNTIFS(K90:K192, "=1",$B$90:$B$192, "&gt;=2015",$B$90:$B$192, "&lt;=2017")</f>
        <v>0</v>
      </c>
      <c r="L74" s="31">
        <v>17</v>
      </c>
      <c r="M74" s="5">
        <f>COUNTIFS(M90:M192, "=1",$B$90:$B$192, "&gt;=2015",$B$90:$B$192, "&lt;=2017")</f>
        <v>0</v>
      </c>
      <c r="N74" s="31">
        <v>21</v>
      </c>
      <c r="O74" s="5">
        <f>COUNTIFS(O90:O192, "=1",$B$90:$B$192, "&gt;=2015",$B$90:$B$192, "&lt;=2017")</f>
        <v>1</v>
      </c>
      <c r="Q74" s="5">
        <v>25</v>
      </c>
      <c r="R74" s="5">
        <f>COUNTIFS(R90:R192, "=1",$B$90:$B$192, "&gt;=2015",$B$90:$B$192, "&lt;=2017")</f>
        <v>0</v>
      </c>
      <c r="S74" s="31">
        <v>29</v>
      </c>
      <c r="T74" s="5">
        <f>COUNTIFS(T90:T192, "=1",$B$90:$B$192, "&gt;=2015",$B$90:$B$192, "&lt;=2017")</f>
        <v>0</v>
      </c>
      <c r="U74" s="31">
        <v>33</v>
      </c>
      <c r="V74" s="5">
        <f>COUNTIFS(V90:V192, "=1",$B$90:$B$192, "&gt;=2015",$B$90:$B$192, "&lt;=2017")</f>
        <v>1</v>
      </c>
    </row>
    <row r="75" spans="1:22" x14ac:dyDescent="0.2">
      <c r="A75" s="5">
        <v>7</v>
      </c>
      <c r="C75" s="5">
        <v>1</v>
      </c>
      <c r="D75" s="5">
        <f>COUNTIFS(D90:D192, "=1",$B$90:$B$192, "&gt;=2018",$B$90:$B$192, "&lt;=2020")</f>
        <v>0</v>
      </c>
      <c r="E75" s="27">
        <v>5</v>
      </c>
      <c r="F75" s="5">
        <f>COUNTIFS(F90:F192, "=1",$B$90:$B$192, "&gt;=2018",$B$90:$B$192, "&lt;=2020")</f>
        <v>0</v>
      </c>
      <c r="G75" s="5">
        <v>9</v>
      </c>
      <c r="H75" s="5">
        <f>COUNTIFS(H90:H192, "=1",$B$90:$B$192, "&gt;=2018",$B$90:$B$192, "&lt;=2020")</f>
        <v>1</v>
      </c>
      <c r="I75" s="16"/>
      <c r="J75" s="5">
        <v>13</v>
      </c>
      <c r="K75" s="5">
        <f>COUNTIFS(K90:K192, "=1",$B$90:$B$192, "&gt;=2018",$B$90:$B$192, "&lt;=2020")</f>
        <v>0</v>
      </c>
      <c r="L75" s="31">
        <v>17</v>
      </c>
      <c r="M75" s="5">
        <f>COUNTIFS(M90:M192, "=1",$B$90:$B$192, "&gt;=2018",$B$90:$B$192, "&lt;=2020")</f>
        <v>0</v>
      </c>
      <c r="N75" s="31">
        <v>21</v>
      </c>
      <c r="O75" s="5">
        <f>COUNTIFS(O90:O192, "=1",$B$90:$B$192, "&gt;=2018",$B$90:$B$192, "&lt;=2020")</f>
        <v>1</v>
      </c>
      <c r="Q75" s="5">
        <v>25</v>
      </c>
      <c r="R75" s="5">
        <f>COUNTIFS(R90:R192, "=1",$B$90:$B$192, "&gt;=2018",$B$90:$B$192, "&lt;=2020")</f>
        <v>0</v>
      </c>
      <c r="S75" s="31">
        <v>29</v>
      </c>
      <c r="T75" s="5">
        <f>COUNTIFS(T90:T192, "=1",$B$90:$B$192, "&gt;=2018",$B$90:$B$192, "&lt;=2020")</f>
        <v>0</v>
      </c>
      <c r="U75" s="31">
        <v>33</v>
      </c>
      <c r="V75" s="5">
        <f>COUNTIFS(V90:V192, "=1",$B$90:$B$192, "&gt;=2018",$B$90:$B$192, "&lt;=2020")</f>
        <v>1</v>
      </c>
    </row>
    <row r="76" spans="1:22" x14ac:dyDescent="0.2">
      <c r="A76" s="5">
        <v>8</v>
      </c>
      <c r="C76" s="5">
        <v>1</v>
      </c>
      <c r="D76" s="5">
        <f>COUNTIFS(D90:D192, "=1",$B$90:$B$192, "&gt;=2021",$B$90:$B$192, "&lt;=2024")</f>
        <v>0</v>
      </c>
      <c r="E76" s="27">
        <v>5</v>
      </c>
      <c r="F76" s="5">
        <f>COUNTIFS(F90:F192, "=1",$B$90:$B$192, "&gt;=2021",$B$90:$B$192, "&lt;=2024")</f>
        <v>0</v>
      </c>
      <c r="G76" s="5">
        <v>9</v>
      </c>
      <c r="H76" s="5">
        <f>COUNTIFS(H90:H192, "=1",$B$90:$B$192, "&gt;=2021",$B$90:$B$192, "&lt;=2024")</f>
        <v>1</v>
      </c>
      <c r="I76" s="16"/>
      <c r="J76" s="5">
        <v>13</v>
      </c>
      <c r="K76" s="5">
        <f>COUNTIFS(K90:K192, "=1",$B$90:$B$192, "&gt;=2021",$B$90:$B$192, "&lt;=2024")</f>
        <v>0</v>
      </c>
      <c r="L76" s="31">
        <v>17</v>
      </c>
      <c r="M76" s="5">
        <f>COUNTIFS(M90:M192, "=1",$B$90:$B$192, "&gt;=2021",$B$90:$B$192, "&lt;=2024")</f>
        <v>0</v>
      </c>
      <c r="N76" s="31">
        <v>21</v>
      </c>
      <c r="O76" s="5">
        <f>COUNTIFS(O90:O192, "=1",$B$90:$B$192, "&gt;=2021",$B$90:$B$192, "&lt;=2024")</f>
        <v>1</v>
      </c>
      <c r="Q76" s="5">
        <v>25</v>
      </c>
      <c r="R76" s="5">
        <f>COUNTIFS(R90:R192, "=1",$B$90:$B$192, "&gt;=2021",$B$90:$B$192, "&lt;=2024")</f>
        <v>0</v>
      </c>
      <c r="S76" s="31">
        <v>29</v>
      </c>
      <c r="T76" s="5">
        <f>COUNTIFS(T90:T192, "=1",$B$90:$B$192, "&gt;=2021",$B$90:$B$192, "&lt;=2024")</f>
        <v>0</v>
      </c>
      <c r="U76" s="31">
        <v>33</v>
      </c>
      <c r="V76" s="5">
        <f>COUNTIFS(V90:V192, "=1",$B$90:$B$192, "&gt;=2021",$B$90:$B$192, "&lt;=2024")</f>
        <v>1</v>
      </c>
    </row>
    <row r="77" spans="1:22" x14ac:dyDescent="0.2">
      <c r="A77" s="3">
        <v>0</v>
      </c>
      <c r="C77" s="3">
        <v>2</v>
      </c>
      <c r="D77" s="3">
        <f>COUNTIFS(D90:D192, "=2",$B$90:$B$192, "&lt;2000")</f>
        <v>2</v>
      </c>
      <c r="E77" s="28">
        <v>6</v>
      </c>
      <c r="F77" s="3">
        <f>COUNTIFS(F90:F192, "=2",$B$90:$B$192, "&lt;2000")</f>
        <v>1</v>
      </c>
      <c r="G77" s="3">
        <v>10</v>
      </c>
      <c r="H77" s="3">
        <f>COUNTIFS(H90:H192, "=2",$B$90:$B$192, "&lt;2000")</f>
        <v>0</v>
      </c>
      <c r="I77" s="16"/>
      <c r="J77" s="3">
        <v>14</v>
      </c>
      <c r="K77" s="3">
        <f>COUNTIFS(K90:K192, "=2",$B$90:$B$192, "&lt;2000")</f>
        <v>0</v>
      </c>
      <c r="L77" s="32">
        <v>18</v>
      </c>
      <c r="M77" s="3">
        <f>COUNTIFS(M90:M192, "=2",$B$90:$B$192, "&lt;2000")</f>
        <v>2</v>
      </c>
      <c r="N77" s="32">
        <v>22</v>
      </c>
      <c r="O77" s="3">
        <f>COUNTIFS(O90:O192, "=2",$B$90:$B$192, "&lt;2000")</f>
        <v>0</v>
      </c>
      <c r="Q77" s="3">
        <v>26</v>
      </c>
      <c r="R77" s="3">
        <f>COUNTIFS(R90:R192, "=2",$B$90:$B$192, "&lt;2000")</f>
        <v>0</v>
      </c>
      <c r="S77" s="32">
        <v>30</v>
      </c>
      <c r="T77" s="3">
        <f>COUNTIFS(T90:T192, "=2",$B$90:$B$192, "&lt;2000")</f>
        <v>0</v>
      </c>
      <c r="U77" s="32">
        <v>34</v>
      </c>
      <c r="V77" s="3">
        <f>COUNTIFS(V90:V192, "=2",$B$90:$B$192, "&lt;2000")</f>
        <v>0</v>
      </c>
    </row>
    <row r="78" spans="1:22" x14ac:dyDescent="0.2">
      <c r="A78" s="3">
        <v>1</v>
      </c>
      <c r="C78" s="3">
        <v>2</v>
      </c>
      <c r="D78" s="3">
        <f>COUNTIFS(D90:D192, "=2",$B$90:$B$192, "&gt;=2000",$B$90:$B$192, "&lt;=2002")</f>
        <v>5</v>
      </c>
      <c r="E78" s="28">
        <v>6</v>
      </c>
      <c r="F78" s="3">
        <f>COUNTIFS(F90:F192, "=2",$B$90:$B$192, "&gt;=2000",$B$90:$B$192, "&lt;=2002")</f>
        <v>5</v>
      </c>
      <c r="G78" s="3">
        <v>10</v>
      </c>
      <c r="H78" s="3">
        <f>COUNTIFS(H90:H192, "=2",$B$90:$B$192, "&gt;=2000",$B$90:$B$192, "&lt;=2002")</f>
        <v>0</v>
      </c>
      <c r="I78" s="16"/>
      <c r="J78" s="3">
        <v>14</v>
      </c>
      <c r="K78" s="3">
        <f>COUNTIFS(K90:K192, "=2",$B$90:$B$192, "&gt;=2000",$B$90:$B$192, "&lt;=2002")</f>
        <v>0</v>
      </c>
      <c r="L78" s="32">
        <v>18</v>
      </c>
      <c r="M78" s="3">
        <f>COUNTIFS(M90:M192, "=2",$B$90:$B$192, "&gt;=2000",$B$90:$B$192, "&lt;=2002")</f>
        <v>5</v>
      </c>
      <c r="N78" s="32">
        <v>22</v>
      </c>
      <c r="O78" s="3">
        <f>COUNTIFS(O90:O192, "=2",$B$90:$B$192, "&gt;=2000",$B$90:$B$192, "&lt;=2002")</f>
        <v>0</v>
      </c>
      <c r="Q78" s="3">
        <v>26</v>
      </c>
      <c r="R78" s="3">
        <f>COUNTIFS(R90:R192, "=2",$B$90:$B$192, "&gt;=2000",$B$90:$B$192, "&lt;=2002")</f>
        <v>0</v>
      </c>
      <c r="S78" s="32">
        <v>30</v>
      </c>
      <c r="T78" s="3">
        <f>COUNTIFS(T90:T192, "=2",$B$90:$B$192, "&gt;=2000",$B$90:$B$192, "&lt;=2002")</f>
        <v>0</v>
      </c>
      <c r="U78" s="32">
        <v>34</v>
      </c>
      <c r="V78" s="3">
        <f>COUNTIFS(V90:V192, "=2",$B$90:$B$192, "&gt;=2000",$B$90:$B$192, "&lt;=2002")</f>
        <v>0</v>
      </c>
    </row>
    <row r="79" spans="1:22" x14ac:dyDescent="0.2">
      <c r="A79" s="3">
        <v>2</v>
      </c>
      <c r="C79" s="3">
        <v>2</v>
      </c>
      <c r="D79" s="3">
        <f>COUNTIFS(D90:D192, "=2",$B$90:$B$192, "&gt;=2003",$B$90:$B$192, "&lt;=2005")</f>
        <v>6</v>
      </c>
      <c r="E79" s="28">
        <v>6</v>
      </c>
      <c r="F79" s="3">
        <f>COUNTIFS(F90:F192, "=2",$B$90:$B$192, "&gt;=2003",$B$90:$B$192, "&lt;=2005")</f>
        <v>6</v>
      </c>
      <c r="G79" s="3">
        <v>10</v>
      </c>
      <c r="H79" s="3">
        <f>COUNTIFS(H90:H192, "=2",$B$90:$B$192, "&gt;=2003",$B$90:$B$192, "&lt;=2005")</f>
        <v>0</v>
      </c>
      <c r="I79" s="16"/>
      <c r="J79" s="3">
        <v>14</v>
      </c>
      <c r="K79" s="3">
        <f>COUNTIFS(K90:K192, "=2",$B$90:$B$192, "&gt;=2003",$B$90:$B$192, "&lt;=2005")</f>
        <v>0</v>
      </c>
      <c r="L79" s="32">
        <v>18</v>
      </c>
      <c r="M79" s="3">
        <f>COUNTIFS(M90:M192, "=2",$B$90:$B$192, "&gt;=2003",$B$90:$B$192, "&lt;=2005")</f>
        <v>5</v>
      </c>
      <c r="N79" s="32">
        <v>22</v>
      </c>
      <c r="O79" s="3">
        <f>COUNTIFS(O90:O192, "=2",$B$90:$B$192, "&gt;=2003",$B$90:$B$192, "&lt;=2005")</f>
        <v>0</v>
      </c>
      <c r="Q79" s="3">
        <v>26</v>
      </c>
      <c r="R79" s="3">
        <f>COUNTIFS(R90:R192, "=2",$B$90:$B$192, "&gt;=2003",$B$90:$B$192, "&lt;=2005")</f>
        <v>0</v>
      </c>
      <c r="S79" s="32">
        <v>30</v>
      </c>
      <c r="T79" s="3">
        <f>COUNTIFS(T90:T192, "=2",$B$90:$B$192, "&gt;=2003",$B$90:$B$192, "&lt;=2005")</f>
        <v>0</v>
      </c>
      <c r="U79" s="32">
        <v>34</v>
      </c>
      <c r="V79" s="3">
        <f>COUNTIFS(V90:V192, "=2",$B$90:$B$192, "&gt;=2003",$B$90:$B$192, "&lt;=2005")</f>
        <v>0</v>
      </c>
    </row>
    <row r="80" spans="1:22" x14ac:dyDescent="0.2">
      <c r="A80" s="14">
        <v>3</v>
      </c>
      <c r="C80" s="14">
        <v>2</v>
      </c>
      <c r="D80" s="14">
        <f>COUNTIFS(D90:D192, "=2",$B$90:$B$192, "&gt;=2006",$B$90:$B$192, "&lt;=2008")</f>
        <v>6</v>
      </c>
      <c r="E80" s="28">
        <v>6</v>
      </c>
      <c r="F80" s="14">
        <f>COUNTIFS(F90:F192, "=2",$B$90:$B$192, "&gt;=2006",$B$90:$B$192, "&lt;=2008")</f>
        <v>6</v>
      </c>
      <c r="G80" s="3">
        <v>10</v>
      </c>
      <c r="H80" s="14">
        <f>COUNTIFS(H90:H192, "=2",$B$90:$B$192, "&gt;=2006",$B$90:$B$192, "&lt;=2008")</f>
        <v>0</v>
      </c>
      <c r="I80" s="17"/>
      <c r="J80" s="3">
        <v>14</v>
      </c>
      <c r="K80" s="14">
        <f>COUNTIFS(K90:K192, "=2",$B$90:$B$192, "&gt;=2006",$B$90:$B$192, "&lt;=2008")</f>
        <v>0</v>
      </c>
      <c r="L80" s="32">
        <v>18</v>
      </c>
      <c r="M80" s="14">
        <f>COUNTIFS(M90:M192, "=2",$B$90:$B$192, "&gt;=2006",$B$90:$B$192, "&lt;=2008")</f>
        <v>6</v>
      </c>
      <c r="N80" s="32">
        <v>22</v>
      </c>
      <c r="O80" s="14">
        <f>COUNTIFS(O90:O192, "=2",$B$90:$B$192, "&gt;=2006",$B$90:$B$192, "&lt;=2008")</f>
        <v>0</v>
      </c>
      <c r="Q80" s="3">
        <v>26</v>
      </c>
      <c r="R80" s="14">
        <f>COUNTIFS(R90:R192, "=2",$B$90:$B$192, "&gt;=2006",$B$90:$B$192, "&lt;=2008")</f>
        <v>0</v>
      </c>
      <c r="S80" s="32">
        <v>30</v>
      </c>
      <c r="T80" s="14">
        <f>COUNTIFS(T90:T192, "=2",$B$90:$B$192, "&gt;=2006",$B$90:$B$192, "&lt;=2008")</f>
        <v>0</v>
      </c>
      <c r="U80" s="32">
        <v>34</v>
      </c>
      <c r="V80" s="14">
        <f>COUNTIFS(V90:V192, "=2",$B$90:$B$192, "&gt;=2006",$B$90:$B$192, "&lt;=2008")</f>
        <v>0</v>
      </c>
    </row>
    <row r="81" spans="1:22" x14ac:dyDescent="0.2">
      <c r="A81" s="3">
        <v>4</v>
      </c>
      <c r="C81" s="3">
        <v>2</v>
      </c>
      <c r="D81" s="3">
        <f>COUNTIFS(D90:D192, "=2",$B$90:$B$192, "&gt;=2009",$B$90:$B$192, "&lt;=2011")</f>
        <v>7</v>
      </c>
      <c r="E81" s="28">
        <v>6</v>
      </c>
      <c r="F81" s="3">
        <f>COUNTIFS(F90:F192, "=2",$B$90:$B$192, "&gt;=2009",$B$90:$B$192, "&lt;=2011")</f>
        <v>7</v>
      </c>
      <c r="G81" s="3">
        <v>10</v>
      </c>
      <c r="H81" s="3">
        <f>COUNTIFS(H90:H192, "=2",$B$90:$B$192, "&gt;=2009",$B$90:$B$192, "&lt;=2011")</f>
        <v>0</v>
      </c>
      <c r="I81" s="16"/>
      <c r="J81" s="3">
        <v>14</v>
      </c>
      <c r="K81" s="3">
        <f>COUNTIFS(K90:K192, "=2",$B$90:$B$192, "&gt;=2009",$B$90:$B$192, "&lt;=2011")</f>
        <v>0</v>
      </c>
      <c r="L81" s="32">
        <v>18</v>
      </c>
      <c r="M81" s="3">
        <f>COUNTIFS(M90:M192, "=2",$B$90:$B$192, "&gt;=2009",$B$90:$B$192, "&lt;=2011")</f>
        <v>6</v>
      </c>
      <c r="N81" s="32">
        <v>22</v>
      </c>
      <c r="O81" s="3">
        <f>COUNTIFS(O90:O192, "=2",$B$90:$B$192, "&gt;=2009",$B$90:$B$192, "&lt;=2011")</f>
        <v>0</v>
      </c>
      <c r="Q81" s="3">
        <v>26</v>
      </c>
      <c r="R81" s="3">
        <f>COUNTIFS(R90:R192, "=2",$B$90:$B$192, "&gt;=2009",$B$90:$B$192, "&lt;=2011")</f>
        <v>0</v>
      </c>
      <c r="S81" s="32">
        <v>30</v>
      </c>
      <c r="T81" s="3">
        <f>COUNTIFS(T90:T192, "=2",$B$90:$B$192, "&gt;=2009",$B$90:$B$192, "&lt;=2011")</f>
        <v>5</v>
      </c>
      <c r="U81" s="32">
        <v>34</v>
      </c>
      <c r="V81" s="3">
        <f>COUNTIFS(V90:V192, "=2",$B$90:$B$192, "&gt;=2009",$B$90:$B$192, "&lt;=2011")</f>
        <v>0</v>
      </c>
    </row>
    <row r="82" spans="1:22" x14ac:dyDescent="0.2">
      <c r="A82" s="3">
        <v>5</v>
      </c>
      <c r="C82" s="3">
        <v>2</v>
      </c>
      <c r="D82" s="3">
        <f>COUNTIFS(D90:D192, "=2",$B$90:$B$192, "&gt;=2012",$B$90:$B$192, "&lt;=2014")</f>
        <v>6</v>
      </c>
      <c r="E82" s="28">
        <v>6</v>
      </c>
      <c r="F82" s="3">
        <f>COUNTIFS(F90:F192, "=2",$B$90:$B$192, "&gt;=2012",$B$90:$B$192, "&lt;=2014")</f>
        <v>6</v>
      </c>
      <c r="G82" s="3">
        <v>10</v>
      </c>
      <c r="H82" s="3">
        <f>COUNTIFS(H90:H192, "=2",$B$90:$B$192, "&gt;=2012",$B$90:$B$192, "&lt;=2014")</f>
        <v>0</v>
      </c>
      <c r="I82" s="16"/>
      <c r="J82" s="3">
        <v>14</v>
      </c>
      <c r="K82" s="3">
        <f>COUNTIFS(K90:K192, "=2",$B$90:$B$192, "&gt;=2012",$B$90:$B$192, "&lt;=2014")</f>
        <v>0</v>
      </c>
      <c r="L82" s="32">
        <v>18</v>
      </c>
      <c r="M82" s="3">
        <f>COUNTIFS(M90:M192, "=2",$B$90:$B$192, "&gt;=2012",$B$90:$B$192, "&lt;=2014")</f>
        <v>6</v>
      </c>
      <c r="N82" s="32">
        <v>22</v>
      </c>
      <c r="O82" s="3">
        <f>COUNTIFS(O90:O192, "=2",$B$90:$B$192, "&gt;=2012",$B$90:$B$192, "&lt;=2014")</f>
        <v>0</v>
      </c>
      <c r="Q82" s="3">
        <v>26</v>
      </c>
      <c r="R82" s="3">
        <f>COUNTIFS(R90:R192, "=2",$B$90:$B$192, "&gt;=2012",$B$90:$B$192, "&lt;=2014")</f>
        <v>0</v>
      </c>
      <c r="S82" s="32">
        <v>30</v>
      </c>
      <c r="T82" s="3">
        <f>COUNTIFS(T90:T192, "=2",$B$90:$B$192, "&gt;=2012",$B$90:$B$192, "&lt;=2014")</f>
        <v>6</v>
      </c>
      <c r="U82" s="32">
        <v>34</v>
      </c>
      <c r="V82" s="3">
        <f>COUNTIFS(V90:V192, "=2",$B$90:$B$192, "&gt;=2012",$B$90:$B$192, "&lt;=2014")</f>
        <v>0</v>
      </c>
    </row>
    <row r="83" spans="1:22" x14ac:dyDescent="0.2">
      <c r="A83" s="3">
        <v>6</v>
      </c>
      <c r="C83" s="3">
        <v>2</v>
      </c>
      <c r="D83" s="3">
        <f>COUNTIFS(D90:D192, "=2",$B$90:$B$192, "&gt;=2015",$B$90:$B$192, "&lt;=2017")</f>
        <v>1</v>
      </c>
      <c r="E83" s="28">
        <v>6</v>
      </c>
      <c r="F83" s="3">
        <f>COUNTIFS(F90:F192, "=2",$B$90:$B$192, "&gt;=2015",$B$90:$B$192, "&lt;=2017")</f>
        <v>1</v>
      </c>
      <c r="G83" s="3">
        <v>10</v>
      </c>
      <c r="H83" s="3">
        <f>COUNTIFS(H90:H192, "=2",$B$90:$B$192, "&gt;=2015",$B$90:$B$192, "&lt;=2017")</f>
        <v>0</v>
      </c>
      <c r="I83" s="16"/>
      <c r="J83" s="3">
        <v>14</v>
      </c>
      <c r="K83" s="3">
        <f>COUNTIFS(K90:K192, "=2",$B$90:$B$192, "&gt;=2015",$B$90:$B$192, "&lt;=2017")</f>
        <v>0</v>
      </c>
      <c r="L83" s="32">
        <v>18</v>
      </c>
      <c r="M83" s="3">
        <f>COUNTIFS(M90:M192, "=2",$B$90:$B$192, "&gt;=2015",$B$90:$B$192, "&lt;=2017")</f>
        <v>1</v>
      </c>
      <c r="N83" s="32">
        <v>22</v>
      </c>
      <c r="O83" s="3">
        <f>COUNTIFS(O90:O192, "=2",$B$90:$B$192, "&gt;=2015",$B$90:$B$192, "&lt;=2017")</f>
        <v>0</v>
      </c>
      <c r="Q83" s="3">
        <v>26</v>
      </c>
      <c r="R83" s="3">
        <f>COUNTIFS(R90:R192, "=2",$B$90:$B$192, "&gt;=2015",$B$90:$B$192, "&lt;=2017")</f>
        <v>0</v>
      </c>
      <c r="S83" s="32">
        <v>30</v>
      </c>
      <c r="T83" s="3">
        <f>COUNTIFS(T90:T192, "=2",$B$90:$B$192, "&gt;=2015",$B$90:$B$192, "&lt;=2017")</f>
        <v>1</v>
      </c>
      <c r="U83" s="32">
        <v>34</v>
      </c>
      <c r="V83" s="3">
        <f>COUNTIFS(V90:V192, "=2",$B$90:$B$192, "&gt;=2015",$B$90:$B$192, "&lt;=2017")</f>
        <v>0</v>
      </c>
    </row>
    <row r="84" spans="1:22" x14ac:dyDescent="0.2">
      <c r="A84" s="3">
        <v>7</v>
      </c>
      <c r="C84" s="3">
        <v>2</v>
      </c>
      <c r="D84" s="3">
        <f>COUNTIFS(D90:D192, "=2",$B$90:$B$192, "&gt;=2018",$B$90:$B$192, "&lt;=2020")</f>
        <v>1</v>
      </c>
      <c r="E84" s="28">
        <v>6</v>
      </c>
      <c r="F84" s="3">
        <f>COUNTIFS(F90:F192, "=2",$B$90:$B$192, "&gt;=2018",$B$90:$B$192, "&lt;=2020")</f>
        <v>1</v>
      </c>
      <c r="G84" s="3">
        <v>10</v>
      </c>
      <c r="H84" s="3">
        <f>COUNTIFS(H90:H192, "=2",$B$90:$B$192, "&gt;=2018",$B$90:$B$192, "&lt;=2020")</f>
        <v>0</v>
      </c>
      <c r="I84" s="16"/>
      <c r="J84" s="3">
        <v>14</v>
      </c>
      <c r="K84" s="3">
        <f>COUNTIFS(K90:K192, "=2",$B$90:$B$192, "&gt;=2018",$B$90:$B$192, "&lt;=2020")</f>
        <v>0</v>
      </c>
      <c r="L84" s="32">
        <v>18</v>
      </c>
      <c r="M84" s="3">
        <f>COUNTIFS(M90:M192, "=2",$B$90:$B$192, "&gt;=2018",$B$90:$B$192, "&lt;=2020")</f>
        <v>1</v>
      </c>
      <c r="N84" s="32">
        <v>22</v>
      </c>
      <c r="O84" s="3">
        <f>COUNTIFS(O90:O192, "=2",$B$90:$B$192, "&gt;=2018",$B$90:$B$192, "&lt;=2020")</f>
        <v>0</v>
      </c>
      <c r="Q84" s="3">
        <v>26</v>
      </c>
      <c r="R84" s="3">
        <f>COUNTIFS(R90:R192, "=2",$B$90:$B$192, "&gt;=2018",$B$90:$B$192, "&lt;=2020")</f>
        <v>0</v>
      </c>
      <c r="S84" s="32">
        <v>30</v>
      </c>
      <c r="T84" s="3">
        <f>COUNTIFS(T90:T192, "=2",$B$90:$B$192, "&gt;=2018",$B$90:$B$192, "&lt;=2020")</f>
        <v>1</v>
      </c>
      <c r="U84" s="32">
        <v>34</v>
      </c>
      <c r="V84" s="3">
        <f>COUNTIFS(V90:V192, "=2",$B$90:$B$192, "&gt;=2018",$B$90:$B$192, "&lt;=2020")</f>
        <v>0</v>
      </c>
    </row>
    <row r="85" spans="1:22" x14ac:dyDescent="0.2">
      <c r="A85" s="3">
        <v>8</v>
      </c>
      <c r="C85" s="3">
        <v>2</v>
      </c>
      <c r="D85" s="3">
        <f>COUNTIFS(D90:D192, "=2",$B$90:$B$192, "&gt;=2021",$B$90:$B$192, "&lt;=2024")</f>
        <v>1</v>
      </c>
      <c r="E85" s="28">
        <v>6</v>
      </c>
      <c r="F85" s="3">
        <f>COUNTIFS(F90:F192, "=2",$B$90:$B$192, "&gt;=2021",$B$90:$B$192, "&lt;=2024")</f>
        <v>1</v>
      </c>
      <c r="G85" s="3">
        <v>10</v>
      </c>
      <c r="H85" s="3">
        <f>COUNTIFS(H90:H192, "=2",$B$90:$B$192, "&gt;=2021",$B$90:$B$192, "&lt;=2024")</f>
        <v>0</v>
      </c>
      <c r="I85" s="16"/>
      <c r="J85" s="3">
        <v>14</v>
      </c>
      <c r="K85" s="3">
        <f>COUNTIFS(K90:K192, "=2",$B$90:$B$192, "&gt;=2021",$B$90:$B$192, "&lt;=2024")</f>
        <v>0</v>
      </c>
      <c r="L85" s="32">
        <v>18</v>
      </c>
      <c r="M85" s="3">
        <f>COUNTIFS(M90:M192, "=2",$B$90:$B$192, "&gt;=2021",$B$90:$B$192, "&lt;=2024")</f>
        <v>1</v>
      </c>
      <c r="N85" s="32">
        <v>22</v>
      </c>
      <c r="O85" s="3">
        <f>COUNTIFS(O90:O192, "=2",$B$90:$B$192, "&gt;=2021",$B$90:$B$192, "&lt;=2024")</f>
        <v>0</v>
      </c>
      <c r="Q85" s="3">
        <v>26</v>
      </c>
      <c r="R85" s="3">
        <f>COUNTIFS(R90:R192, "=2",$B$90:$B$192, "&gt;=2021",$B$90:$B$192, "&lt;=2024")</f>
        <v>0</v>
      </c>
      <c r="S85" s="32">
        <v>30</v>
      </c>
      <c r="T85" s="3">
        <f>COUNTIFS(T90:T192, "=2",$B$90:$B$192, "&gt;=2021",$B$90:$B$192, "&lt;=2024")</f>
        <v>1</v>
      </c>
      <c r="U85" s="32">
        <v>34</v>
      </c>
      <c r="V85" s="3">
        <f>COUNTIFS(V90:V192, "=2",$B$90:$B$192, "&gt;=2021",$B$90:$B$192, "&lt;=2024")</f>
        <v>0</v>
      </c>
    </row>
    <row r="86" spans="1:22" x14ac:dyDescent="0.2">
      <c r="A86" s="53" t="s">
        <v>24</v>
      </c>
      <c r="B86" s="54"/>
      <c r="D86" s="4">
        <f>SUM(D59:D85)</f>
        <v>35</v>
      </c>
      <c r="E86" s="4"/>
      <c r="F86" s="4">
        <f>SUM(F59:F85)</f>
        <v>35</v>
      </c>
      <c r="G86" s="4"/>
      <c r="H86" s="4">
        <f>SUM(H59:H85)</f>
        <v>35</v>
      </c>
      <c r="I86" s="16"/>
      <c r="J86" s="16"/>
      <c r="K86" s="4">
        <f>SUM(K59:K85)</f>
        <v>35</v>
      </c>
      <c r="L86" s="4"/>
      <c r="M86" s="4">
        <f>SUM(M59:M85)</f>
        <v>35</v>
      </c>
      <c r="N86" s="4"/>
      <c r="O86" s="4">
        <f>SUM(O59:O85)</f>
        <v>35</v>
      </c>
      <c r="R86" s="4">
        <f>SUM(R59:R85)</f>
        <v>35</v>
      </c>
      <c r="S86" s="4"/>
      <c r="T86" s="4">
        <f>SUM(T59:T85)</f>
        <v>35</v>
      </c>
      <c r="U86" s="4"/>
      <c r="V86" s="4">
        <f>SUM(V59:V85)</f>
        <v>35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0</v>
      </c>
      <c r="B89" s="10" t="s">
        <v>96</v>
      </c>
      <c r="D89" s="6" t="s">
        <v>169</v>
      </c>
      <c r="E89" s="6"/>
      <c r="F89" s="6" t="s">
        <v>170</v>
      </c>
      <c r="G89" s="6"/>
      <c r="H89" s="6" t="s">
        <v>171</v>
      </c>
      <c r="I89" s="12"/>
      <c r="J89" s="6"/>
      <c r="K89" s="6" t="s">
        <v>23</v>
      </c>
      <c r="L89" s="6"/>
      <c r="M89" s="6" t="s">
        <v>172</v>
      </c>
      <c r="N89" s="6"/>
      <c r="O89" s="6" t="s">
        <v>175</v>
      </c>
      <c r="Q89" s="6"/>
      <c r="R89" s="6" t="s">
        <v>174</v>
      </c>
      <c r="S89" s="6"/>
      <c r="T89" s="6" t="s">
        <v>107</v>
      </c>
      <c r="U89" s="6"/>
      <c r="V89" s="6" t="s">
        <v>108</v>
      </c>
    </row>
    <row r="90" spans="1:22" ht="51" x14ac:dyDescent="0.2">
      <c r="A90" s="3" t="s">
        <v>28</v>
      </c>
      <c r="B90" s="7">
        <v>1998</v>
      </c>
      <c r="C90" s="41" t="s">
        <v>178</v>
      </c>
      <c r="D90" s="7">
        <v>2</v>
      </c>
      <c r="E90" s="7"/>
      <c r="F90" s="7">
        <v>1</v>
      </c>
      <c r="G90" s="7"/>
      <c r="H90" s="7">
        <v>1</v>
      </c>
      <c r="I90" s="13"/>
      <c r="J90" s="7"/>
      <c r="K90" s="7">
        <v>0</v>
      </c>
      <c r="L90" s="7"/>
      <c r="M90" s="7">
        <v>2</v>
      </c>
      <c r="N90" s="7"/>
      <c r="O90" s="7">
        <v>1</v>
      </c>
      <c r="Q90" s="7"/>
      <c r="R90" s="7">
        <v>0</v>
      </c>
      <c r="S90" s="7"/>
      <c r="T90" s="7">
        <v>0</v>
      </c>
      <c r="U90" s="7"/>
      <c r="V90" s="7">
        <v>1</v>
      </c>
    </row>
    <row r="91" spans="1:22" ht="51" x14ac:dyDescent="0.2">
      <c r="A91" s="3" t="s">
        <v>30</v>
      </c>
      <c r="B91" s="7">
        <v>2010</v>
      </c>
      <c r="C91" s="41" t="s">
        <v>179</v>
      </c>
      <c r="D91" s="7">
        <v>2</v>
      </c>
      <c r="E91" s="7"/>
      <c r="F91" s="7">
        <v>2</v>
      </c>
      <c r="G91" s="7"/>
      <c r="H91" s="7">
        <v>1</v>
      </c>
      <c r="I91" s="13"/>
      <c r="J91" s="7"/>
      <c r="K91" s="7">
        <v>0</v>
      </c>
      <c r="L91" s="7"/>
      <c r="M91" s="7">
        <v>1</v>
      </c>
      <c r="N91" s="7"/>
      <c r="O91" s="7">
        <v>1</v>
      </c>
      <c r="Q91" s="7"/>
      <c r="R91" s="7">
        <v>0</v>
      </c>
      <c r="S91" s="7"/>
      <c r="T91" s="7">
        <v>2</v>
      </c>
      <c r="U91" s="7"/>
      <c r="V91" s="7">
        <v>1</v>
      </c>
    </row>
    <row r="92" spans="1:22" ht="51" x14ac:dyDescent="0.2">
      <c r="A92" s="3" t="s">
        <v>29</v>
      </c>
      <c r="B92" s="7">
        <v>1999</v>
      </c>
      <c r="C92" s="41" t="s">
        <v>180</v>
      </c>
      <c r="D92" s="7">
        <v>2</v>
      </c>
      <c r="E92" s="7"/>
      <c r="F92" s="7">
        <v>2</v>
      </c>
      <c r="G92" s="7"/>
      <c r="H92" s="7">
        <v>1</v>
      </c>
      <c r="I92" s="13"/>
      <c r="J92" s="7"/>
      <c r="K92" s="7">
        <v>0</v>
      </c>
      <c r="L92" s="7"/>
      <c r="M92" s="7">
        <v>2</v>
      </c>
      <c r="N92" s="7"/>
      <c r="O92" s="7">
        <v>1</v>
      </c>
      <c r="Q92" s="7"/>
      <c r="R92" s="7">
        <v>0</v>
      </c>
      <c r="S92" s="7"/>
      <c r="T92" s="7">
        <v>0</v>
      </c>
      <c r="U92" s="7"/>
      <c r="V92" s="7">
        <v>1</v>
      </c>
    </row>
    <row r="93" spans="1:22" ht="51" x14ac:dyDescent="0.2">
      <c r="A93" s="3" t="s">
        <v>31</v>
      </c>
      <c r="B93" s="7">
        <v>2000</v>
      </c>
      <c r="C93" s="41" t="s">
        <v>181</v>
      </c>
      <c r="D93" s="7">
        <v>2</v>
      </c>
      <c r="E93" s="7"/>
      <c r="F93" s="7">
        <v>2</v>
      </c>
      <c r="G93" s="7"/>
      <c r="H93" s="7">
        <v>1</v>
      </c>
      <c r="I93" s="13"/>
      <c r="J93" s="7"/>
      <c r="K93" s="7">
        <v>0</v>
      </c>
      <c r="L93" s="7"/>
      <c r="M93" s="7">
        <v>2</v>
      </c>
      <c r="N93" s="7"/>
      <c r="O93" s="7">
        <v>1</v>
      </c>
      <c r="Q93" s="7"/>
      <c r="R93" s="7">
        <v>0</v>
      </c>
      <c r="S93" s="7"/>
      <c r="T93" s="7">
        <v>0</v>
      </c>
      <c r="U93" s="7"/>
      <c r="V93" s="7">
        <v>1</v>
      </c>
    </row>
    <row r="94" spans="1:22" ht="51" x14ac:dyDescent="0.2">
      <c r="A94" s="3" t="s">
        <v>32</v>
      </c>
      <c r="B94" s="7">
        <v>2001</v>
      </c>
      <c r="C94" s="41" t="s">
        <v>182</v>
      </c>
      <c r="D94" s="7">
        <v>2</v>
      </c>
      <c r="E94" s="7"/>
      <c r="F94" s="7">
        <v>2</v>
      </c>
      <c r="G94" s="7"/>
      <c r="H94" s="7">
        <v>1</v>
      </c>
      <c r="I94" s="13"/>
      <c r="J94" s="7"/>
      <c r="K94" s="7">
        <v>0</v>
      </c>
      <c r="L94" s="7"/>
      <c r="M94" s="7">
        <v>2</v>
      </c>
      <c r="N94" s="7"/>
      <c r="O94" s="7">
        <v>1</v>
      </c>
      <c r="Q94" s="7"/>
      <c r="R94" s="7">
        <v>0</v>
      </c>
      <c r="S94" s="7"/>
      <c r="T94" s="7">
        <v>0</v>
      </c>
      <c r="U94" s="7"/>
      <c r="V94" s="7">
        <v>1</v>
      </c>
    </row>
    <row r="95" spans="1:22" ht="51" x14ac:dyDescent="0.2">
      <c r="A95" s="3" t="s">
        <v>33</v>
      </c>
      <c r="B95" s="7">
        <v>2001</v>
      </c>
      <c r="C95" s="41" t="s">
        <v>183</v>
      </c>
      <c r="D95" s="7">
        <v>2</v>
      </c>
      <c r="E95" s="7"/>
      <c r="F95" s="7">
        <v>2</v>
      </c>
      <c r="G95" s="7"/>
      <c r="H95" s="7">
        <v>1</v>
      </c>
      <c r="I95" s="13"/>
      <c r="J95" s="7"/>
      <c r="K95" s="7">
        <v>0</v>
      </c>
      <c r="L95" s="7"/>
      <c r="M95" s="7">
        <v>2</v>
      </c>
      <c r="N95" s="7"/>
      <c r="O95" s="7">
        <v>1</v>
      </c>
      <c r="Q95" s="7"/>
      <c r="R95" s="7">
        <v>0</v>
      </c>
      <c r="S95" s="7"/>
      <c r="T95" s="7">
        <v>0</v>
      </c>
      <c r="U95" s="7"/>
      <c r="V95" s="7">
        <v>1</v>
      </c>
    </row>
    <row r="96" spans="1:22" ht="51" x14ac:dyDescent="0.2">
      <c r="A96" s="3" t="s">
        <v>34</v>
      </c>
      <c r="B96" s="7">
        <v>2002</v>
      </c>
      <c r="C96" s="41" t="s">
        <v>184</v>
      </c>
      <c r="D96" s="7">
        <v>2</v>
      </c>
      <c r="E96" s="7"/>
      <c r="F96" s="7">
        <v>2</v>
      </c>
      <c r="G96" s="7"/>
      <c r="H96" s="7">
        <v>1</v>
      </c>
      <c r="I96" s="13"/>
      <c r="J96" s="7"/>
      <c r="K96" s="7">
        <v>0</v>
      </c>
      <c r="L96" s="7"/>
      <c r="M96" s="7">
        <v>2</v>
      </c>
      <c r="N96" s="7"/>
      <c r="O96" s="7">
        <v>1</v>
      </c>
      <c r="Q96" s="7"/>
      <c r="R96" s="7">
        <v>0</v>
      </c>
      <c r="S96" s="7"/>
      <c r="T96" s="7">
        <v>0</v>
      </c>
      <c r="U96" s="7"/>
      <c r="V96" s="7">
        <v>1</v>
      </c>
    </row>
    <row r="97" spans="1:22" ht="51" x14ac:dyDescent="0.2">
      <c r="A97" s="3" t="s">
        <v>215</v>
      </c>
      <c r="B97" s="7">
        <v>2002</v>
      </c>
      <c r="C97" s="41" t="s">
        <v>185</v>
      </c>
      <c r="D97" s="7">
        <v>2</v>
      </c>
      <c r="E97" s="7"/>
      <c r="F97" s="7">
        <v>2</v>
      </c>
      <c r="G97" s="7"/>
      <c r="H97" s="7">
        <v>1</v>
      </c>
      <c r="I97" s="13"/>
      <c r="J97" s="7"/>
      <c r="K97" s="7">
        <v>0</v>
      </c>
      <c r="L97" s="7"/>
      <c r="M97" s="7">
        <v>2</v>
      </c>
      <c r="N97" s="7"/>
      <c r="O97" s="7">
        <v>1</v>
      </c>
      <c r="Q97" s="7"/>
      <c r="R97" s="7">
        <v>0</v>
      </c>
      <c r="S97" s="7"/>
      <c r="T97" s="7">
        <v>0</v>
      </c>
      <c r="U97" s="7"/>
      <c r="V97" s="7">
        <v>1</v>
      </c>
    </row>
    <row r="98" spans="1:22" ht="51" x14ac:dyDescent="0.2">
      <c r="A98" s="3" t="s">
        <v>35</v>
      </c>
      <c r="B98" s="7">
        <v>2003</v>
      </c>
      <c r="C98" s="41" t="s">
        <v>186</v>
      </c>
      <c r="D98" s="7">
        <v>2</v>
      </c>
      <c r="E98" s="7"/>
      <c r="F98" s="7">
        <v>2</v>
      </c>
      <c r="G98" s="7"/>
      <c r="H98" s="7">
        <v>1</v>
      </c>
      <c r="I98" s="13"/>
      <c r="J98" s="7"/>
      <c r="K98" s="7">
        <v>0</v>
      </c>
      <c r="L98" s="7"/>
      <c r="M98" s="7">
        <v>1</v>
      </c>
      <c r="N98" s="7"/>
      <c r="O98" s="7">
        <v>1</v>
      </c>
      <c r="Q98" s="7"/>
      <c r="R98" s="7">
        <v>0</v>
      </c>
      <c r="S98" s="7"/>
      <c r="T98" s="7">
        <v>0</v>
      </c>
      <c r="U98" s="7"/>
      <c r="V98" s="7">
        <v>1</v>
      </c>
    </row>
    <row r="99" spans="1:22" ht="60" x14ac:dyDescent="0.2">
      <c r="A99" s="10" t="s">
        <v>0</v>
      </c>
      <c r="B99" s="10" t="s">
        <v>96</v>
      </c>
      <c r="D99" s="6" t="s">
        <v>169</v>
      </c>
      <c r="E99" s="6"/>
      <c r="F99" s="6" t="s">
        <v>170</v>
      </c>
      <c r="G99" s="6"/>
      <c r="H99" s="6" t="s">
        <v>171</v>
      </c>
      <c r="I99" s="12"/>
      <c r="J99" s="6"/>
      <c r="K99" s="6" t="s">
        <v>23</v>
      </c>
      <c r="L99" s="6"/>
      <c r="M99" s="6" t="s">
        <v>172</v>
      </c>
      <c r="N99" s="6"/>
      <c r="O99" s="6" t="s">
        <v>175</v>
      </c>
      <c r="Q99" s="6"/>
      <c r="R99" s="6" t="s">
        <v>174</v>
      </c>
      <c r="S99" s="6"/>
      <c r="T99" s="6" t="s">
        <v>107</v>
      </c>
      <c r="U99" s="6"/>
      <c r="V99" s="6" t="s">
        <v>108</v>
      </c>
    </row>
    <row r="100" spans="1:22" ht="51" x14ac:dyDescent="0.2">
      <c r="A100" s="4" t="s">
        <v>36</v>
      </c>
      <c r="B100" s="8">
        <v>2003</v>
      </c>
      <c r="C100" s="41" t="s">
        <v>187</v>
      </c>
      <c r="D100" s="8">
        <v>2</v>
      </c>
      <c r="E100" s="8"/>
      <c r="F100" s="8">
        <v>2</v>
      </c>
      <c r="G100" s="8"/>
      <c r="H100" s="8">
        <v>1</v>
      </c>
      <c r="I100" s="13"/>
      <c r="J100" s="8"/>
      <c r="K100" s="8">
        <v>0</v>
      </c>
      <c r="L100" s="8"/>
      <c r="M100" s="8">
        <v>2</v>
      </c>
      <c r="N100" s="8"/>
      <c r="O100" s="8">
        <v>1</v>
      </c>
      <c r="Q100" s="8"/>
      <c r="R100" s="8">
        <v>0</v>
      </c>
      <c r="S100" s="8"/>
      <c r="T100" s="8">
        <v>0</v>
      </c>
      <c r="U100" s="8"/>
      <c r="V100" s="8">
        <v>1</v>
      </c>
    </row>
    <row r="101" spans="1:22" ht="51" x14ac:dyDescent="0.2">
      <c r="A101" s="4" t="s">
        <v>37</v>
      </c>
      <c r="B101" s="8">
        <v>2004</v>
      </c>
      <c r="C101" s="41" t="s">
        <v>188</v>
      </c>
      <c r="D101" s="8">
        <v>2</v>
      </c>
      <c r="E101" s="8"/>
      <c r="F101" s="8">
        <v>2</v>
      </c>
      <c r="G101" s="8"/>
      <c r="H101" s="8">
        <v>1</v>
      </c>
      <c r="I101" s="13"/>
      <c r="J101" s="8"/>
      <c r="K101" s="8">
        <v>0</v>
      </c>
      <c r="L101" s="8"/>
      <c r="M101" s="8">
        <v>2</v>
      </c>
      <c r="N101" s="8"/>
      <c r="O101" s="8">
        <v>1</v>
      </c>
      <c r="Q101" s="8"/>
      <c r="R101" s="8">
        <v>0</v>
      </c>
      <c r="S101" s="8"/>
      <c r="T101" s="8">
        <v>0</v>
      </c>
      <c r="U101" s="8"/>
      <c r="V101" s="8">
        <v>1</v>
      </c>
    </row>
    <row r="102" spans="1:22" ht="51" x14ac:dyDescent="0.2">
      <c r="A102" s="4" t="s">
        <v>38</v>
      </c>
      <c r="B102" s="8">
        <v>2004</v>
      </c>
      <c r="C102" s="41" t="s">
        <v>189</v>
      </c>
      <c r="D102" s="8">
        <v>2</v>
      </c>
      <c r="E102" s="8"/>
      <c r="F102" s="8">
        <v>2</v>
      </c>
      <c r="G102" s="8"/>
      <c r="H102" s="8">
        <v>1</v>
      </c>
      <c r="I102" s="13"/>
      <c r="J102" s="8"/>
      <c r="K102" s="8">
        <v>0</v>
      </c>
      <c r="L102" s="8"/>
      <c r="M102" s="8">
        <v>2</v>
      </c>
      <c r="N102" s="8"/>
      <c r="O102" s="8">
        <v>1</v>
      </c>
      <c r="Q102" s="8"/>
      <c r="R102" s="8">
        <v>0</v>
      </c>
      <c r="S102" s="8"/>
      <c r="T102" s="8">
        <v>0</v>
      </c>
      <c r="U102" s="8"/>
      <c r="V102" s="8">
        <v>1</v>
      </c>
    </row>
    <row r="103" spans="1:22" ht="51" x14ac:dyDescent="0.2">
      <c r="A103" s="4" t="s">
        <v>39</v>
      </c>
      <c r="B103" s="8">
        <v>2005</v>
      </c>
      <c r="C103" s="41" t="s">
        <v>190</v>
      </c>
      <c r="D103" s="8">
        <v>2</v>
      </c>
      <c r="E103" s="8"/>
      <c r="F103" s="8">
        <v>2</v>
      </c>
      <c r="G103" s="8"/>
      <c r="H103" s="8">
        <v>1</v>
      </c>
      <c r="I103" s="13"/>
      <c r="J103" s="8"/>
      <c r="K103" s="8">
        <v>0</v>
      </c>
      <c r="L103" s="8"/>
      <c r="M103" s="8">
        <v>2</v>
      </c>
      <c r="N103" s="8"/>
      <c r="O103" s="8">
        <v>1</v>
      </c>
      <c r="Q103" s="8"/>
      <c r="R103" s="8">
        <v>0</v>
      </c>
      <c r="S103" s="8"/>
      <c r="T103" s="8">
        <v>0</v>
      </c>
      <c r="U103" s="8"/>
      <c r="V103" s="8">
        <v>1</v>
      </c>
    </row>
    <row r="104" spans="1:22" ht="51" x14ac:dyDescent="0.2">
      <c r="A104" s="4" t="s">
        <v>40</v>
      </c>
      <c r="B104" s="8">
        <v>2005</v>
      </c>
      <c r="C104" s="41" t="s">
        <v>191</v>
      </c>
      <c r="D104" s="8">
        <v>2</v>
      </c>
      <c r="E104" s="8"/>
      <c r="F104" s="8">
        <v>2</v>
      </c>
      <c r="G104" s="8"/>
      <c r="H104" s="8">
        <v>1</v>
      </c>
      <c r="I104" s="13"/>
      <c r="J104" s="8"/>
      <c r="K104" s="8">
        <v>0</v>
      </c>
      <c r="L104" s="8"/>
      <c r="M104" s="8">
        <v>2</v>
      </c>
      <c r="N104" s="8"/>
      <c r="O104" s="8">
        <v>1</v>
      </c>
      <c r="Q104" s="8"/>
      <c r="R104" s="8">
        <v>0</v>
      </c>
      <c r="S104" s="8"/>
      <c r="T104" s="8">
        <v>0</v>
      </c>
      <c r="U104" s="8"/>
      <c r="V104" s="8">
        <v>1</v>
      </c>
    </row>
    <row r="105" spans="1:22" ht="51" x14ac:dyDescent="0.2">
      <c r="A105" s="4" t="s">
        <v>41</v>
      </c>
      <c r="B105" s="8">
        <v>2006</v>
      </c>
      <c r="C105" s="41" t="s">
        <v>192</v>
      </c>
      <c r="D105" s="8">
        <v>2</v>
      </c>
      <c r="E105" s="8"/>
      <c r="F105" s="8">
        <v>2</v>
      </c>
      <c r="G105" s="8"/>
      <c r="H105" s="8">
        <v>1</v>
      </c>
      <c r="I105" s="13"/>
      <c r="J105" s="8"/>
      <c r="K105" s="8">
        <v>0</v>
      </c>
      <c r="L105" s="8"/>
      <c r="M105" s="8">
        <v>2</v>
      </c>
      <c r="N105" s="8"/>
      <c r="O105" s="8">
        <v>1</v>
      </c>
      <c r="Q105" s="8"/>
      <c r="R105" s="8">
        <v>0</v>
      </c>
      <c r="S105" s="8"/>
      <c r="T105" s="8">
        <v>0</v>
      </c>
      <c r="U105" s="8"/>
      <c r="V105" s="8">
        <v>1</v>
      </c>
    </row>
    <row r="106" spans="1:22" ht="51" x14ac:dyDescent="0.2">
      <c r="A106" s="4" t="s">
        <v>42</v>
      </c>
      <c r="B106" s="8">
        <v>2006</v>
      </c>
      <c r="C106" s="41" t="s">
        <v>193</v>
      </c>
      <c r="D106" s="8">
        <v>2</v>
      </c>
      <c r="E106" s="8"/>
      <c r="F106" s="8">
        <v>2</v>
      </c>
      <c r="G106" s="8"/>
      <c r="H106" s="8">
        <v>1</v>
      </c>
      <c r="I106" s="13"/>
      <c r="J106" s="8"/>
      <c r="K106" s="8">
        <v>0</v>
      </c>
      <c r="L106" s="8"/>
      <c r="M106" s="8">
        <v>2</v>
      </c>
      <c r="N106" s="8"/>
      <c r="O106" s="8">
        <v>1</v>
      </c>
      <c r="Q106" s="8"/>
      <c r="R106" s="8">
        <v>0</v>
      </c>
      <c r="S106" s="8"/>
      <c r="T106" s="8">
        <v>0</v>
      </c>
      <c r="U106" s="8"/>
      <c r="V106" s="8">
        <v>1</v>
      </c>
    </row>
    <row r="107" spans="1:22" ht="51" x14ac:dyDescent="0.2">
      <c r="A107" s="4" t="s">
        <v>43</v>
      </c>
      <c r="B107" s="8">
        <v>2007</v>
      </c>
      <c r="C107" s="41" t="s">
        <v>194</v>
      </c>
      <c r="D107" s="8">
        <v>2</v>
      </c>
      <c r="E107" s="8"/>
      <c r="F107" s="8">
        <v>2</v>
      </c>
      <c r="G107" s="8"/>
      <c r="H107" s="8">
        <v>1</v>
      </c>
      <c r="I107" s="13"/>
      <c r="J107" s="8"/>
      <c r="K107" s="8">
        <v>0</v>
      </c>
      <c r="L107" s="8"/>
      <c r="M107" s="8">
        <v>2</v>
      </c>
      <c r="N107" s="8"/>
      <c r="O107" s="8">
        <v>1</v>
      </c>
      <c r="Q107" s="8"/>
      <c r="R107" s="8">
        <v>0</v>
      </c>
      <c r="S107" s="8"/>
      <c r="T107" s="8">
        <v>0</v>
      </c>
      <c r="U107" s="8"/>
      <c r="V107" s="8">
        <v>1</v>
      </c>
    </row>
    <row r="108" spans="1:22" ht="51" x14ac:dyDescent="0.2">
      <c r="A108" s="4" t="s">
        <v>44</v>
      </c>
      <c r="B108" s="8">
        <v>2007</v>
      </c>
      <c r="C108" s="41" t="s">
        <v>195</v>
      </c>
      <c r="D108" s="8">
        <v>2</v>
      </c>
      <c r="E108" s="8"/>
      <c r="F108" s="8">
        <v>2</v>
      </c>
      <c r="G108" s="8"/>
      <c r="H108" s="8">
        <v>1</v>
      </c>
      <c r="I108" s="13"/>
      <c r="J108" s="8"/>
      <c r="K108" s="8">
        <v>0</v>
      </c>
      <c r="L108" s="8"/>
      <c r="M108" s="8">
        <v>2</v>
      </c>
      <c r="N108" s="8"/>
      <c r="O108" s="8">
        <v>1</v>
      </c>
      <c r="Q108" s="8"/>
      <c r="R108" s="8">
        <v>0</v>
      </c>
      <c r="S108" s="8"/>
      <c r="T108" s="8">
        <v>0</v>
      </c>
      <c r="U108" s="8"/>
      <c r="V108" s="8">
        <v>1</v>
      </c>
    </row>
    <row r="109" spans="1:22" ht="60" x14ac:dyDescent="0.2">
      <c r="A109" s="10" t="s">
        <v>0</v>
      </c>
      <c r="B109" s="10" t="s">
        <v>96</v>
      </c>
      <c r="D109" s="6" t="s">
        <v>169</v>
      </c>
      <c r="E109" s="6"/>
      <c r="F109" s="6" t="s">
        <v>170</v>
      </c>
      <c r="G109" s="6"/>
      <c r="H109" s="6" t="s">
        <v>171</v>
      </c>
      <c r="I109" s="12"/>
      <c r="J109" s="6"/>
      <c r="K109" s="6" t="s">
        <v>23</v>
      </c>
      <c r="L109" s="6"/>
      <c r="M109" s="6" t="s">
        <v>172</v>
      </c>
      <c r="N109" s="6"/>
      <c r="O109" s="6" t="s">
        <v>175</v>
      </c>
      <c r="Q109" s="6"/>
      <c r="R109" s="6" t="s">
        <v>174</v>
      </c>
      <c r="S109" s="6"/>
      <c r="T109" s="6" t="s">
        <v>107</v>
      </c>
      <c r="U109" s="6"/>
      <c r="V109" s="6" t="s">
        <v>108</v>
      </c>
    </row>
    <row r="110" spans="1:22" ht="51" x14ac:dyDescent="0.2">
      <c r="A110" s="5" t="s">
        <v>45</v>
      </c>
      <c r="B110" s="9">
        <v>2008</v>
      </c>
      <c r="C110" s="41" t="s">
        <v>196</v>
      </c>
      <c r="D110" s="9">
        <v>2</v>
      </c>
      <c r="E110" s="9"/>
      <c r="F110" s="9">
        <v>2</v>
      </c>
      <c r="G110" s="9"/>
      <c r="H110" s="9">
        <v>1</v>
      </c>
      <c r="I110" s="13"/>
      <c r="J110" s="9"/>
      <c r="K110" s="9">
        <v>0</v>
      </c>
      <c r="L110" s="9"/>
      <c r="M110" s="9">
        <v>2</v>
      </c>
      <c r="N110" s="9"/>
      <c r="O110" s="9">
        <v>1</v>
      </c>
      <c r="Q110" s="9"/>
      <c r="R110" s="9">
        <v>0</v>
      </c>
      <c r="S110" s="9"/>
      <c r="T110" s="9">
        <v>0</v>
      </c>
      <c r="U110" s="9"/>
      <c r="V110" s="9">
        <v>1</v>
      </c>
    </row>
    <row r="111" spans="1:22" ht="51" x14ac:dyDescent="0.2">
      <c r="A111" s="5" t="s">
        <v>46</v>
      </c>
      <c r="B111" s="9">
        <v>2008</v>
      </c>
      <c r="C111" s="41" t="s">
        <v>197</v>
      </c>
      <c r="D111" s="9">
        <v>2</v>
      </c>
      <c r="E111" s="9"/>
      <c r="F111" s="9">
        <v>2</v>
      </c>
      <c r="G111" s="9"/>
      <c r="H111" s="9">
        <v>1</v>
      </c>
      <c r="I111" s="13"/>
      <c r="J111" s="9"/>
      <c r="K111" s="9">
        <v>0</v>
      </c>
      <c r="L111" s="9"/>
      <c r="M111" s="9">
        <v>2</v>
      </c>
      <c r="N111" s="9"/>
      <c r="O111" s="9">
        <v>1</v>
      </c>
      <c r="Q111" s="9"/>
      <c r="R111" s="9">
        <v>0</v>
      </c>
      <c r="S111" s="9"/>
      <c r="T111" s="9">
        <v>0</v>
      </c>
      <c r="U111" s="9"/>
      <c r="V111" s="9">
        <v>1</v>
      </c>
    </row>
    <row r="112" spans="1:22" ht="51" x14ac:dyDescent="0.2">
      <c r="A112" s="5" t="s">
        <v>47</v>
      </c>
      <c r="B112" s="9">
        <v>2009</v>
      </c>
      <c r="C112" s="41" t="s">
        <v>198</v>
      </c>
      <c r="D112" s="9">
        <v>2</v>
      </c>
      <c r="E112" s="9"/>
      <c r="F112" s="9">
        <v>2</v>
      </c>
      <c r="G112" s="9"/>
      <c r="H112" s="9">
        <v>1</v>
      </c>
      <c r="I112" s="13"/>
      <c r="J112" s="9"/>
      <c r="K112" s="9">
        <v>0</v>
      </c>
      <c r="L112" s="9"/>
      <c r="M112" s="9">
        <v>2</v>
      </c>
      <c r="N112" s="9"/>
      <c r="O112" s="9">
        <v>1</v>
      </c>
      <c r="Q112" s="9"/>
      <c r="R112" s="9">
        <v>0</v>
      </c>
      <c r="S112" s="9"/>
      <c r="T112" s="9">
        <v>0</v>
      </c>
      <c r="U112" s="9"/>
      <c r="V112" s="9">
        <v>1</v>
      </c>
    </row>
    <row r="113" spans="1:22" ht="51" x14ac:dyDescent="0.2">
      <c r="A113" s="5" t="s">
        <v>48</v>
      </c>
      <c r="B113" s="9">
        <v>2009</v>
      </c>
      <c r="C113" s="41" t="s">
        <v>199</v>
      </c>
      <c r="D113" s="9">
        <v>2</v>
      </c>
      <c r="E113" s="9"/>
      <c r="F113" s="9">
        <v>2</v>
      </c>
      <c r="G113" s="9"/>
      <c r="H113" s="9">
        <v>1</v>
      </c>
      <c r="I113" s="13"/>
      <c r="J113" s="9"/>
      <c r="K113" s="9">
        <v>0</v>
      </c>
      <c r="L113" s="9"/>
      <c r="M113" s="9">
        <v>2</v>
      </c>
      <c r="N113" s="9"/>
      <c r="O113" s="9">
        <v>1</v>
      </c>
      <c r="Q113" s="9"/>
      <c r="R113" s="9">
        <v>0</v>
      </c>
      <c r="S113" s="9"/>
      <c r="T113" s="9">
        <v>0</v>
      </c>
      <c r="U113" s="9"/>
      <c r="V113" s="9">
        <v>1</v>
      </c>
    </row>
    <row r="114" spans="1:22" ht="51" x14ac:dyDescent="0.2">
      <c r="A114" s="5" t="s">
        <v>49</v>
      </c>
      <c r="B114" s="9">
        <v>2010</v>
      </c>
      <c r="C114" s="41" t="s">
        <v>200</v>
      </c>
      <c r="D114" s="9">
        <v>2</v>
      </c>
      <c r="E114" s="9"/>
      <c r="F114" s="9">
        <v>2</v>
      </c>
      <c r="G114" s="9"/>
      <c r="H114" s="9">
        <v>1</v>
      </c>
      <c r="I114" s="13"/>
      <c r="J114" s="9"/>
      <c r="K114" s="9">
        <v>0</v>
      </c>
      <c r="L114" s="9"/>
      <c r="M114" s="9">
        <v>2</v>
      </c>
      <c r="N114" s="9"/>
      <c r="O114" s="9">
        <v>1</v>
      </c>
      <c r="Q114" s="9"/>
      <c r="R114" s="9">
        <v>0</v>
      </c>
      <c r="S114" s="9"/>
      <c r="T114" s="9">
        <v>2</v>
      </c>
      <c r="U114" s="9"/>
      <c r="V114" s="9">
        <v>1</v>
      </c>
    </row>
    <row r="115" spans="1:22" ht="51" x14ac:dyDescent="0.2">
      <c r="A115" s="5" t="s">
        <v>50</v>
      </c>
      <c r="B115" s="9">
        <v>2010</v>
      </c>
      <c r="C115" s="41" t="s">
        <v>201</v>
      </c>
      <c r="D115" s="9">
        <v>2</v>
      </c>
      <c r="E115" s="9"/>
      <c r="F115" s="9">
        <v>2</v>
      </c>
      <c r="G115" s="9"/>
      <c r="H115" s="9">
        <v>1</v>
      </c>
      <c r="I115" s="13"/>
      <c r="J115" s="9"/>
      <c r="K115" s="9">
        <v>0</v>
      </c>
      <c r="L115" s="9"/>
      <c r="M115" s="9">
        <v>2</v>
      </c>
      <c r="N115" s="9"/>
      <c r="O115" s="9">
        <v>1</v>
      </c>
      <c r="Q115" s="9"/>
      <c r="R115" s="9">
        <v>0</v>
      </c>
      <c r="S115" s="9"/>
      <c r="T115" s="9">
        <v>2</v>
      </c>
      <c r="U115" s="9"/>
      <c r="V115" s="9">
        <v>1</v>
      </c>
    </row>
    <row r="116" spans="1:22" ht="51" x14ac:dyDescent="0.2">
      <c r="A116" s="5" t="s">
        <v>51</v>
      </c>
      <c r="B116" s="9">
        <v>2011</v>
      </c>
      <c r="C116" s="41" t="s">
        <v>202</v>
      </c>
      <c r="D116" s="9">
        <v>2</v>
      </c>
      <c r="E116" s="9"/>
      <c r="F116" s="9">
        <v>2</v>
      </c>
      <c r="G116" s="9"/>
      <c r="H116" s="9">
        <v>1</v>
      </c>
      <c r="I116" s="13"/>
      <c r="J116" s="9"/>
      <c r="K116" s="9">
        <v>0</v>
      </c>
      <c r="L116" s="9"/>
      <c r="M116" s="9">
        <v>2</v>
      </c>
      <c r="N116" s="9"/>
      <c r="O116" s="9">
        <v>1</v>
      </c>
      <c r="Q116" s="9"/>
      <c r="R116" s="9">
        <v>0</v>
      </c>
      <c r="S116" s="9"/>
      <c r="T116" s="9">
        <v>2</v>
      </c>
      <c r="U116" s="9"/>
      <c r="V116" s="9">
        <v>1</v>
      </c>
    </row>
    <row r="117" spans="1:22" ht="51" x14ac:dyDescent="0.2">
      <c r="A117" s="5" t="s">
        <v>52</v>
      </c>
      <c r="B117" s="9">
        <v>2011</v>
      </c>
      <c r="C117" s="41" t="s">
        <v>203</v>
      </c>
      <c r="D117" s="9">
        <v>2</v>
      </c>
      <c r="E117" s="9"/>
      <c r="F117" s="9">
        <v>2</v>
      </c>
      <c r="G117" s="9"/>
      <c r="H117" s="9">
        <v>1</v>
      </c>
      <c r="I117" s="13"/>
      <c r="J117" s="9"/>
      <c r="K117" s="9">
        <v>0</v>
      </c>
      <c r="L117" s="9"/>
      <c r="M117" s="9">
        <v>2</v>
      </c>
      <c r="N117" s="9"/>
      <c r="O117" s="9">
        <v>1</v>
      </c>
      <c r="Q117" s="9"/>
      <c r="R117" s="9">
        <v>0</v>
      </c>
      <c r="S117" s="9"/>
      <c r="T117" s="9">
        <v>2</v>
      </c>
      <c r="U117" s="9"/>
      <c r="V117" s="9">
        <v>1</v>
      </c>
    </row>
    <row r="118" spans="1:22" ht="51" x14ac:dyDescent="0.2">
      <c r="A118" s="5" t="s">
        <v>53</v>
      </c>
      <c r="B118" s="9">
        <v>2012</v>
      </c>
      <c r="C118" s="41" t="s">
        <v>204</v>
      </c>
      <c r="D118" s="9">
        <v>2</v>
      </c>
      <c r="E118" s="9"/>
      <c r="F118" s="9">
        <v>2</v>
      </c>
      <c r="G118" s="9"/>
      <c r="H118" s="9">
        <v>1</v>
      </c>
      <c r="I118" s="13"/>
      <c r="J118" s="9"/>
      <c r="K118" s="9">
        <v>0</v>
      </c>
      <c r="L118" s="9"/>
      <c r="M118" s="9">
        <v>2</v>
      </c>
      <c r="N118" s="9"/>
      <c r="O118" s="9">
        <v>1</v>
      </c>
      <c r="Q118" s="9"/>
      <c r="R118" s="9">
        <v>0</v>
      </c>
      <c r="S118" s="9"/>
      <c r="T118" s="9">
        <v>2</v>
      </c>
      <c r="U118" s="9"/>
      <c r="V118" s="9">
        <v>1</v>
      </c>
    </row>
    <row r="119" spans="1:22" ht="60" x14ac:dyDescent="0.2">
      <c r="A119" s="10" t="s">
        <v>0</v>
      </c>
      <c r="B119" s="10" t="s">
        <v>96</v>
      </c>
      <c r="D119" s="6" t="s">
        <v>169</v>
      </c>
      <c r="E119" s="6"/>
      <c r="F119" s="6" t="s">
        <v>170</v>
      </c>
      <c r="G119" s="6"/>
      <c r="H119" s="6" t="s">
        <v>171</v>
      </c>
      <c r="I119" s="12"/>
      <c r="J119" s="6"/>
      <c r="K119" s="6" t="s">
        <v>23</v>
      </c>
      <c r="L119" s="6"/>
      <c r="M119" s="6" t="s">
        <v>172</v>
      </c>
      <c r="N119" s="6"/>
      <c r="O119" s="6" t="s">
        <v>175</v>
      </c>
      <c r="Q119" s="6"/>
      <c r="R119" s="6" t="s">
        <v>174</v>
      </c>
      <c r="S119" s="6"/>
      <c r="T119" s="6" t="s">
        <v>107</v>
      </c>
      <c r="U119" s="6"/>
      <c r="V119" s="6" t="s">
        <v>108</v>
      </c>
    </row>
    <row r="120" spans="1:22" ht="51" x14ac:dyDescent="0.2">
      <c r="A120" s="3" t="s">
        <v>54</v>
      </c>
      <c r="B120" s="7">
        <v>2012</v>
      </c>
      <c r="C120" s="41" t="s">
        <v>205</v>
      </c>
      <c r="D120" s="7">
        <v>2</v>
      </c>
      <c r="E120" s="7"/>
      <c r="F120" s="7">
        <v>2</v>
      </c>
      <c r="G120" s="7"/>
      <c r="H120" s="7">
        <v>1</v>
      </c>
      <c r="I120" s="13"/>
      <c r="J120" s="7"/>
      <c r="K120" s="7">
        <v>0</v>
      </c>
      <c r="L120" s="7"/>
      <c r="M120" s="7">
        <v>2</v>
      </c>
      <c r="N120" s="7"/>
      <c r="O120" s="7">
        <v>1</v>
      </c>
      <c r="Q120" s="7"/>
      <c r="R120" s="7">
        <v>0</v>
      </c>
      <c r="S120" s="7"/>
      <c r="T120" s="7">
        <v>2</v>
      </c>
      <c r="U120" s="7"/>
      <c r="V120" s="7">
        <v>1</v>
      </c>
    </row>
    <row r="121" spans="1:22" ht="51" x14ac:dyDescent="0.2">
      <c r="A121" s="3" t="s">
        <v>55</v>
      </c>
      <c r="B121" s="7">
        <v>2013</v>
      </c>
      <c r="C121" s="41" t="s">
        <v>206</v>
      </c>
      <c r="D121" s="7">
        <v>2</v>
      </c>
      <c r="E121" s="7"/>
      <c r="F121" s="7">
        <v>2</v>
      </c>
      <c r="G121" s="7"/>
      <c r="H121" s="7">
        <v>1</v>
      </c>
      <c r="I121" s="13"/>
      <c r="J121" s="7"/>
      <c r="K121" s="7">
        <v>0</v>
      </c>
      <c r="L121" s="7"/>
      <c r="M121" s="7">
        <v>2</v>
      </c>
      <c r="N121" s="7"/>
      <c r="O121" s="7">
        <v>1</v>
      </c>
      <c r="Q121" s="7"/>
      <c r="R121" s="7">
        <v>0</v>
      </c>
      <c r="S121" s="7"/>
      <c r="T121" s="7">
        <v>2</v>
      </c>
      <c r="U121" s="7"/>
      <c r="V121" s="7">
        <v>1</v>
      </c>
    </row>
    <row r="122" spans="1:22" ht="51" x14ac:dyDescent="0.2">
      <c r="A122" s="3" t="s">
        <v>56</v>
      </c>
      <c r="B122" s="7">
        <v>2013</v>
      </c>
      <c r="C122" s="41" t="s">
        <v>207</v>
      </c>
      <c r="D122" s="7">
        <v>2</v>
      </c>
      <c r="E122" s="7"/>
      <c r="F122" s="7">
        <v>2</v>
      </c>
      <c r="G122" s="7"/>
      <c r="H122" s="7">
        <v>1</v>
      </c>
      <c r="I122" s="13"/>
      <c r="J122" s="7"/>
      <c r="K122" s="7">
        <v>0</v>
      </c>
      <c r="L122" s="7"/>
      <c r="M122" s="7">
        <v>2</v>
      </c>
      <c r="N122" s="7"/>
      <c r="O122" s="7">
        <v>1</v>
      </c>
      <c r="Q122" s="7"/>
      <c r="R122" s="7">
        <v>0</v>
      </c>
      <c r="S122" s="7"/>
      <c r="T122" s="7">
        <v>2</v>
      </c>
      <c r="U122" s="7"/>
      <c r="V122" s="7">
        <v>1</v>
      </c>
    </row>
    <row r="123" spans="1:22" ht="51" x14ac:dyDescent="0.2">
      <c r="A123" s="3" t="s">
        <v>57</v>
      </c>
      <c r="B123" s="7">
        <v>2014</v>
      </c>
      <c r="C123" s="41" t="s">
        <v>208</v>
      </c>
      <c r="D123" s="7">
        <v>2</v>
      </c>
      <c r="E123" s="7"/>
      <c r="F123" s="7">
        <v>2</v>
      </c>
      <c r="G123" s="7"/>
      <c r="H123" s="7">
        <v>1</v>
      </c>
      <c r="I123" s="13"/>
      <c r="J123" s="7"/>
      <c r="K123" s="7">
        <v>0</v>
      </c>
      <c r="L123" s="7"/>
      <c r="M123" s="7">
        <v>2</v>
      </c>
      <c r="N123" s="7"/>
      <c r="O123" s="7">
        <v>1</v>
      </c>
      <c r="Q123" s="7"/>
      <c r="R123" s="7">
        <v>0</v>
      </c>
      <c r="S123" s="7"/>
      <c r="T123" s="7">
        <v>2</v>
      </c>
      <c r="U123" s="7"/>
      <c r="V123" s="7">
        <v>1</v>
      </c>
    </row>
    <row r="124" spans="1:22" ht="51" x14ac:dyDescent="0.2">
      <c r="A124" s="3" t="s">
        <v>58</v>
      </c>
      <c r="B124" s="7">
        <v>2014</v>
      </c>
      <c r="C124" s="41" t="s">
        <v>209</v>
      </c>
      <c r="D124" s="7">
        <v>2</v>
      </c>
      <c r="E124" s="7"/>
      <c r="F124" s="7">
        <v>2</v>
      </c>
      <c r="G124" s="7"/>
      <c r="H124" s="7">
        <v>1</v>
      </c>
      <c r="I124" s="13"/>
      <c r="J124" s="7"/>
      <c r="K124" s="7">
        <v>0</v>
      </c>
      <c r="L124" s="7"/>
      <c r="M124" s="7">
        <v>2</v>
      </c>
      <c r="N124" s="7"/>
      <c r="O124" s="7">
        <v>1</v>
      </c>
      <c r="Q124" s="7"/>
      <c r="R124" s="7">
        <v>0</v>
      </c>
      <c r="S124" s="7"/>
      <c r="T124" s="7">
        <v>2</v>
      </c>
      <c r="U124" s="7"/>
      <c r="V124" s="7">
        <v>1</v>
      </c>
    </row>
    <row r="125" spans="1:22" ht="51" x14ac:dyDescent="0.2">
      <c r="A125" s="3" t="s">
        <v>59</v>
      </c>
      <c r="B125" s="7">
        <v>2015</v>
      </c>
      <c r="C125" s="41" t="s">
        <v>210</v>
      </c>
      <c r="D125" s="7">
        <v>2</v>
      </c>
      <c r="E125" s="7"/>
      <c r="F125" s="7">
        <v>2</v>
      </c>
      <c r="G125" s="7"/>
      <c r="H125" s="7">
        <v>1</v>
      </c>
      <c r="I125" s="13"/>
      <c r="J125" s="7"/>
      <c r="K125" s="7">
        <v>0</v>
      </c>
      <c r="L125" s="7"/>
      <c r="M125" s="7">
        <v>2</v>
      </c>
      <c r="N125" s="7"/>
      <c r="O125" s="7">
        <v>1</v>
      </c>
      <c r="Q125" s="7"/>
      <c r="R125" s="7">
        <v>0</v>
      </c>
      <c r="S125" s="7"/>
      <c r="T125" s="7">
        <v>2</v>
      </c>
      <c r="U125" s="7"/>
      <c r="V125" s="7">
        <v>1</v>
      </c>
    </row>
    <row r="126" spans="1:22" ht="51" x14ac:dyDescent="0.2">
      <c r="A126" s="3" t="s">
        <v>60</v>
      </c>
      <c r="B126" s="7">
        <v>2019</v>
      </c>
      <c r="C126" s="41" t="s">
        <v>211</v>
      </c>
      <c r="D126" s="7">
        <v>2</v>
      </c>
      <c r="E126" s="7"/>
      <c r="F126" s="7">
        <v>2</v>
      </c>
      <c r="G126" s="7"/>
      <c r="H126" s="7">
        <v>1</v>
      </c>
      <c r="I126" s="13"/>
      <c r="J126" s="7"/>
      <c r="K126" s="7">
        <v>0</v>
      </c>
      <c r="L126" s="7"/>
      <c r="M126" s="7">
        <v>2</v>
      </c>
      <c r="N126" s="7"/>
      <c r="O126" s="7">
        <v>1</v>
      </c>
      <c r="Q126" s="7"/>
      <c r="R126" s="7">
        <v>0</v>
      </c>
      <c r="S126" s="7"/>
      <c r="T126" s="7">
        <v>2</v>
      </c>
      <c r="U126" s="7"/>
      <c r="V126" s="7">
        <v>1</v>
      </c>
    </row>
    <row r="127" spans="1:22" ht="51" x14ac:dyDescent="0.2">
      <c r="A127" s="3" t="s">
        <v>177</v>
      </c>
      <c r="B127" s="7">
        <v>2024</v>
      </c>
      <c r="C127" s="41" t="s">
        <v>212</v>
      </c>
      <c r="D127" s="7">
        <v>2</v>
      </c>
      <c r="E127" s="7"/>
      <c r="F127" s="7">
        <v>2</v>
      </c>
      <c r="G127" s="7"/>
      <c r="H127" s="7">
        <v>1</v>
      </c>
      <c r="I127" s="13"/>
      <c r="J127" s="7"/>
      <c r="K127" s="7">
        <v>0</v>
      </c>
      <c r="L127" s="7"/>
      <c r="M127" s="7">
        <v>2</v>
      </c>
      <c r="N127" s="7"/>
      <c r="O127" s="7">
        <v>1</v>
      </c>
      <c r="Q127" s="7"/>
      <c r="R127" s="7">
        <v>0</v>
      </c>
      <c r="S127" s="7"/>
      <c r="T127" s="7">
        <v>2</v>
      </c>
      <c r="U127" s="7"/>
      <c r="V127" s="7">
        <v>1</v>
      </c>
    </row>
    <row r="128" spans="1:22" x14ac:dyDescent="0.2">
      <c r="A128" s="3"/>
      <c r="B128" s="7"/>
      <c r="D128" s="7"/>
      <c r="E128" s="7"/>
      <c r="F128" s="7"/>
      <c r="G128" s="7"/>
      <c r="H128" s="7"/>
      <c r="I128" s="13"/>
      <c r="J128" s="13"/>
      <c r="K128" s="7"/>
      <c r="L128" s="7"/>
      <c r="M128" s="7"/>
      <c r="N128" s="7"/>
      <c r="O128" s="7"/>
      <c r="R128" s="7"/>
      <c r="S128" s="7"/>
      <c r="T128" s="7"/>
      <c r="U128" s="7"/>
      <c r="V128" s="7"/>
    </row>
    <row r="129" spans="1:22" x14ac:dyDescent="0.2">
      <c r="A129" s="4"/>
      <c r="B129" s="8"/>
      <c r="D129" s="8"/>
      <c r="E129" s="8"/>
      <c r="F129" s="8"/>
      <c r="G129" s="8"/>
      <c r="H129" s="8"/>
      <c r="I129" s="13"/>
      <c r="J129" s="13"/>
      <c r="K129" s="8"/>
      <c r="L129" s="8"/>
      <c r="M129" s="8"/>
      <c r="N129" s="8"/>
      <c r="O129" s="8"/>
      <c r="R129" s="8"/>
      <c r="S129" s="8"/>
      <c r="T129" s="8"/>
      <c r="U129" s="8"/>
      <c r="V129" s="8"/>
    </row>
    <row r="130" spans="1:22" x14ac:dyDescent="0.2">
      <c r="A130" s="4"/>
      <c r="B130" s="8"/>
      <c r="D130" s="8"/>
      <c r="E130" s="8"/>
      <c r="F130" s="8"/>
      <c r="G130" s="8"/>
      <c r="H130" s="8"/>
      <c r="I130" s="13"/>
      <c r="J130" s="13"/>
      <c r="K130" s="8"/>
      <c r="L130" s="8"/>
      <c r="M130" s="8"/>
      <c r="N130" s="8"/>
      <c r="O130" s="8"/>
    </row>
    <row r="131" spans="1:22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22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22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22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22" x14ac:dyDescent="0.2">
      <c r="A135" s="4"/>
      <c r="B135" s="8"/>
      <c r="D135" s="8"/>
      <c r="E135" s="8"/>
      <c r="F135" s="8"/>
      <c r="G135" s="8"/>
      <c r="H135" s="8"/>
      <c r="I135" s="13"/>
      <c r="J135" s="13"/>
      <c r="K135" s="8"/>
      <c r="L135" s="8"/>
      <c r="M135" s="8"/>
      <c r="N135" s="8"/>
      <c r="O135" s="8"/>
    </row>
    <row r="136" spans="1:22" x14ac:dyDescent="0.2">
      <c r="A136" s="4"/>
      <c r="B136" s="8"/>
      <c r="D136" s="8"/>
      <c r="E136" s="8"/>
      <c r="F136" s="8"/>
      <c r="G136" s="8"/>
      <c r="H136" s="8"/>
      <c r="I136" s="13"/>
      <c r="J136" s="13"/>
      <c r="K136" s="8"/>
      <c r="L136" s="8"/>
      <c r="M136" s="8"/>
      <c r="N136" s="8"/>
      <c r="O136" s="8"/>
    </row>
    <row r="137" spans="1:22" x14ac:dyDescent="0.2">
      <c r="A137" s="4"/>
      <c r="B137" s="8"/>
      <c r="D137" s="8"/>
      <c r="E137" s="8"/>
      <c r="F137" s="8"/>
      <c r="G137" s="8"/>
      <c r="H137" s="8"/>
      <c r="I137" s="13"/>
      <c r="J137" s="13"/>
      <c r="K137" s="8"/>
      <c r="L137" s="8"/>
      <c r="M137" s="8"/>
      <c r="N137" s="8"/>
      <c r="O137" s="8"/>
    </row>
    <row r="138" spans="1:22" x14ac:dyDescent="0.2">
      <c r="A138" s="5"/>
      <c r="B138" s="9"/>
      <c r="D138" s="9"/>
      <c r="E138" s="9"/>
      <c r="F138" s="9"/>
      <c r="G138" s="9"/>
      <c r="H138" s="9"/>
      <c r="I138" s="13"/>
      <c r="J138" s="13"/>
      <c r="K138" s="9"/>
      <c r="L138" s="9"/>
      <c r="M138" s="9"/>
      <c r="N138" s="9"/>
      <c r="O138" s="9"/>
    </row>
    <row r="139" spans="1:22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22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22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22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22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22" x14ac:dyDescent="0.2">
      <c r="A144" s="5"/>
      <c r="B144" s="9"/>
      <c r="D144" s="9"/>
      <c r="E144" s="9"/>
      <c r="F144" s="9"/>
      <c r="G144" s="9"/>
      <c r="H144" s="9"/>
      <c r="I144" s="13"/>
      <c r="J144" s="13"/>
      <c r="K144" s="9"/>
      <c r="L144" s="9"/>
      <c r="M144" s="9"/>
      <c r="N144" s="9"/>
      <c r="O144" s="9"/>
    </row>
    <row r="145" spans="1:15" x14ac:dyDescent="0.2">
      <c r="A145" s="5"/>
      <c r="B145" s="9"/>
      <c r="D145" s="9"/>
      <c r="E145" s="9"/>
      <c r="F145" s="9"/>
      <c r="G145" s="9"/>
      <c r="H145" s="9"/>
      <c r="I145" s="13"/>
      <c r="J145" s="13"/>
      <c r="K145" s="9"/>
      <c r="L145" s="9"/>
      <c r="M145" s="9"/>
      <c r="N145" s="9"/>
      <c r="O145" s="9"/>
    </row>
    <row r="146" spans="1:15" x14ac:dyDescent="0.2">
      <c r="A146" s="5"/>
      <c r="B146" s="9"/>
      <c r="D146" s="9"/>
      <c r="E146" s="9"/>
      <c r="F146" s="9"/>
      <c r="G146" s="9"/>
      <c r="H146" s="9"/>
      <c r="I146" s="13"/>
      <c r="J146" s="13"/>
      <c r="K146" s="9"/>
      <c r="L146" s="9"/>
      <c r="M146" s="9"/>
      <c r="N146" s="9"/>
      <c r="O146" s="9"/>
    </row>
    <row r="147" spans="1:15" x14ac:dyDescent="0.2">
      <c r="A147" s="3"/>
      <c r="B147" s="7"/>
      <c r="D147" s="7"/>
      <c r="E147" s="7"/>
      <c r="F147" s="7"/>
      <c r="G147" s="7"/>
      <c r="H147" s="7"/>
      <c r="I147" s="13"/>
      <c r="J147" s="13"/>
      <c r="K147" s="7"/>
      <c r="L147" s="7"/>
      <c r="M147" s="7"/>
      <c r="N147" s="7"/>
      <c r="O147" s="7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3"/>
      <c r="B153" s="7"/>
      <c r="D153" s="7"/>
      <c r="E153" s="7"/>
      <c r="F153" s="7"/>
      <c r="G153" s="7"/>
      <c r="H153" s="7"/>
      <c r="I153" s="13"/>
      <c r="J153" s="13"/>
      <c r="K153" s="7"/>
      <c r="L153" s="7"/>
      <c r="M153" s="7"/>
      <c r="N153" s="7"/>
      <c r="O153" s="7"/>
    </row>
    <row r="154" spans="1:15" x14ac:dyDescent="0.2">
      <c r="A154" s="3"/>
      <c r="B154" s="7"/>
      <c r="D154" s="7"/>
      <c r="E154" s="7"/>
      <c r="F154" s="7"/>
      <c r="G154" s="7"/>
      <c r="H154" s="7"/>
      <c r="I154" s="13"/>
      <c r="J154" s="13"/>
      <c r="K154" s="7"/>
      <c r="L154" s="7"/>
      <c r="M154" s="7"/>
      <c r="N154" s="7"/>
      <c r="O154" s="7"/>
    </row>
    <row r="155" spans="1:15" x14ac:dyDescent="0.2">
      <c r="A155" s="3"/>
      <c r="B155" s="7"/>
      <c r="D155" s="7"/>
      <c r="E155" s="7"/>
      <c r="F155" s="7"/>
      <c r="G155" s="7"/>
      <c r="H155" s="7"/>
      <c r="I155" s="13"/>
      <c r="J155" s="13"/>
      <c r="K155" s="7"/>
      <c r="L155" s="7"/>
      <c r="M155" s="7"/>
      <c r="N155" s="7"/>
      <c r="O155" s="7"/>
    </row>
    <row r="156" spans="1:15" x14ac:dyDescent="0.2">
      <c r="A156" s="4"/>
      <c r="B156" s="8"/>
      <c r="D156" s="8"/>
      <c r="E156" s="8"/>
      <c r="F156" s="8"/>
      <c r="G156" s="8"/>
      <c r="H156" s="8"/>
      <c r="I156" s="13"/>
      <c r="J156" s="13"/>
      <c r="K156" s="8"/>
      <c r="L156" s="8"/>
      <c r="M156" s="8"/>
      <c r="N156" s="8"/>
      <c r="O156" s="8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4"/>
      <c r="B162" s="8"/>
      <c r="D162" s="8"/>
      <c r="E162" s="8"/>
      <c r="F162" s="8"/>
      <c r="G162" s="8"/>
      <c r="H162" s="8"/>
      <c r="I162" s="13"/>
      <c r="J162" s="13"/>
      <c r="K162" s="8"/>
      <c r="L162" s="8"/>
      <c r="M162" s="8"/>
      <c r="N162" s="8"/>
      <c r="O162" s="8"/>
    </row>
    <row r="163" spans="1:15" x14ac:dyDescent="0.2">
      <c r="A163" s="4"/>
      <c r="B163" s="8"/>
      <c r="D163" s="8"/>
      <c r="E163" s="8"/>
      <c r="F163" s="8"/>
      <c r="G163" s="8"/>
      <c r="H163" s="8"/>
      <c r="I163" s="13"/>
      <c r="J163" s="13"/>
      <c r="K163" s="8"/>
      <c r="L163" s="8"/>
      <c r="M163" s="8"/>
      <c r="N163" s="8"/>
      <c r="O163" s="8"/>
    </row>
    <row r="164" spans="1:15" x14ac:dyDescent="0.2">
      <c r="A164" s="4"/>
      <c r="B164" s="8"/>
      <c r="D164" s="8"/>
      <c r="E164" s="8"/>
      <c r="F164" s="8"/>
      <c r="G164" s="8"/>
      <c r="H164" s="8"/>
      <c r="I164" s="13"/>
      <c r="J164" s="13"/>
      <c r="K164" s="8"/>
      <c r="L164" s="8"/>
      <c r="M164" s="8"/>
      <c r="N164" s="8"/>
      <c r="O164" s="8"/>
    </row>
    <row r="165" spans="1:15" x14ac:dyDescent="0.2">
      <c r="A165" s="5"/>
      <c r="B165" s="9"/>
      <c r="D165" s="9"/>
      <c r="E165" s="9"/>
      <c r="F165" s="9"/>
      <c r="G165" s="9"/>
      <c r="H165" s="9"/>
      <c r="I165" s="13"/>
      <c r="J165" s="13"/>
      <c r="K165" s="9"/>
      <c r="L165" s="9"/>
      <c r="M165" s="9"/>
      <c r="N165" s="9"/>
      <c r="O165" s="9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5"/>
      <c r="B171" s="9"/>
      <c r="D171" s="9"/>
      <c r="E171" s="9"/>
      <c r="F171" s="9"/>
      <c r="G171" s="9"/>
      <c r="H171" s="9"/>
      <c r="I171" s="13"/>
      <c r="J171" s="13"/>
      <c r="K171" s="9"/>
      <c r="L171" s="9"/>
      <c r="M171" s="9"/>
      <c r="N171" s="9"/>
      <c r="O171" s="9"/>
    </row>
    <row r="172" spans="1:15" x14ac:dyDescent="0.2">
      <c r="A172" s="5"/>
      <c r="B172" s="9"/>
      <c r="D172" s="9"/>
      <c r="E172" s="9"/>
      <c r="F172" s="9"/>
      <c r="G172" s="9"/>
      <c r="H172" s="9"/>
      <c r="I172" s="13"/>
      <c r="J172" s="13"/>
      <c r="K172" s="9"/>
      <c r="L172" s="9"/>
      <c r="M172" s="9"/>
      <c r="N172" s="9"/>
      <c r="O172" s="9"/>
    </row>
    <row r="173" spans="1:15" x14ac:dyDescent="0.2">
      <c r="A173" s="5"/>
      <c r="B173" s="9"/>
      <c r="D173" s="9"/>
      <c r="E173" s="9"/>
      <c r="F173" s="9"/>
      <c r="G173" s="9"/>
      <c r="H173" s="9"/>
      <c r="I173" s="13"/>
      <c r="J173" s="13"/>
      <c r="K173" s="9"/>
      <c r="L173" s="9"/>
      <c r="M173" s="9"/>
      <c r="N173" s="9"/>
      <c r="O173" s="9"/>
    </row>
    <row r="174" spans="1:15" x14ac:dyDescent="0.2">
      <c r="A174" s="3"/>
      <c r="B174" s="7"/>
      <c r="D174" s="7"/>
      <c r="E174" s="7"/>
      <c r="F174" s="7"/>
      <c r="G174" s="7"/>
      <c r="H174" s="7"/>
      <c r="I174" s="13"/>
      <c r="J174" s="13"/>
      <c r="K174" s="7"/>
      <c r="L174" s="7"/>
      <c r="M174" s="7"/>
      <c r="N174" s="7"/>
      <c r="O174" s="7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3"/>
      <c r="B180" s="7"/>
      <c r="D180" s="7"/>
      <c r="E180" s="7"/>
      <c r="F180" s="7"/>
      <c r="G180" s="7"/>
      <c r="H180" s="7"/>
      <c r="I180" s="13"/>
      <c r="J180" s="13"/>
      <c r="K180" s="7"/>
      <c r="L180" s="7"/>
      <c r="M180" s="7"/>
      <c r="N180" s="7"/>
      <c r="O180" s="7"/>
    </row>
    <row r="181" spans="1:15" x14ac:dyDescent="0.2">
      <c r="A181" s="3"/>
      <c r="B181" s="7"/>
      <c r="D181" s="7"/>
      <c r="E181" s="7"/>
      <c r="F181" s="7"/>
      <c r="G181" s="7"/>
      <c r="H181" s="7"/>
      <c r="I181" s="13"/>
      <c r="J181" s="13"/>
      <c r="K181" s="7"/>
      <c r="L181" s="7"/>
      <c r="M181" s="7"/>
      <c r="N181" s="7"/>
      <c r="O181" s="7"/>
    </row>
    <row r="182" spans="1:15" x14ac:dyDescent="0.2">
      <c r="A182" s="3"/>
      <c r="B182" s="7"/>
      <c r="D182" s="7"/>
      <c r="E182" s="7"/>
      <c r="F182" s="7"/>
      <c r="G182" s="7"/>
      <c r="H182" s="7"/>
      <c r="I182" s="13"/>
      <c r="J182" s="13"/>
      <c r="K182" s="7"/>
      <c r="L182" s="7"/>
      <c r="M182" s="7"/>
      <c r="N182" s="7"/>
      <c r="O182" s="7"/>
    </row>
    <row r="183" spans="1:15" x14ac:dyDescent="0.2">
      <c r="A183" s="4"/>
      <c r="B183" s="8"/>
      <c r="D183" s="8"/>
      <c r="E183" s="8"/>
      <c r="F183" s="8"/>
      <c r="G183" s="8"/>
      <c r="H183" s="8"/>
      <c r="I183" s="13"/>
      <c r="J183" s="13"/>
      <c r="K183" s="8"/>
      <c r="L183" s="8"/>
      <c r="M183" s="8"/>
      <c r="N183" s="8"/>
      <c r="O183" s="8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  <row r="190" spans="1:15" x14ac:dyDescent="0.2">
      <c r="A190" s="4"/>
      <c r="B190" s="8"/>
      <c r="D190" s="8"/>
      <c r="E190" s="8"/>
      <c r="F190" s="8"/>
      <c r="G190" s="8"/>
      <c r="H190" s="8"/>
      <c r="I190" s="13"/>
      <c r="J190" s="13"/>
      <c r="K190" s="8"/>
      <c r="L190" s="8"/>
      <c r="M190" s="8"/>
      <c r="N190" s="8"/>
      <c r="O190" s="8"/>
    </row>
    <row r="191" spans="1:15" x14ac:dyDescent="0.2">
      <c r="A191" s="4"/>
      <c r="B191" s="8"/>
      <c r="D191" s="8"/>
      <c r="E191" s="8"/>
      <c r="F191" s="8"/>
      <c r="G191" s="8"/>
      <c r="H191" s="8"/>
      <c r="I191" s="13"/>
      <c r="J191" s="13"/>
      <c r="K191" s="8"/>
      <c r="L191" s="8"/>
      <c r="M191" s="8"/>
      <c r="N191" s="8"/>
      <c r="O191" s="8"/>
    </row>
    <row r="192" spans="1:15" x14ac:dyDescent="0.2">
      <c r="A192" s="4"/>
      <c r="B192" s="8"/>
      <c r="D192" s="8"/>
      <c r="E192" s="8"/>
      <c r="F192" s="8"/>
      <c r="G192" s="8"/>
      <c r="H192" s="8"/>
      <c r="I192" s="13"/>
      <c r="J192" s="13"/>
      <c r="K192" s="8"/>
      <c r="L192" s="8"/>
      <c r="M192" s="8"/>
      <c r="N192" s="8"/>
      <c r="O192" s="8"/>
    </row>
  </sheetData>
  <mergeCells count="12">
    <mergeCell ref="A46:C46"/>
    <mergeCell ref="A86:B86"/>
    <mergeCell ref="F88:H88"/>
    <mergeCell ref="F1:K1"/>
    <mergeCell ref="F6:I6"/>
    <mergeCell ref="F11:I11"/>
    <mergeCell ref="F16:I16"/>
    <mergeCell ref="F21:I21"/>
    <mergeCell ref="F26:I26"/>
    <mergeCell ref="F31:I31"/>
    <mergeCell ref="F36:I36"/>
    <mergeCell ref="F41:I41"/>
  </mergeCells>
  <hyperlinks>
    <hyperlink ref="C90" r:id="rId1" xr:uid="{D87ADA1A-00DB-E949-ADD1-97F92527B82F}"/>
    <hyperlink ref="C91" r:id="rId2" xr:uid="{ADBFA2E2-6AD5-F342-8B14-AC817766612E}"/>
    <hyperlink ref="C92" r:id="rId3" xr:uid="{0B4A3131-9B91-B344-9D1F-6A5BEC935BFA}"/>
    <hyperlink ref="C93" r:id="rId4" xr:uid="{A990747F-1740-E049-8A8B-544A0C3B95CC}"/>
    <hyperlink ref="C94" r:id="rId5" xr:uid="{35AAAC37-7DFC-A94D-840C-118DEE78904B}"/>
    <hyperlink ref="C95" r:id="rId6" xr:uid="{04DB0537-9AB7-6A4E-9155-1315DBFC3260}"/>
    <hyperlink ref="C96" r:id="rId7" xr:uid="{6A579A22-3026-DF44-9778-12B42332A5E1}"/>
    <hyperlink ref="C97" r:id="rId8" xr:uid="{00CA1BBC-C2E2-A445-85DA-87D3A13FB58A}"/>
    <hyperlink ref="C98" r:id="rId9" xr:uid="{0C4B6619-81F6-3840-9EE0-305C5F53EEBC}"/>
    <hyperlink ref="C100" r:id="rId10" xr:uid="{9A3C0C98-365F-694B-9E1A-645443F60BEB}"/>
    <hyperlink ref="C101" r:id="rId11" xr:uid="{65453ED7-7C20-F041-8AE0-1122CEB1E1E5}"/>
    <hyperlink ref="C102" r:id="rId12" xr:uid="{B661A15C-1F3A-E84F-932F-8B9F86DD7A52}"/>
    <hyperlink ref="C103" r:id="rId13" xr:uid="{FDB60B93-8662-FF4C-9B95-D71474F19977}"/>
    <hyperlink ref="C104" r:id="rId14" xr:uid="{2AFBC2BD-8E6B-024E-B6F8-AF935E5270F9}"/>
    <hyperlink ref="C105" r:id="rId15" xr:uid="{8298AE8F-DD78-B043-8B62-958987A081BC}"/>
    <hyperlink ref="C106" r:id="rId16" xr:uid="{03DC19B8-2033-DC4C-B045-9312A4CDFB83}"/>
    <hyperlink ref="C107" r:id="rId17" xr:uid="{6D295934-B1A6-9644-A41A-3AF3D0D6509E}"/>
    <hyperlink ref="C108" r:id="rId18" xr:uid="{A61EE809-565B-F640-BCB2-0916BD7DB1E0}"/>
    <hyperlink ref="C110" r:id="rId19" xr:uid="{56B04465-22FD-8743-B964-C3A88A6540B4}"/>
    <hyperlink ref="C111" r:id="rId20" xr:uid="{B3681985-B43F-8747-9E83-95ECC0A70307}"/>
    <hyperlink ref="C112" r:id="rId21" xr:uid="{4213AC77-A23D-F048-9097-8EADE54B66E1}"/>
    <hyperlink ref="C113" r:id="rId22" xr:uid="{11136302-B1D4-C64C-829C-C00440973DFB}"/>
    <hyperlink ref="C114" r:id="rId23" xr:uid="{AD9A807D-3926-6D44-8E8B-CA2792FB9D97}"/>
    <hyperlink ref="C115" r:id="rId24" xr:uid="{4294016D-D3B3-2B42-AE0C-1D8D864681E0}"/>
    <hyperlink ref="C116" r:id="rId25" xr:uid="{CEB2D796-F9A6-FA46-B209-60B97A19ACB6}"/>
    <hyperlink ref="C117" r:id="rId26" xr:uid="{3D50476A-1052-7948-A259-5D0582169ABD}"/>
    <hyperlink ref="C118" r:id="rId27" xr:uid="{3578BD24-4802-4643-A06F-8D929F9A1738}"/>
    <hyperlink ref="C120" r:id="rId28" xr:uid="{2A362D92-9C99-CF44-9797-5C584BAF07E4}"/>
    <hyperlink ref="C121" r:id="rId29" xr:uid="{A701853D-F31C-BE4C-8D37-B12207EF178A}"/>
    <hyperlink ref="C122" r:id="rId30" xr:uid="{9758BE6C-EB3F-4948-9518-B694B3F81968}"/>
    <hyperlink ref="C123" r:id="rId31" xr:uid="{275A6277-1375-714E-AA07-7FE835DCB6E1}"/>
    <hyperlink ref="C124" r:id="rId32" xr:uid="{B4C7909C-1AE8-8144-A87A-15F52FF50AC2}"/>
    <hyperlink ref="C125" r:id="rId33" xr:uid="{8D0FFCBF-FA35-1044-8879-598AE33CF3D7}"/>
    <hyperlink ref="C126" r:id="rId34" xr:uid="{BB60216B-2C6C-2546-ABB6-1DBACE6D273F}"/>
    <hyperlink ref="C127" r:id="rId35" xr:uid="{367323C7-E051-224B-9897-D3CFFE86C0E2}"/>
  </hyperlinks>
  <pageMargins left="0.7" right="0.7" top="0.75" bottom="0.75" header="0.3" footer="0.3"/>
  <drawing r:id="rId36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Infocom Series</vt:lpstr>
      <vt:lpstr>NancyDrew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2024-09-06T07:00:29Z</dcterms:modified>
</cp:coreProperties>
</file>